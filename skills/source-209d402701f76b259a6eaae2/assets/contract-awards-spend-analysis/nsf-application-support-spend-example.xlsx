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ends" sheetId="2" state="visible" r:id="rId4"/>
    <sheet name="Vendors &amp; Buyers" sheetId="3" state="visible" r:id="rId5"/>
    <sheet name="Awards" sheetId="4" state="visible" r:id="rId6"/>
    <sheet name="Transactions" sheetId="5" state="visible" r:id="rId7"/>
  </sheets>
  <definedNames>
    <definedName name="AwardTypeCategories">'Dashboard'!$AD$42:$AD$45</definedName>
    <definedName name="SetAsideCategories">'Dashboard'!$AG$42:$AG$45</definedName>
    <definedName name="PerformanceStateCategories">'Dashboard'!$AJ$42:$AJ$47</definedName>
    <definedName name="VendorChoices">'Dashboard'!$AM$1:$AM$21</definedName>
    <definedName name="OfficeChoices">'Dashboard'!$AN$1:$AN$13</definedName>
    <definedName name="TypeChoices">'Dashboard'!$AO$1:$AO$5</definedName>
    <definedName name="_xlnm.Print_Area" localSheetId="0">'Dashboard'!$A$1:$Y$36,'Dashboard'!$A$38:$Y$78</definedName>
    <definedName name="_xlnm.Print_Area" localSheetId="1">'Trends'!$A$1:$H$28,'Trends'!$A$33:$H$45</definedName>
    <definedName name="_xlnm.Print_Titles" localSheetId="1">'Trends'!$3:$5</definedName>
    <definedName name="_xlnm.Print_Area" localSheetId="2">'Vendors &amp; Buyers'!$A$2:$G$27,'Vendors &amp; Buyers'!$A$40:$G$52</definedName>
    <definedName name="_xlnm.Print_Titles" localSheetId="2">'Vendors &amp; Buyers'!$3:$5</definedName>
    <definedName name="_xlnm.Print_Area" localSheetId="3">'Awards'!$A$3:$G$58,'Awards'!$H$3:$M$58</definedName>
    <definedName name="_xlnm.Print_Titles" localSheetId="3">'Awards'!$3:$7,'Awards'!$A:$A</definedName>
    <definedName name="_xlnm.Print_Area" localSheetId="4">'Transactions'!$A$1:$G$242</definedName>
    <definedName name="_xlnm.Print_Titles" localSheetId="4">'Transactions'!$15:$16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<sst xmlns="http://schemas.openxmlformats.org/spreadsheetml/2006/main" count="3722" uniqueCount="694">
  <si>
    <t xml:space="preserve">All</t>
  </si>
  <si>
    <t xml:space="preserve">Contract awards &amp; spend</t>
  </si>
  <si>
    <t xml:space="preserve">Vendor ID</t>
  </si>
  <si>
    <t xml:space="preserve">Agility Technologies Inc. [Z9M6NN4AQLF7]</t>
  </si>
  <si>
    <t xml:space="preserve">Directorate for Engineering [490700-A]</t>
  </si>
  <si>
    <t xml:space="preserve">BPA Call</t>
  </si>
  <si>
    <t xml:space="preserve">Office ID</t>
  </si>
  <si>
    <t xml:space="preserve">Anika Systems Incorporated [Y9V7J5VN9F68]</t>
  </si>
  <si>
    <t xml:space="preserve">Directorate of Geosciences [490600-A]</t>
  </si>
  <si>
    <t xml:space="preserve">Definitive Contract</t>
  </si>
  <si>
    <t xml:space="preserve">Booz Allen Hamilton Inc. [JCBMLGPE6Z71]</t>
  </si>
  <si>
    <t xml:space="preserve">Division of Acquisition and Cooperative Support [491004-A]</t>
  </si>
  <si>
    <t xml:space="preserve">Delivery Order</t>
  </si>
  <si>
    <t xml:space="preserve">Prepared by GovTribe, Inc. · UEI EDJBUPNLCCL5</t>
  </si>
  <si>
    <t xml:space="preserve">Civicactions, Inc. [XSZFHRS5QFL5]</t>
  </si>
  <si>
    <t xml:space="preserve">Division of Industrial Innovation [490707-A]</t>
  </si>
  <si>
    <t xml:space="preserve">Purchase Order</t>
  </si>
  <si>
    <t xml:space="preserve">Fiscal year</t>
  </si>
  <si>
    <t xml:space="preserve">Vendor</t>
  </si>
  <si>
    <t xml:space="preserve">Net obligations</t>
  </si>
  <si>
    <t xml:space="preserve">Criterion Systems, L.L.C. [MPGNDNHHWM33]</t>
  </si>
  <si>
    <t xml:space="preserve">Division of Information Systems [490209-A]</t>
  </si>
  <si>
    <t xml:space="preserve">Awards with obligations</t>
  </si>
  <si>
    <t xml:space="preserve">Directviz Solutions, LLC [YXH4AGD2LGF5]</t>
  </si>
  <si>
    <t xml:space="preserve">Division of Social and Economic Science [490405-A]</t>
  </si>
  <si>
    <t xml:space="preserve">Vendors with obligations</t>
  </si>
  <si>
    <t xml:space="preserve">Expediteinfotech, Inc. [KX6EDEAPTKH5]</t>
  </si>
  <si>
    <t xml:space="preserve">National Center for Science and Engineering Statistics [490403-A]</t>
  </si>
  <si>
    <t xml:space="preserve">Funding office</t>
  </si>
  <si>
    <t xml:space="preserve">Current award type</t>
  </si>
  <si>
    <t xml:space="preserve">Transactions</t>
  </si>
  <si>
    <t xml:space="preserve">Gartner, Inc. [CFALLJBGZ697]</t>
  </si>
  <si>
    <t xml:space="preserve">National Science Board [490001-A]</t>
  </si>
  <si>
    <t xml:space="preserve">GBS Dakota IT, LLC [G9E9BR9MG9N7]</t>
  </si>
  <si>
    <t xml:space="preserve">NSF — office not specified [4900-A]</t>
  </si>
  <si>
    <t xml:space="preserve">GBS Solutions Corp [NKNSTJBPABX9]</t>
  </si>
  <si>
    <t xml:space="preserve">Office of Budget Finance and Award Management [491000-A]</t>
  </si>
  <si>
    <t xml:space="preserve">Ibex It Business Experts LLC [XPA8X2BWTD49]</t>
  </si>
  <si>
    <t xml:space="preserve">Office of Information Resource Management [490200-A]</t>
  </si>
  <si>
    <t xml:space="preserve">Lynker Corporation [MCLPKDBCDKY7]</t>
  </si>
  <si>
    <t xml:space="preserve">Office of the Inspector General [490002-A]</t>
  </si>
  <si>
    <t xml:space="preserve">Montage + Magnum, LLC [XLJSS2NNHU27]</t>
  </si>
  <si>
    <t xml:space="preserve">Professional Management Consulting Services LLC [CD2QDS1EFHP3]</t>
  </si>
  <si>
    <t xml:space="preserve">Rei Systems, Inc. [YRNMVN96JC17]</t>
  </si>
  <si>
    <t xml:space="preserve">Scope It Consulting, LLC [KN99UT9W5N77]</t>
  </si>
  <si>
    <t xml:space="preserve">Spatial Front Inc. [J1ADW6BL8MN5]</t>
  </si>
  <si>
    <t xml:space="preserve">Strategic Communications LLC [LJZRP7SE5LN4]</t>
  </si>
  <si>
    <t xml:space="preserve">Charts in USD millions</t>
  </si>
  <si>
    <t xml:space="preserve">Thundercat Technology, LLC [UER4AJLUB8D5]</t>
  </si>
  <si>
    <t xml:space="preserve">Annual net obligations</t>
  </si>
  <si>
    <t xml:space="preserve">Leading vendors</t>
  </si>
  <si>
    <t xml:space="preserve">Category</t>
  </si>
  <si>
    <t xml:space="preserve">University Corporation For Advanced Internet Development [DZEBKFRD1ZN6]</t>
  </si>
  <si>
    <t xml:space="preserve">Annual and quarterly history use all covered years. Rankings and breakdowns use the selected fiscal year.</t>
  </si>
  <si>
    <t xml:space="preserve">Contract awards &amp; spend — breakdowns</t>
  </si>
  <si>
    <t xml:space="preserve">Quarterly history · all covered years</t>
  </si>
  <si>
    <t xml:space="preserve">Current award types</t>
  </si>
  <si>
    <t xml:space="preserve">Total Small Business</t>
  </si>
  <si>
    <t xml:space="preserve">Virginia</t>
  </si>
  <si>
    <t xml:space="preserve">No Set-Aside Used</t>
  </si>
  <si>
    <t xml:space="preserve">Utah</t>
  </si>
  <si>
    <t xml:space="preserve">Competitive 8(a)</t>
  </si>
  <si>
    <t xml:space="preserve">Maryland</t>
  </si>
  <si>
    <t xml:space="preserve">8(a) Sole Source</t>
  </si>
  <si>
    <t xml:space="preserve">Georgia</t>
  </si>
  <si>
    <t xml:space="preserve">District of Columbia</t>
  </si>
  <si>
    <t xml:space="preserve">California</t>
  </si>
  <si>
    <t xml:space="preserve">Current set-asides</t>
  </si>
  <si>
    <t xml:space="preserve">Place of performance by state</t>
  </si>
  <si>
    <t xml:space="preserve">Current award snapshots; set-asides do not measure small-business participation. Location is place of performance.</t>
  </si>
  <si>
    <t xml:space="preserve">Trends</t>
  </si>
  <si>
    <t xml:space="preserve">Chart in USD millions; supporting tables in USD.</t>
  </si>
  <si>
    <t xml:space="preserve">Report status</t>
  </si>
  <si>
    <t xml:space="preserve">Four-quarter average begins after four complete consecutive quarters. Negative values retain their sign.</t>
  </si>
  <si>
    <t xml:space="preserve">Positive obligations</t>
  </si>
  <si>
    <t xml:space="preserve">Deobligations</t>
  </si>
  <si>
    <t xml:space="preserve">YoY change</t>
  </si>
  <si>
    <t xml:space="preserve">Year key</t>
  </si>
  <si>
    <t xml:space="preserve">Complete year</t>
  </si>
  <si>
    <t xml:space="preserve">Quarter</t>
  </si>
  <si>
    <t xml:space="preserve">From</t>
  </si>
  <si>
    <t xml:space="preserve">Through</t>
  </si>
  <si>
    <t xml:space="preserve">4-quarter average</t>
  </si>
  <si>
    <t xml:space="preserve">Coverage</t>
  </si>
  <si>
    <t xml:space="preserve">Quarter key</t>
  </si>
  <si>
    <t xml:space="preserve">Selected order</t>
  </si>
  <si>
    <t xml:space="preserve">Vendors &amp; Buyers</t>
  </si>
  <si>
    <t xml:space="preserve">Rankings follow the filters above. Award counts include nonzero obligation or deobligation actions.</t>
  </si>
  <si>
    <t xml:space="preserve">Rank</t>
  </si>
  <si>
    <t xml:space="preserve">UEI</t>
  </si>
  <si>
    <t xml:space="preserve">Record ID</t>
  </si>
  <si>
    <t xml:space="preserve">Source name</t>
  </si>
  <si>
    <t xml:space="preserve">Source UEI</t>
  </si>
  <si>
    <t xml:space="preserve">Source URL</t>
  </si>
  <si>
    <t xml:space="preserve">Filter label</t>
  </si>
  <si>
    <t xml:space="preserve">Source net</t>
  </si>
  <si>
    <t xml:space="preserve">Source deobligations</t>
  </si>
  <si>
    <t xml:space="preserve">Source awards</t>
  </si>
  <si>
    <t xml:space="preserve">Source actions</t>
  </si>
  <si>
    <t xml:space="preserve">Source rank</t>
  </si>
  <si>
    <t xml:space="preserve">Input check</t>
  </si>
  <si>
    <t xml:space="preserve">OHd3bTBwbEZXcHJrNFVtbnphbjRJdz09</t>
  </si>
  <si>
    <t xml:space="preserve">Agility Technologies Inc.</t>
  </si>
  <si>
    <t xml:space="preserve">Z9M6NN4AQLF7</t>
  </si>
  <si>
    <t xml:space="preserve">https://govtribe.com/vendors/agility-technologies-inc-dot-5b8b7</t>
  </si>
  <si>
    <t xml:space="preserve">L0R0d3dCdlZtWHRzZklTY0R1ZStPdz09</t>
  </si>
  <si>
    <t xml:space="preserve">Anika Systems Incorporated</t>
  </si>
  <si>
    <t xml:space="preserve">Y9V7J5VN9F68</t>
  </si>
  <si>
    <t xml:space="preserve">https://govtribe.com/vendors/anika-systems-incorporated-61up0</t>
  </si>
  <si>
    <t xml:space="preserve">K1ZVMVVzSS81SWIveXlWTi93b2V0UT09</t>
  </si>
  <si>
    <t xml:space="preserve">Booz Allen Hamilton Inc.</t>
  </si>
  <si>
    <t xml:space="preserve">JCBMLGPE6Z71</t>
  </si>
  <si>
    <t xml:space="preserve">https://govtribe.com/vendors/booz-allen-hamilton-inc-dot-17038</t>
  </si>
  <si>
    <t xml:space="preserve">eU9TbVJvdFJnc1dJL2U5YUVPc2JCZz09</t>
  </si>
  <si>
    <t xml:space="preserve">Civicactions, Inc.</t>
  </si>
  <si>
    <t xml:space="preserve">XSZFHRS5QFL5</t>
  </si>
  <si>
    <t xml:space="preserve">https://govtribe.com/vendors/civicactions-inc-dot-65fk1</t>
  </si>
  <si>
    <t xml:space="preserve">OWJtcjhIZU41SjlrOFJKOTI3MHE5QT09</t>
  </si>
  <si>
    <t xml:space="preserve">Criterion Systems, L.L.C.</t>
  </si>
  <si>
    <t xml:space="preserve">MPGNDNHHWM33</t>
  </si>
  <si>
    <t xml:space="preserve">https://govtribe.com/vendors/criterion-systems-inc-dot-8aep0</t>
  </si>
  <si>
    <t xml:space="preserve">V0s3QTJhcWZOS0lyMkJLVzE4Y2tTdz09</t>
  </si>
  <si>
    <t xml:space="preserve">Directviz Solutions, LLC</t>
  </si>
  <si>
    <t xml:space="preserve">YXH4AGD2LGF5</t>
  </si>
  <si>
    <t xml:space="preserve">https://govtribe.com/vendors/directviz-solutions-llc-6evd4</t>
  </si>
  <si>
    <t xml:space="preserve">cFNFdDdxT05JcUJjUW92YlRySEh2dz09</t>
  </si>
  <si>
    <t xml:space="preserve">Expediteinfotech, Inc.</t>
  </si>
  <si>
    <t xml:space="preserve">KX6EDEAPTKH5</t>
  </si>
  <si>
    <t xml:space="preserve">https://govtribe.com/vendors/expediteinfotech-inc-dot-78dz9</t>
  </si>
  <si>
    <t xml:space="preserve">VlgvSWowSTJ2WlBTdlBXd2pxTFhBdz09</t>
  </si>
  <si>
    <t xml:space="preserve">Gartner, Inc.</t>
  </si>
  <si>
    <t xml:space="preserve">CFALLJBGZ697</t>
  </si>
  <si>
    <t xml:space="preserve">https://govtribe.com/vendors/gartner-inc-dot-0efu3</t>
  </si>
  <si>
    <t xml:space="preserve">c1krbWRVbVB4cEpvMEV4WEt5b05wdz09</t>
  </si>
  <si>
    <t xml:space="preserve">GBS Dakota IT, LLC</t>
  </si>
  <si>
    <t xml:space="preserve">G9E9BR9MG9N7</t>
  </si>
  <si>
    <t xml:space="preserve">https://govtribe.com/vendors/gbs-dakota-it-llc-8ph94</t>
  </si>
  <si>
    <t xml:space="preserve">ejJEYUJ0cDdrQzV5VHVFMGc5bG9oQT09</t>
  </si>
  <si>
    <t xml:space="preserve">GBS Solutions Corp</t>
  </si>
  <si>
    <t xml:space="preserve">NKNSTJBPABX9</t>
  </si>
  <si>
    <t xml:space="preserve">https://govtribe.com/vendors/gbs-solutions-corporation-gbs-79pq1</t>
  </si>
  <si>
    <t xml:space="preserve">R05KVnd4VlNxejdrdUxqNkVqYzlUQT09</t>
  </si>
  <si>
    <t xml:space="preserve">Ibex It Business Experts LLC</t>
  </si>
  <si>
    <t xml:space="preserve">XPA8X2BWTD49</t>
  </si>
  <si>
    <t xml:space="preserve">https://govtribe.com/vendors/ibex-it-business-experts-llc-ibex-it-business-experts-6dry3</t>
  </si>
  <si>
    <t xml:space="preserve">aDVFaWNOY0JZQnZMSWZpZE92MDM0Zz09</t>
  </si>
  <si>
    <t xml:space="preserve">Lynker Corporation</t>
  </si>
  <si>
    <t xml:space="preserve">MCLPKDBCDKY7</t>
  </si>
  <si>
    <t xml:space="preserve">https://govtribe.com/vendors/lynker-technologies-llc-56f28</t>
  </si>
  <si>
    <t xml:space="preserve">XLJSS2NNHU27</t>
  </si>
  <si>
    <t xml:space="preserve">Montage + Magnum, LLC</t>
  </si>
  <si>
    <t xml:space="preserve">https://govtribe.com/vendors/montage-magnum-llc-9rt59</t>
  </si>
  <si>
    <t xml:space="preserve">YkNyU0VDNWpHWnBRdGJ6bHErVmNjUT09</t>
  </si>
  <si>
    <t xml:space="preserve">Professional Management Consulting Services LLC</t>
  </si>
  <si>
    <t xml:space="preserve">CD2QDS1EFHP3</t>
  </si>
  <si>
    <t xml:space="preserve">https://govtribe.com/vendors/professional-management-consulting-services-llc-pmcs-5ahh1</t>
  </si>
  <si>
    <t xml:space="preserve">T1QzYW1RRG90aCtYMnErVERYWE9Xdz09</t>
  </si>
  <si>
    <t xml:space="preserve">Rei Systems, Inc.</t>
  </si>
  <si>
    <t xml:space="preserve">YRNMVN96JC17</t>
  </si>
  <si>
    <t xml:space="preserve">https://govtribe.com/vendors/rei-systems-inc-dot-1djp1</t>
  </si>
  <si>
    <t xml:space="preserve">UjgxR3pRcTlIc1U0VkY3V1Q5NkNYZz09</t>
  </si>
  <si>
    <t xml:space="preserve">Scope It Consulting, LLC</t>
  </si>
  <si>
    <t xml:space="preserve">KN99UT9W5N77</t>
  </si>
  <si>
    <t xml:space="preserve">https://govtribe.com/vendors/scope-it-consulting-llc-7m3f4</t>
  </si>
  <si>
    <t xml:space="preserve">c085KytxTnY1SHdzdW5HRDdzWjZHZz09</t>
  </si>
  <si>
    <t xml:space="preserve">Spatial Front Inc.</t>
  </si>
  <si>
    <t xml:space="preserve">J1ADW6BL8MN5</t>
  </si>
  <si>
    <t xml:space="preserve">https://govtribe.com/vendors/spatial-front-incorporated-5xgw3</t>
  </si>
  <si>
    <t xml:space="preserve">Vk84djhvM2k0emtpdmJXQVNZYnNCdz09</t>
  </si>
  <si>
    <t xml:space="preserve">Strategic Communications LLC</t>
  </si>
  <si>
    <t xml:space="preserve">LJZRP7SE5LN4</t>
  </si>
  <si>
    <t xml:space="preserve">https://govtribe.com/vendors/strategic-communications-llc-3bgb4</t>
  </si>
  <si>
    <t xml:space="preserve">NmFORnlOSEp3LytPU1VRVVRTWVJ0Zz09</t>
  </si>
  <si>
    <t xml:space="preserve">Thundercat Technology, LLC</t>
  </si>
  <si>
    <t xml:space="preserve">UER4AJLUB8D5</t>
  </si>
  <si>
    <t xml:space="preserve">https://govtribe.com/vendors/thundercat-technology-llc-50wm7</t>
  </si>
  <si>
    <t xml:space="preserve">Sk1JT3ZIa0xIdGUrMjhSZWt0N2pvQT09</t>
  </si>
  <si>
    <t xml:space="preserve">University Corporation For Advanced Internet Development</t>
  </si>
  <si>
    <t xml:space="preserve">DZEBKFRD1ZN6</t>
  </si>
  <si>
    <t xml:space="preserve">https://govtribe.com/vendors/university-corporation-for-advanced-internet-development-internet2-1qu14</t>
  </si>
  <si>
    <t xml:space="preserve">Office code</t>
  </si>
  <si>
    <t xml:space="preserve">4900|4900|490700-A</t>
  </si>
  <si>
    <t xml:space="preserve">Directorate for Engineering</t>
  </si>
  <si>
    <t xml:space="preserve">490700-A</t>
  </si>
  <si>
    <t xml:space="preserve">https://govtribe.com/agency/federal-agency/national-science-foundation-directorate-for-engineering</t>
  </si>
  <si>
    <t xml:space="preserve">4900|4900|490600-A</t>
  </si>
  <si>
    <t xml:space="preserve">Directorate of Geosciences</t>
  </si>
  <si>
    <t xml:space="preserve">490600-A</t>
  </si>
  <si>
    <t xml:space="preserve">https://govtribe.com/agency/federal-agency/national-science-foundation-directorate-of-geosciences</t>
  </si>
  <si>
    <t xml:space="preserve">4900|4900|491004-A</t>
  </si>
  <si>
    <t xml:space="preserve">Division of Acquisition and Cooperative Support</t>
  </si>
  <si>
    <t xml:space="preserve">491004-A</t>
  </si>
  <si>
    <t xml:space="preserve">https://govtribe.com/agency/federal-agency/national-science-foundation-division-of-acquisition-and-cooperative-support</t>
  </si>
  <si>
    <t xml:space="preserve">4900|4900|490707-A</t>
  </si>
  <si>
    <t xml:space="preserve">Division of Industrial Innovation</t>
  </si>
  <si>
    <t xml:space="preserve">490707-A</t>
  </si>
  <si>
    <t xml:space="preserve">https://govtribe.com/agency/federal-agency/national-science-foundation-division-of-industrial-innovation</t>
  </si>
  <si>
    <t xml:space="preserve">4900|4900|490209-A</t>
  </si>
  <si>
    <t xml:space="preserve">Division of Information Systems</t>
  </si>
  <si>
    <t xml:space="preserve">490209-A</t>
  </si>
  <si>
    <t xml:space="preserve">https://govtribe.com/agency/federal-agency/national-science-foundation-division-of-information-systems</t>
  </si>
  <si>
    <t xml:space="preserve">4900|4900|490405-A</t>
  </si>
  <si>
    <t xml:space="preserve">Division of Social and Economic Science</t>
  </si>
  <si>
    <t xml:space="preserve">490405-A</t>
  </si>
  <si>
    <t xml:space="preserve">https://govtribe.com/agency/federal-agency/national-science-foundation-division-of-social-and-economic-science</t>
  </si>
  <si>
    <t xml:space="preserve">4900|4900|490403-A</t>
  </si>
  <si>
    <t xml:space="preserve">National Center for Science and Engineering Statistics</t>
  </si>
  <si>
    <t xml:space="preserve">490403-A</t>
  </si>
  <si>
    <t xml:space="preserve">https://govtribe.com/agency/federal-agency/national-science-foundation-national-center-for-science-and-engineering-statistics</t>
  </si>
  <si>
    <t xml:space="preserve">4900|4900|490001-A</t>
  </si>
  <si>
    <t xml:space="preserve">National Science Board</t>
  </si>
  <si>
    <t xml:space="preserve">490001-A</t>
  </si>
  <si>
    <t xml:space="preserve">https://govtribe.com/agency/federal-agency/national-science-foundation-national-science-board</t>
  </si>
  <si>
    <t xml:space="preserve">4900-A</t>
  </si>
  <si>
    <t xml:space="preserve">NSF — office not specified</t>
  </si>
  <si>
    <t xml:space="preserve">https://govtribe.com/agency/federal-agency/national-science-foundation</t>
  </si>
  <si>
    <t xml:space="preserve">4900|4900|491000-A</t>
  </si>
  <si>
    <t xml:space="preserve">Office of Budget Finance and Award Management</t>
  </si>
  <si>
    <t xml:space="preserve">491000-A</t>
  </si>
  <si>
    <t xml:space="preserve">https://govtribe.com/agency/federal-agency/national-science-foundation-office-of-budget-finance-and-award-management</t>
  </si>
  <si>
    <t xml:space="preserve">4900|4900|490200-A</t>
  </si>
  <si>
    <t xml:space="preserve">Office of Information Resource Management</t>
  </si>
  <si>
    <t xml:space="preserve">490200-A</t>
  </si>
  <si>
    <t xml:space="preserve">https://govtribe.com/agency/federal-agency/national-science-foundation-office-of-information-resource-management</t>
  </si>
  <si>
    <t xml:space="preserve">4900|4900|490002-A</t>
  </si>
  <si>
    <t xml:space="preserve">Office of the Inspector General</t>
  </si>
  <si>
    <t xml:space="preserve">490002-A</t>
  </si>
  <si>
    <t xml:space="preserve">https://govtribe.com/agency/federal-agency/national-science-foundation-office-of-the-inspector-general</t>
  </si>
  <si>
    <t xml:space="preserve">Awards</t>
  </si>
  <si>
    <t xml:space="preserve">All source awards are listed. Only amounts follow the filters; covered amounts span all covered dates.</t>
  </si>
  <si>
    <t xml:space="preserve">Award reference</t>
  </si>
  <si>
    <t xml:space="preserve">Period obligations</t>
  </si>
  <si>
    <t xml:space="preserve">Covered obligations</t>
  </si>
  <si>
    <t xml:space="preserve">Current set-aside</t>
  </si>
  <si>
    <t xml:space="preserve">Performance state</t>
  </si>
  <si>
    <t xml:space="preserve">Current obligations</t>
  </si>
  <si>
    <t xml:space="preserve">Potential ceiling</t>
  </si>
  <si>
    <t xml:space="preserve">Award date</t>
  </si>
  <si>
    <t xml:space="preserve">Completion date</t>
  </si>
  <si>
    <t xml:space="preserve">Place of performance</t>
  </si>
  <si>
    <t xml:space="preserve">Parent vehicle</t>
  </si>
  <si>
    <t xml:space="preserve">PSC</t>
  </si>
  <si>
    <t xml:space="preserve">NAICS</t>
  </si>
  <si>
    <t xml:space="preserve">Retrieved</t>
  </si>
  <si>
    <t xml:space="preserve">Award ID</t>
  </si>
  <si>
    <t xml:space="preserve">Original award reference</t>
  </si>
  <si>
    <t xml:space="preserve">Original vendor name</t>
  </si>
  <si>
    <t xml:space="preserve">Vendor URL</t>
  </si>
  <si>
    <t xml:space="preserve">Period actions</t>
  </si>
  <si>
    <t xml:space="preserve">Covered actions</t>
  </si>
  <si>
    <t xml:space="preserve">Alexandria, VA 22314, USA</t>
  </si>
  <si>
    <t xml:space="preserve">Federal Supply Schedule 47QTCA18D008L</t>
  </si>
  <si>
    <t xml:space="preserve">DA01</t>
  </si>
  <si>
    <t xml:space="preserve">541519</t>
  </si>
  <si>
    <t xml:space="preserve">47QTCA18D008L|49100425F0010</t>
  </si>
  <si>
    <t xml:space="preserve">47QTCA18D008L-49100425F0010</t>
  </si>
  <si>
    <t xml:space="preserve">https://govtribe.com/award/federal-contract-award/delivery-order-47qtca18d008l-49100425f0010</t>
  </si>
  <si>
    <t xml:space="preserve">Arlington, VA 22230, USA</t>
  </si>
  <si>
    <t xml:space="preserve">Federal Supply Schedule 47QTCA19D00GN</t>
  </si>
  <si>
    <t xml:space="preserve">541511</t>
  </si>
  <si>
    <t xml:space="preserve">47QTCA19D00GN|49100421F0206</t>
  </si>
  <si>
    <t xml:space="preserve">47QTCA19D00GN-49100421F0206</t>
  </si>
  <si>
    <t xml:space="preserve">https://govtribe.com/award/federal-contract-award/delivery-order-47qtca19d00gn-49100421f0206</t>
  </si>
  <si>
    <t xml:space="preserve">Federal Supply Schedule 47QTCA23D0037</t>
  </si>
  <si>
    <t xml:space="preserve">47QTCA23D0037|49100424F0196</t>
  </si>
  <si>
    <t xml:space="preserve">47QTCA23D0037-49100424F0196</t>
  </si>
  <si>
    <t xml:space="preserve">https://govtribe.com/award/federal-contract-award/delivery-order-47qtca23d0037-49100424f0196</t>
  </si>
  <si>
    <t xml:space="preserve">47QTCA23D0037|49100425F0092</t>
  </si>
  <si>
    <t xml:space="preserve">47QTCA23D0037-49100425F0092</t>
  </si>
  <si>
    <t xml:space="preserve">https://govtribe.com/award/federal-contract-award/delivery-order-47qtca23d0037-49100425f0092</t>
  </si>
  <si>
    <t xml:space="preserve">Government Wide Acquisition Contract (GWAC) 47QTCB21D0005</t>
  </si>
  <si>
    <t xml:space="preserve">541512</t>
  </si>
  <si>
    <t xml:space="preserve">47QTCB21D0005|49100422F0014</t>
  </si>
  <si>
    <t xml:space="preserve">47QTCB21D0005-49100422F0014</t>
  </si>
  <si>
    <t xml:space="preserve">https://govtribe.com/award/federal-contract-award/delivery-order-47qtcb21d0005-49100422f0014</t>
  </si>
  <si>
    <t xml:space="preserve">Syracuse, UT, USA</t>
  </si>
  <si>
    <t xml:space="preserve">47QTCB21D0005|49100422F0104</t>
  </si>
  <si>
    <t xml:space="preserve">47QTCB21D0005-49100422F0104</t>
  </si>
  <si>
    <t xml:space="preserve">https://govtribe.com/award/federal-contract-award/delivery-order-47qtcb21d0005-49100422f0104</t>
  </si>
  <si>
    <t xml:space="preserve">47QTCB21D0005|49100423F0061</t>
  </si>
  <si>
    <t xml:space="preserve">47QTCB21D0005-49100423F0061</t>
  </si>
  <si>
    <t xml:space="preserve">https://govtribe.com/award/federal-contract-award/delivery-order-47qtcb21d0005-49100423f0061</t>
  </si>
  <si>
    <t xml:space="preserve">Washington, DC 20005, USA</t>
  </si>
  <si>
    <t xml:space="preserve">Government Wide Acquisition Contract (GWAC) 47QTCB21D0016</t>
  </si>
  <si>
    <t xml:space="preserve">47QTCB21D0016|49100424F0029</t>
  </si>
  <si>
    <t xml:space="preserve">47QTCB21D0016-49100424F0029</t>
  </si>
  <si>
    <t xml:space="preserve">https://govtribe.com/award/federal-contract-award/delivery-order-47qtcb21d0016-49100424f0029</t>
  </si>
  <si>
    <t xml:space="preserve">Rockville, MD 20850, USA</t>
  </si>
  <si>
    <t xml:space="preserve">Government Wide Acquisition Contract (GWAC) 47QTCB21D0271</t>
  </si>
  <si>
    <t xml:space="preserve">47QTCB21D0271|49100424F0075</t>
  </si>
  <si>
    <t xml:space="preserve">47QTCB21D0271-49100424F0075</t>
  </si>
  <si>
    <t xml:space="preserve">https://govtribe.com/award/federal-contract-award/delivery-order-47qtcb21d0271-49100424f0075</t>
  </si>
  <si>
    <t xml:space="preserve">Government Wide Acquisition Contract (GWAC) 47QTCB22D0076</t>
  </si>
  <si>
    <t xml:space="preserve">47QTCB22D0076|49100423F0221</t>
  </si>
  <si>
    <t xml:space="preserve">47QTCB22D0076-49100423F0221</t>
  </si>
  <si>
    <t xml:space="preserve">https://govtribe.com/award/federal-contract-award/delivery-order-47qtcb22d0076-49100423f0221</t>
  </si>
  <si>
    <t xml:space="preserve">Government Wide Acquisition Contract (GWAC) 47QTCK18D0004</t>
  </si>
  <si>
    <t xml:space="preserve">47QTCK18D0004|49100424F0001</t>
  </si>
  <si>
    <t xml:space="preserve">47QTCK18D0004-49100424F0001</t>
  </si>
  <si>
    <t xml:space="preserve">https://govtribe.com/award/federal-contract-award/delivery-order-47qtck18d0004-49100424f0001</t>
  </si>
  <si>
    <t xml:space="preserve">Blanket Purchase Agreement 47QTCA18D002W-49100422A0002</t>
  </si>
  <si>
    <t xml:space="preserve">49100422A0002|49100423F0008</t>
  </si>
  <si>
    <t xml:space="preserve">49100422A0002-49100423F0008</t>
  </si>
  <si>
    <t xml:space="preserve">https://govtribe.com/award/federal-contract-award/bpa-call-49100422a0002-49100423f0008</t>
  </si>
  <si>
    <t xml:space="preserve">49100422A0002|49100423F0032</t>
  </si>
  <si>
    <t xml:space="preserve">49100422A0002-49100423F0032</t>
  </si>
  <si>
    <t xml:space="preserve">https://govtribe.com/award/federal-contract-award/bpa-call-49100422a0002-49100423f0032</t>
  </si>
  <si>
    <t xml:space="preserve">49100422A0002|49100424F0008</t>
  </si>
  <si>
    <t xml:space="preserve">49100422A0002-49100424F0008</t>
  </si>
  <si>
    <t xml:space="preserve">https://govtribe.com/award/federal-contract-award/bpa-call-49100422a0002-49100424f0008</t>
  </si>
  <si>
    <t xml:space="preserve">49100422A0002|49100424F0010</t>
  </si>
  <si>
    <t xml:space="preserve">49100422A0002-49100424F0010</t>
  </si>
  <si>
    <t xml:space="preserve">https://govtribe.com/award/federal-contract-award/bpa-call-49100422a0002-49100424f0010</t>
  </si>
  <si>
    <t xml:space="preserve">49100422A0002|49100424F0182</t>
  </si>
  <si>
    <t xml:space="preserve">49100422A0002-49100424F0182</t>
  </si>
  <si>
    <t xml:space="preserve">https://govtribe.com/award/federal-contract-award/bpa-call-49100422a0002-49100424f0182</t>
  </si>
  <si>
    <t xml:space="preserve">Vienna, VA 22180, USA</t>
  </si>
  <si>
    <t xml:space="preserve">49100422A0002|49100424F0245</t>
  </si>
  <si>
    <t xml:space="preserve">49100422A0002-49100424F0245</t>
  </si>
  <si>
    <t xml:space="preserve">https://govtribe.com/award/federal-contract-award/bpa-call-49100422a0002-49100424f0245</t>
  </si>
  <si>
    <t xml:space="preserve">49100422A0002|49100425F0016</t>
  </si>
  <si>
    <t xml:space="preserve">49100422A0002-49100425F0016</t>
  </si>
  <si>
    <t xml:space="preserve">https://govtribe.com/award/federal-contract-award/bpa-call-49100422a0002-49100425f0016</t>
  </si>
  <si>
    <t xml:space="preserve">49100422A0002|49100425F0017</t>
  </si>
  <si>
    <t xml:space="preserve">49100422A0002-49100425F0017</t>
  </si>
  <si>
    <t xml:space="preserve">https://govtribe.com/award/federal-contract-award/bpa-call-49100422a0002-49100425f0017</t>
  </si>
  <si>
    <t xml:space="preserve">541715</t>
  </si>
  <si>
    <t xml:space="preserve">49100422C0029</t>
  </si>
  <si>
    <t xml:space="preserve">https://govtribe.com/award/federal-contract-award/definitive-contract-49100422c0029</t>
  </si>
  <si>
    <t xml:space="preserve">Ashburn, VA 20148, USA</t>
  </si>
  <si>
    <t xml:space="preserve">Indefinite Delivery Contract 49100422D0010</t>
  </si>
  <si>
    <t xml:space="preserve">49100422D0010|49100423F0015</t>
  </si>
  <si>
    <t xml:space="preserve">49100422D0010-49100423F0015</t>
  </si>
  <si>
    <t xml:space="preserve">https://govtribe.com/award/federal-contract-award/delivery-order-49100422d0010-49100423f0015</t>
  </si>
  <si>
    <t xml:space="preserve">49100422D0010|49100423F0016</t>
  </si>
  <si>
    <t xml:space="preserve">49100422D0010-49100423F0016</t>
  </si>
  <si>
    <t xml:space="preserve">https://govtribe.com/award/federal-contract-award/delivery-order-49100422d0010-49100423f0016</t>
  </si>
  <si>
    <t xml:space="preserve">49100422D0010|49100423F0076</t>
  </si>
  <si>
    <t xml:space="preserve">49100422D0010-49100423F0076</t>
  </si>
  <si>
    <t xml:space="preserve">https://govtribe.com/award/federal-contract-award/delivery-order-49100422d0010-49100423f0076</t>
  </si>
  <si>
    <t xml:space="preserve">49100422D0010|49100423F0226</t>
  </si>
  <si>
    <t xml:space="preserve">49100422D0010-49100423F0226</t>
  </si>
  <si>
    <t xml:space="preserve">https://govtribe.com/award/federal-contract-award/delivery-order-49100422d0010-49100423f0226</t>
  </si>
  <si>
    <t xml:space="preserve">49100422D0010|49100424F0097</t>
  </si>
  <si>
    <t xml:space="preserve">49100422D0010-49100424F0097</t>
  </si>
  <si>
    <t xml:space="preserve">https://govtribe.com/award/federal-contract-award/delivery-order-49100422d0010-49100424f0097</t>
  </si>
  <si>
    <t xml:space="preserve">49100422D0010|49100424F0099</t>
  </si>
  <si>
    <t xml:space="preserve">49100422D0010-49100424F0099</t>
  </si>
  <si>
    <t xml:space="preserve">https://govtribe.com/award/federal-contract-award/delivery-order-49100422d0010-49100424f0099</t>
  </si>
  <si>
    <t xml:space="preserve">49100422D0010|49100424F0165</t>
  </si>
  <si>
    <t xml:space="preserve">49100422D0010-49100424F0165</t>
  </si>
  <si>
    <t xml:space="preserve">https://govtribe.com/award/federal-contract-award/delivery-order-49100422d0010-49100424f0165</t>
  </si>
  <si>
    <t xml:space="preserve">49100422D0010|49100424F0187</t>
  </si>
  <si>
    <t xml:space="preserve">49100422D0010-49100424F0187</t>
  </si>
  <si>
    <t xml:space="preserve">https://govtribe.com/award/federal-contract-award/delivery-order-49100422d0010-49100424f0187</t>
  </si>
  <si>
    <t xml:space="preserve">Berkeley Lake, GA 30096, USA</t>
  </si>
  <si>
    <t xml:space="preserve">49100423C0050</t>
  </si>
  <si>
    <t xml:space="preserve">https://govtribe.com/award/federal-contract-award/definitive-contract-49100423c0050</t>
  </si>
  <si>
    <t xml:space="preserve">49100423C0052</t>
  </si>
  <si>
    <t xml:space="preserve">https://govtribe.com/award/federal-contract-award/definitive-contract-49100423c0052</t>
  </si>
  <si>
    <t xml:space="preserve">813910</t>
  </si>
  <si>
    <t xml:space="preserve">49100423P0060</t>
  </si>
  <si>
    <t xml:space="preserve">https://govtribe.com/award/federal-contract-award/purchase-order-49100423p0060</t>
  </si>
  <si>
    <t xml:space="preserve">Blanket Purchase Agreement GS35F0648Y-49100424A0001</t>
  </si>
  <si>
    <t xml:space="preserve">49100424A0001|49100424F0030</t>
  </si>
  <si>
    <t xml:space="preserve">49100424A0001-49100424F0030</t>
  </si>
  <si>
    <t xml:space="preserve">https://govtribe.com/award/federal-contract-award/bpa-call-49100424a0001-49100424f0030</t>
  </si>
  <si>
    <t xml:space="preserve">49100424A0001|49100424F0051</t>
  </si>
  <si>
    <t xml:space="preserve">49100424A0001-49100424F0051</t>
  </si>
  <si>
    <t xml:space="preserve">https://govtribe.com/award/federal-contract-award/bpa-call-49100424a0001-49100424f0051</t>
  </si>
  <si>
    <t xml:space="preserve">49100424A0001|49100424F0052</t>
  </si>
  <si>
    <t xml:space="preserve">49100424A0001-49100424F0052</t>
  </si>
  <si>
    <t xml:space="preserve">https://govtribe.com/award/federal-contract-award/bpa-call-49100424a0001-49100424f0052</t>
  </si>
  <si>
    <t xml:space="preserve">49100424A0001|49100424F0053</t>
  </si>
  <si>
    <t xml:space="preserve">49100424A0001-49100424F0053</t>
  </si>
  <si>
    <t xml:space="preserve">https://govtribe.com/award/federal-contract-award/bpa-call-49100424a0001-49100424f0053</t>
  </si>
  <si>
    <t xml:space="preserve">49100424A0001|49100424F0054</t>
  </si>
  <si>
    <t xml:space="preserve">49100424A0001-49100424F0054</t>
  </si>
  <si>
    <t xml:space="preserve">https://govtribe.com/award/federal-contract-award/bpa-call-49100424a0001-49100424f0054</t>
  </si>
  <si>
    <t xml:space="preserve">49100424A0001|49100424F0055</t>
  </si>
  <si>
    <t xml:space="preserve">49100424A0001-49100424F0055</t>
  </si>
  <si>
    <t xml:space="preserve">https://govtribe.com/award/federal-contract-award/bpa-call-49100424a0001-49100424f0055</t>
  </si>
  <si>
    <t xml:space="preserve">Westlake, MD 20817, USA</t>
  </si>
  <si>
    <t xml:space="preserve">49100424A0001|49100424F0226</t>
  </si>
  <si>
    <t xml:space="preserve">49100424A0001-49100424F0226</t>
  </si>
  <si>
    <t xml:space="preserve">https://govtribe.com/award/federal-contract-award/bpa-call-49100424a0001-49100424f0226</t>
  </si>
  <si>
    <t xml:space="preserve">49100424A0001|49100424F0246</t>
  </si>
  <si>
    <t xml:space="preserve">49100424A0001-49100424F0246</t>
  </si>
  <si>
    <t xml:space="preserve">https://govtribe.com/award/federal-contract-award/bpa-call-49100424a0001-49100424f0246</t>
  </si>
  <si>
    <t xml:space="preserve">49100424A0001|49100425F0037</t>
  </si>
  <si>
    <t xml:space="preserve">49100424A0001-49100425F0037</t>
  </si>
  <si>
    <t xml:space="preserve">https://govtribe.com/award/federal-contract-award/bpa-call-49100424a0001-49100425f0037</t>
  </si>
  <si>
    <t xml:space="preserve">Blanket Purchase Agreement GS35F056GA-49100424A0006</t>
  </si>
  <si>
    <t xml:space="preserve">49100424A0006|49100424F0073</t>
  </si>
  <si>
    <t xml:space="preserve">49100424A0006-49100424F0073</t>
  </si>
  <si>
    <t xml:space="preserve">https://govtribe.com/award/federal-contract-award/bpa-call-49100424a0006-49100424f0073</t>
  </si>
  <si>
    <t xml:space="preserve">West McLean, VA 22102, USA</t>
  </si>
  <si>
    <t xml:space="preserve">519290</t>
  </si>
  <si>
    <t xml:space="preserve">49100424C0027</t>
  </si>
  <si>
    <t xml:space="preserve">https://govtribe.com/award/federal-contract-award/definitive-contract-49100424c0027</t>
  </si>
  <si>
    <t xml:space="preserve">49100424C0051</t>
  </si>
  <si>
    <t xml:space="preserve">https://govtribe.com/award/federal-contract-award/definitive-contract-49100424c0051</t>
  </si>
  <si>
    <t xml:space="preserve">49100424P0013</t>
  </si>
  <si>
    <t xml:space="preserve">https://govtribe.com/award/federal-contract-award/purchase-order-49100424p0013</t>
  </si>
  <si>
    <t xml:space="preserve">49100425C0024</t>
  </si>
  <si>
    <t xml:space="preserve">https://govtribe.com/award/federal-contract-award/definitive-contract-49100425c0024</t>
  </si>
  <si>
    <t xml:space="preserve">Indefinite Delivery Contract 49100425D0009</t>
  </si>
  <si>
    <t xml:space="preserve">49100425D0009|49100425F0114</t>
  </si>
  <si>
    <t xml:space="preserve">49100425D0009-49100425F0114</t>
  </si>
  <si>
    <t xml:space="preserve">https://govtribe.com/award/federal-contract-award/delivery-order-49100425d0009-49100425f0114</t>
  </si>
  <si>
    <t xml:space="preserve">49100425P0006</t>
  </si>
  <si>
    <t xml:space="preserve">https://govtribe.com/award/federal-contract-award/purchase-order-49100425p0006</t>
  </si>
  <si>
    <t xml:space="preserve">Lafayette, CA 94549, USA</t>
  </si>
  <si>
    <t xml:space="preserve">Federal Supply Schedule GS35F337BA</t>
  </si>
  <si>
    <t xml:space="preserve">GS35F337BA|49100421F0078</t>
  </si>
  <si>
    <t xml:space="preserve">GS35F337BA-49100421F0078</t>
  </si>
  <si>
    <t xml:space="preserve">https://govtribe.com/award/federal-contract-award/delivery-order-gs35f337ba-49100421f0078</t>
  </si>
  <si>
    <t xml:space="preserve">Government Wide Acquisition Contract (GWAC) NNG15SC90B</t>
  </si>
  <si>
    <t xml:space="preserve">NNG15SC90B|49100424F0064</t>
  </si>
  <si>
    <t xml:space="preserve">NNG15SC90B-49100424F0064</t>
  </si>
  <si>
    <t xml:space="preserve">https://govtribe.com/award/federal-contract-award/delivery-order-nng15sc90b-49100424f0064</t>
  </si>
  <si>
    <t xml:space="preserve">Government Wide Acquisition Contract (GWAC) NNG15SD26B</t>
  </si>
  <si>
    <t xml:space="preserve">NNG15SD26B|49100424F0041</t>
  </si>
  <si>
    <t xml:space="preserve">NNG15SD26B-49100424F0041</t>
  </si>
  <si>
    <t xml:space="preserve">https://govtribe.com/award/federal-contract-award/delivery-order-nng15sd26b-49100424f0041</t>
  </si>
  <si>
    <t xml:space="preserve">Indefinite Delivery Contract NSFDACS17C1380</t>
  </si>
  <si>
    <t xml:space="preserve">NSFDACS17C1380|49100421F0198</t>
  </si>
  <si>
    <t xml:space="preserve">NSFDACS17C1380-49100421F0198</t>
  </si>
  <si>
    <t xml:space="preserve">https://govtribe.com/award/federal-contract-award/delivery-order-nsfdacs17c1380-49100421f0198</t>
  </si>
  <si>
    <t xml:space="preserve">Buyer</t>
  </si>
  <si>
    <t xml:space="preserve">National Science Foundation</t>
  </si>
  <si>
    <t xml:space="preserve">Scope</t>
  </si>
  <si>
    <t xml:space="preserve">Application support (PSC DA01)</t>
  </si>
  <si>
    <t xml:space="preserve">Funding-agency basis. PSC DA01 includes mission applications, web, service desk and cloud support. This is not all NSF IT spending.</t>
  </si>
  <si>
    <t xml:space="preserve">Net obligations include deobligations. They are not cash payments, award ceilings or vendor revenue.</t>
  </si>
  <si>
    <t xml:space="preserve">Included</t>
  </si>
  <si>
    <t xml:space="preserve">Excluded actions</t>
  </si>
  <si>
    <t xml:space="preserve">Excluded dollars</t>
  </si>
  <si>
    <t xml:space="preserve">Row total</t>
  </si>
  <si>
    <t xml:space="preserve">Search aggregate</t>
  </si>
  <si>
    <t xml:space="preserve">Difference</t>
  </si>
  <si>
    <t xml:space="preserve">Twelve unlinked $0 actions remain excluded. Net totals use exact returned transaction cents; the search aggregate differs by $0.02931732.</t>
  </si>
  <si>
    <t xml:space="preserve">Blue: report settings. Green: source inputs. Gray: calculations. Expand grouped columns for IDs and calculation steps.</t>
  </si>
  <si>
    <t xml:space="preserve">Date</t>
  </si>
  <si>
    <t xml:space="preserve">Obligations</t>
  </si>
  <si>
    <t xml:space="preserve">Inclusion</t>
  </si>
  <si>
    <t xml:space="preserve">Exclusion reason</t>
  </si>
  <si>
    <t xml:space="preserve">Transaction ID</t>
  </si>
  <si>
    <t xml:space="preserve">Funding office ID</t>
  </si>
  <si>
    <t xml:space="preserve">Original office name</t>
  </si>
  <si>
    <t xml:space="preserve">Award URL</t>
  </si>
  <si>
    <t xml:space="preserve">Office URL</t>
  </si>
  <si>
    <t xml:space="preserve">FY</t>
  </si>
  <si>
    <t xml:space="preserve">Eligible</t>
  </si>
  <si>
    <t xml:space="preserve">Dimension match</t>
  </si>
  <si>
    <t xml:space="preserve">Selected</t>
  </si>
  <si>
    <t xml:space="preserve">Nonzero</t>
  </si>
  <si>
    <t xml:space="preserve">First selected award</t>
  </si>
  <si>
    <t xml:space="preserve">First selected vendor</t>
  </si>
  <si>
    <t xml:space="preserve">First annual award</t>
  </si>
  <si>
    <t xml:space="preserve">First annual vendor</t>
  </si>
  <si>
    <t xml:space="preserve">First office award</t>
  </si>
  <si>
    <t xml:space="preserve">First vendor award</t>
  </si>
  <si>
    <t xml:space="preserve">Positive</t>
  </si>
  <si>
    <t xml:space="preserve">Include</t>
  </si>
  <si>
    <t xml:space="preserve">49100422A0002|4900|49100423F0008|0|0</t>
  </si>
  <si>
    <t xml:space="preserve">4900|49100422C0029|P00001|0</t>
  </si>
  <si>
    <t xml:space="preserve">49100422D0010|4900|49100423F0015|0|0</t>
  </si>
  <si>
    <t xml:space="preserve">49100422D0010|4900|49100423F0016|0|0</t>
  </si>
  <si>
    <t xml:space="preserve">GS35F337BA|4900|49100421F0078|P00007|0</t>
  </si>
  <si>
    <t xml:space="preserve">47QTCA19D00GN|4900|49100421F0206|P00003|0</t>
  </si>
  <si>
    <t xml:space="preserve">47QTCB21D0005|4900|49100422F0014|P00003|0</t>
  </si>
  <si>
    <t xml:space="preserve">4900|49100422C0029|P00002|0</t>
  </si>
  <si>
    <t xml:space="preserve">49100422A0002|4900|49100423F0008|P00001|0</t>
  </si>
  <si>
    <t xml:space="preserve">49100422A0002|4900|49100423F0032|0|0</t>
  </si>
  <si>
    <t xml:space="preserve">49100422A0002|4900|49100423F0032|P00001|0</t>
  </si>
  <si>
    <t xml:space="preserve">GS35F337BA|4900|49100421F0078|P00008|0</t>
  </si>
  <si>
    <t xml:space="preserve">47QTCB21D0005|4900|49100423F0061|0|0</t>
  </si>
  <si>
    <t xml:space="preserve">4900|49100422C0029|P00003|0</t>
  </si>
  <si>
    <t xml:space="preserve">49100422A0002|4900|49100423F0032|P00002|0</t>
  </si>
  <si>
    <t xml:space="preserve">49100422D0010|4900|49100423F0076|0|0</t>
  </si>
  <si>
    <t xml:space="preserve">GS35F337BA|4900|49100421F0078|P00009|0</t>
  </si>
  <si>
    <t xml:space="preserve">47QTCB21D0005|4900|49100422F0104|P00001|0</t>
  </si>
  <si>
    <t xml:space="preserve">GS35F337BA|4900|49100421F0078|P00010|0</t>
  </si>
  <si>
    <t xml:space="preserve">GS35F337BA|4900|49100421F0078|P00011|0</t>
  </si>
  <si>
    <t xml:space="preserve">4900|49100422C0029|P00004|0</t>
  </si>
  <si>
    <t xml:space="preserve">GS35F337BA|4900|49100421F0078|P00012|0</t>
  </si>
  <si>
    <t xml:space="preserve">GS35F337BA|4900|49100421F0078|P00013|0</t>
  </si>
  <si>
    <t xml:space="preserve">4900|49100423P0060|0|0</t>
  </si>
  <si>
    <t xml:space="preserve">GS35F337BA|4900|49100421F0078|P00014|0</t>
  </si>
  <si>
    <t xml:space="preserve">47QTCB21D0005|4900|49100422F0104|P00002|0</t>
  </si>
  <si>
    <t xml:space="preserve">GS35F337BA|4900|49100421F0078|P00015|0</t>
  </si>
  <si>
    <t xml:space="preserve">Exclude</t>
  </si>
  <si>
    <t xml:space="preserve">No contract-award parent in the verified lookup cohort</t>
  </si>
  <si>
    <t xml:space="preserve">4900|49100422D0010|P00001</t>
  </si>
  <si>
    <t xml:space="preserve">Unlinked</t>
  </si>
  <si>
    <t xml:space="preserve">47QTCB22D0076|4900|49100423F0221|0|0</t>
  </si>
  <si>
    <t xml:space="preserve">49100422A0002|4900|49100423F0032|P00003|0</t>
  </si>
  <si>
    <t xml:space="preserve">49100422D0010|4900|49100423F0226|0|0</t>
  </si>
  <si>
    <t xml:space="preserve">4900|49100422C0029|P00005|0</t>
  </si>
  <si>
    <t xml:space="preserve">4900|49100423C0052|0|0</t>
  </si>
  <si>
    <t xml:space="preserve">4900|49100423C0050|0|0</t>
  </si>
  <si>
    <t xml:space="preserve">GS35F337BA|4900|49100421F0078|P00016|0</t>
  </si>
  <si>
    <t xml:space="preserve">47QTCA19D00GN|4900|49100421F0206|P00004|0</t>
  </si>
  <si>
    <t xml:space="preserve">49100422A0002|4900|49100423F0008|P00002|0</t>
  </si>
  <si>
    <t xml:space="preserve">47QTCA19D00GN|4900|49100421F0206|P00005|0</t>
  </si>
  <si>
    <t xml:space="preserve">47QTCA19D00GN|4900|49100421F0206|P00006|0</t>
  </si>
  <si>
    <t xml:space="preserve">GS35F0648Y|4900|49100424A0001|0</t>
  </si>
  <si>
    <t xml:space="preserve">GS35F337BA|4900|49100421F0078|P00017|0</t>
  </si>
  <si>
    <t xml:space="preserve">47QTCA18D002W|4900|49100422A0002|P00001</t>
  </si>
  <si>
    <t xml:space="preserve">49100422A0002|4900|49100424F0008|0|0</t>
  </si>
  <si>
    <t xml:space="preserve">49100422A0002|4900|49100424F0010|0|0</t>
  </si>
  <si>
    <t xml:space="preserve">47QTCA18D002W|4900|49100422A0002|P00002</t>
  </si>
  <si>
    <t xml:space="preserve">4900|49100422C0029|P00006|0</t>
  </si>
  <si>
    <t xml:space="preserve">GS35F337BA|4900|49100421F0078|P00018|0</t>
  </si>
  <si>
    <t xml:space="preserve">47QTCA19D00GN|4900|49100421F0206|P00007|0</t>
  </si>
  <si>
    <t xml:space="preserve">47QTCB21D0005|4900|49100422F0104|P00003|0</t>
  </si>
  <si>
    <t xml:space="preserve">47QTCK18D0004|4900|49100424F0001|0|0</t>
  </si>
  <si>
    <t xml:space="preserve">4900|49100424P0013|0|0</t>
  </si>
  <si>
    <t xml:space="preserve">49100422D0010|4900|49100423F0226|P00001|0</t>
  </si>
  <si>
    <t xml:space="preserve">4900|49100422C0029|P00007|0</t>
  </si>
  <si>
    <t xml:space="preserve">49100422A0002|4900|49100424F0010|P00001|0</t>
  </si>
  <si>
    <t xml:space="preserve">47QTCB21D0005|4900|49100422F0014|P00004|0</t>
  </si>
  <si>
    <t xml:space="preserve">49100424A0001|4900|49100424F0030|0|0</t>
  </si>
  <si>
    <t xml:space="preserve">49100424A0001|4900|49100424F0030|P00001|0</t>
  </si>
  <si>
    <t xml:space="preserve">47QTCA19D00GN|4900|49100421F0206|P00008|0</t>
  </si>
  <si>
    <t xml:space="preserve">NNG15SD26B|4900|49100424F0041|0|0</t>
  </si>
  <si>
    <t xml:space="preserve">47QTCB21D0016|4900|49100424F0029|0|0</t>
  </si>
  <si>
    <t xml:space="preserve">49100424A0001|4900|49100424F0051|0|0</t>
  </si>
  <si>
    <t xml:space="preserve">49100424A0001|4900|49100424F0052|0|0</t>
  </si>
  <si>
    <t xml:space="preserve">49100424A0001|4900|49100424F0054|0|0</t>
  </si>
  <si>
    <t xml:space="preserve">49100424A0001|4900|49100424F0055|0|0</t>
  </si>
  <si>
    <t xml:space="preserve">49100424A0001|4900|49100424F0053|0|0</t>
  </si>
  <si>
    <t xml:space="preserve">47QTCK18D0004|4900|49100424F0001|P00001|0</t>
  </si>
  <si>
    <t xml:space="preserve">GS35F337BA|4900|49100421F0078|P00019|0</t>
  </si>
  <si>
    <t xml:space="preserve">49100424A0006|4900|49100424F0073|0|0</t>
  </si>
  <si>
    <t xml:space="preserve">GS35F056GA|4900|49100424A0006|0</t>
  </si>
  <si>
    <t xml:space="preserve">47QTCK18D0004|4900|49100424F0001|P00002|0</t>
  </si>
  <si>
    <t xml:space="preserve">47QTCB21D0271|4900|49100424F0075|0|0</t>
  </si>
  <si>
    <t xml:space="preserve">NNG15SC90B|4900|49100424F0064|0|0</t>
  </si>
  <si>
    <t xml:space="preserve">GS35F337BA|4900|49100421F0078|P00020|0</t>
  </si>
  <si>
    <t xml:space="preserve">4900|49100422C0029|P00008|0</t>
  </si>
  <si>
    <t xml:space="preserve">49100424A0001|4900|49100424F0030|P00002|0</t>
  </si>
  <si>
    <t xml:space="preserve">GS35F337BA|4900|49100421F0078|P00021|0</t>
  </si>
  <si>
    <t xml:space="preserve">4900|49100424C0027|0|0</t>
  </si>
  <si>
    <t xml:space="preserve">49100422D0010|4900|49100424F0097|0|0</t>
  </si>
  <si>
    <t xml:space="preserve">4900|49100424C0027|P00001|0</t>
  </si>
  <si>
    <t xml:space="preserve">47QTCK18D0004|4900|49100424F0001|P00003|0</t>
  </si>
  <si>
    <t xml:space="preserve">49100424A0001|4900|49100424F0055|P00001|0</t>
  </si>
  <si>
    <t xml:space="preserve">49100422D0010|4900|49100424F0099|0|0</t>
  </si>
  <si>
    <t xml:space="preserve">4900|49100423C0052|P00001|0</t>
  </si>
  <si>
    <t xml:space="preserve">49100422A0002|4900|49100424F0008|P00001|0</t>
  </si>
  <si>
    <t xml:space="preserve">49100424A0001|4900|49100424F0052|P00001|0</t>
  </si>
  <si>
    <t xml:space="preserve">49100424A0001|4900|49100424F0052|P00002|0</t>
  </si>
  <si>
    <t xml:space="preserve">47QTCB21D0005|4900|49100422F0104|P00004|0</t>
  </si>
  <si>
    <t xml:space="preserve">4900|49100422C0029|P00009|0</t>
  </si>
  <si>
    <t xml:space="preserve">49100424A0001|4900|49100424F0054|P00001|0</t>
  </si>
  <si>
    <t xml:space="preserve">49100424A0001|4900|49100424F0051|P00001|0</t>
  </si>
  <si>
    <t xml:space="preserve">49100424A0006|4900|49100424F0073|P00001|0</t>
  </si>
  <si>
    <t xml:space="preserve">NNG15SC90B|4900|49100424F0064|P00001|0</t>
  </si>
  <si>
    <t xml:space="preserve">47QTCK18D0004|4900|49100424F0001|P00004|0</t>
  </si>
  <si>
    <t xml:space="preserve">NNG15SD26B|4900|49100424F0041|P00001|0</t>
  </si>
  <si>
    <t xml:space="preserve">4900|49100422D0010|P00002</t>
  </si>
  <si>
    <t xml:space="preserve">GS35F337BA|4900|49100421F0078|P00022|0</t>
  </si>
  <si>
    <t xml:space="preserve">49100422A0002|4900|49100424F0182|0|0</t>
  </si>
  <si>
    <t xml:space="preserve">49100424A0001|4900|49100424F0030|P00003|0</t>
  </si>
  <si>
    <t xml:space="preserve">47QTCA23D0037|4900|49100424F0196|0|0</t>
  </si>
  <si>
    <t xml:space="preserve">47QTCA19D00GN|4900|49100421F0206|P00009|0</t>
  </si>
  <si>
    <t xml:space="preserve">4900|49100423C0052|P00002|0</t>
  </si>
  <si>
    <t xml:space="preserve">4900|49100424C0051|0|0</t>
  </si>
  <si>
    <t xml:space="preserve">NNG15SC90B|4900|49100424F0064|P00002|0</t>
  </si>
  <si>
    <t xml:space="preserve">47QTCB22D0076|4900|49100423F0221|P00001|0</t>
  </si>
  <si>
    <t xml:space="preserve">49100424A0001|4900|49100424F0055|P00002|0</t>
  </si>
  <si>
    <t xml:space="preserve">49100424A0006|4900|49100424F0073|P00002|0</t>
  </si>
  <si>
    <t xml:space="preserve">49100424A0001|4900|49100424F0226|0|0</t>
  </si>
  <si>
    <t xml:space="preserve">49100422A0002|4900|49100424F0245|0|0</t>
  </si>
  <si>
    <t xml:space="preserve">49100424A0001|4900|49100424F0246|0|0</t>
  </si>
  <si>
    <t xml:space="preserve">47QTCK18D0004|4900|49100424F0001|P00005|0</t>
  </si>
  <si>
    <t xml:space="preserve">49100422D0010|4900|49100424F0165|0|0</t>
  </si>
  <si>
    <t xml:space="preserve">4900|49100423C0050|P00001|0</t>
  </si>
  <si>
    <t xml:space="preserve">49100422D0010|4900|49100424F0187|0|0</t>
  </si>
  <si>
    <t xml:space="preserve">49100424A0006|4900|49100424F0073|P00003|0</t>
  </si>
  <si>
    <t xml:space="preserve">GS35F056GA|4900|49100424A0006|P00001</t>
  </si>
  <si>
    <t xml:space="preserve">49100422A0002|4900|49100424F0010|P00002|0</t>
  </si>
  <si>
    <t xml:space="preserve">49100424A0001|4900|49100424F0052|P00003|0</t>
  </si>
  <si>
    <t xml:space="preserve">GS35F0648Y|4900|49100424A0001|P00001</t>
  </si>
  <si>
    <t xml:space="preserve">49100424A0001|4900|49100424F0051|P00002|0</t>
  </si>
  <si>
    <t xml:space="preserve">49100424A0001|4900|49100424F0055|P00003|0</t>
  </si>
  <si>
    <t xml:space="preserve">49100424A0001|4900|49100424F0052|P00004|0</t>
  </si>
  <si>
    <t xml:space="preserve">47QTCK18D0004|4900|49100424F0001|P00006|0</t>
  </si>
  <si>
    <t xml:space="preserve">47QTCK18D0004|4900|49100424F0001|P00007|0</t>
  </si>
  <si>
    <t xml:space="preserve">49100424A0001|4900|49100424F0030|P00004|0</t>
  </si>
  <si>
    <t xml:space="preserve">49100424A0001|4900|49100424F0246|P00001|0</t>
  </si>
  <si>
    <t xml:space="preserve">47QTCA23D0037|4900|49100424F0196|P00001|0</t>
  </si>
  <si>
    <t xml:space="preserve">4900|49100423C0052|P00003|0</t>
  </si>
  <si>
    <t xml:space="preserve">GS35F337BA|4900|49100421F0078|P00023|0</t>
  </si>
  <si>
    <t xml:space="preserve">47QTCK18D0004|4900|49100424F0001|P00008|0</t>
  </si>
  <si>
    <t xml:space="preserve">4900|49100425P0006|0|0</t>
  </si>
  <si>
    <t xml:space="preserve">GS35F337BA|4900|49100421F0078|P00024|0</t>
  </si>
  <si>
    <t xml:space="preserve">49100422A0002|4900|49100424F0182|P00001|0</t>
  </si>
  <si>
    <t xml:space="preserve">49100424A0001|4900|49100424F0226|P00001|0</t>
  </si>
  <si>
    <t xml:space="preserve">49100422A0002|4900|49100425F0016|0|0</t>
  </si>
  <si>
    <t xml:space="preserve">49100422A0002|4900|49100425F0017|0|0</t>
  </si>
  <si>
    <t xml:space="preserve">4900|49100424C0051|P00001|0</t>
  </si>
  <si>
    <t xml:space="preserve">49100422A0002|4900|49100424F0008|P00002|0</t>
  </si>
  <si>
    <t xml:space="preserve">47QTCA18D008L|4900|49100425F0010|0|0</t>
  </si>
  <si>
    <t xml:space="preserve">47QTCK18D0004|4900|49100424F0001|P00009|0</t>
  </si>
  <si>
    <t xml:space="preserve">49100422A0002|4900|49100424F0182|P00002|0</t>
  </si>
  <si>
    <t xml:space="preserve">47QTCA18D002W|4900|49100422A0002|P00003</t>
  </si>
  <si>
    <t xml:space="preserve">4900|49100424C0027|P00002|0</t>
  </si>
  <si>
    <t xml:space="preserve">47QTCB21D0005|4900|49100422F0014|P00005|0</t>
  </si>
  <si>
    <t xml:space="preserve">47QTCK18D0004|4900|49100424F0001|P00010|0</t>
  </si>
  <si>
    <t xml:space="preserve">49100424A0001|4900|49100424F0053|P00001|0</t>
  </si>
  <si>
    <t xml:space="preserve">49100424A0001|4900|49100424F0052|P00005|0</t>
  </si>
  <si>
    <t xml:space="preserve">49100424A0001|4900|49100424F0054|P00002|0</t>
  </si>
  <si>
    <t xml:space="preserve">49100424A0001|4900|49100424F0030|P00005|0</t>
  </si>
  <si>
    <t xml:space="preserve">47QTCA23D0037|4900|49100424F0196|P00002|0</t>
  </si>
  <si>
    <t xml:space="preserve">49100424A0001|4900|49100424F0055|P00004|0</t>
  </si>
  <si>
    <t xml:space="preserve">49100424A0001|4900|49100425F0037|0|0</t>
  </si>
  <si>
    <t xml:space="preserve">49100422A0002|4900|49100424F0245|P00001|0</t>
  </si>
  <si>
    <t xml:space="preserve">47QTCB21D0016|4900|49100424F0029|P00001|0</t>
  </si>
  <si>
    <t xml:space="preserve">NSFDACS17C1380|4900|49100421F0198|P00001|0</t>
  </si>
  <si>
    <t xml:space="preserve">49100424A0001|4900|49100424F0051|P00003|0</t>
  </si>
  <si>
    <t xml:space="preserve">49100422A0002|4900|49100424F0245|P00002|0</t>
  </si>
  <si>
    <t xml:space="preserve">49100422A0002|4900|49100425F0017|P00001|0</t>
  </si>
  <si>
    <t xml:space="preserve">47QTCK18D0004|4900|49100424F0001|P00011|0</t>
  </si>
  <si>
    <t xml:space="preserve">47QTCK18D0004|4900|49100424F0001|P00012|0</t>
  </si>
  <si>
    <t xml:space="preserve">4900|49100424C0051|P00002|0</t>
  </si>
  <si>
    <t xml:space="preserve">49100424A0001|4900|49100424F0246|P00002|0</t>
  </si>
  <si>
    <t xml:space="preserve">49100424A0001|4900|49100424F0226|P00002|0</t>
  </si>
  <si>
    <t xml:space="preserve">GS35F337BA|4900|49100421F0078|P00025|0</t>
  </si>
  <si>
    <t xml:space="preserve">NNG15SC90B|4900|49100424F0064|P00003|0</t>
  </si>
  <si>
    <t xml:space="preserve">49100424A0006|4900|49100424F0073|P00004|0</t>
  </si>
  <si>
    <t xml:space="preserve">47QTCK18D0004|4900|49100424F0001|P00013|0</t>
  </si>
  <si>
    <t xml:space="preserve">GS35F056GA|4900|49100424A0006|P00002</t>
  </si>
  <si>
    <t xml:space="preserve">47QTCA19D00GN|4900|49100421F0206|P00010|0</t>
  </si>
  <si>
    <t xml:space="preserve">47QTCB21D0271|4900|49100424F0075|P00001|0</t>
  </si>
  <si>
    <t xml:space="preserve">49100424A0001|4900|49100424F0030|P00006|0</t>
  </si>
  <si>
    <t xml:space="preserve">GS35F337BA|4900|49100421F0078|P00026|0</t>
  </si>
  <si>
    <t xml:space="preserve">4900|49100424C0027|P00003|0</t>
  </si>
  <si>
    <t xml:space="preserve">47QTCK18D0004|4900|49100424F0001|P00014|0</t>
  </si>
  <si>
    <t xml:space="preserve">47QTCB21D0271|4900|49100424F0075|P00002|0</t>
  </si>
  <si>
    <t xml:space="preserve">47QTCA18D008L|4900|49100425F0010|P00001|0</t>
  </si>
  <si>
    <t xml:space="preserve">47QTCA23D0037|4900|49100424F0196|P00003|0</t>
  </si>
  <si>
    <t xml:space="preserve">47QTCK18D0004|4900|49100424F0001|P00015|0</t>
  </si>
  <si>
    <t xml:space="preserve">GS35F337BA|4900|49100421F0078|P00027|0</t>
  </si>
  <si>
    <t xml:space="preserve">47QTCB21D0005|4900|49100422F0104|P00005|0</t>
  </si>
  <si>
    <t xml:space="preserve">47QTCA23D0037|4900|49100424F0196|P00004|0</t>
  </si>
  <si>
    <t xml:space="preserve">4900|49100424C0051|P00003|0</t>
  </si>
  <si>
    <t xml:space="preserve">47QTCK18D0004|4900|49100424F0001|P00016|0</t>
  </si>
  <si>
    <t xml:space="preserve">49100424A0001|4900|49100424F0226|P00003|0</t>
  </si>
  <si>
    <t xml:space="preserve">GS35F337BA|4900|49100421F0078|P00028|0</t>
  </si>
  <si>
    <t xml:space="preserve">47QTCB21D0005|4900|49100422F0014|P00006|0</t>
  </si>
  <si>
    <t xml:space="preserve">47QTCB21D0005|4900|49100422F0104|P00006|0</t>
  </si>
  <si>
    <t xml:space="preserve">49100424A0001|4900|49100424F0051|P00004|0</t>
  </si>
  <si>
    <t xml:space="preserve">49100424A0001|4900|49100424F0054|P00003|0</t>
  </si>
  <si>
    <t xml:space="preserve">49100424A0001|4900|49100424F0055|P00005|0</t>
  </si>
  <si>
    <t xml:space="preserve">47QTCB21D0005|4900|49100423F0061|P00001|0</t>
  </si>
  <si>
    <t xml:space="preserve">NNG15SC90B|4900|49100424F0064|P00004|0</t>
  </si>
  <si>
    <t xml:space="preserve">49100424A0001|4900|49100424F0052|P00006|0</t>
  </si>
  <si>
    <t xml:space="preserve">4900|49100424C0051|P00004|0</t>
  </si>
  <si>
    <t xml:space="preserve">47QTCA23D0037|4900|49100424F0196|P00005|0</t>
  </si>
  <si>
    <t xml:space="preserve">49100424A0001|4900|49100424F0051|P00005|0</t>
  </si>
  <si>
    <t xml:space="preserve">49100424A0001|4900|49100424F0055|P00006|0</t>
  </si>
  <si>
    <t xml:space="preserve">47QTCK18D0004|4900|49100424F0001|P00017|0</t>
  </si>
  <si>
    <t xml:space="preserve">GS35F337BA|4900|49100421F0078|P00029|0</t>
  </si>
  <si>
    <t xml:space="preserve">49100424A0006|4900|49100424F0073|P00005|0</t>
  </si>
  <si>
    <t xml:space="preserve">49100424A0006|4900|49100424F0073|P00006|0</t>
  </si>
  <si>
    <t xml:space="preserve">49100424A0001|4900|49100424F0053|P00002|0</t>
  </si>
  <si>
    <t xml:space="preserve">47QTCB21D0016|4900|49100424F0029|P00002|0</t>
  </si>
  <si>
    <t xml:space="preserve">47QTCA18D008L|4900|49100425F0010|P00002|0</t>
  </si>
  <si>
    <t xml:space="preserve">49100424A0001|4900|49100424F0054|P00004|0</t>
  </si>
  <si>
    <t xml:space="preserve">47QTCA23D0037|4900|49100425F0092|0|0</t>
  </si>
  <si>
    <t xml:space="preserve">49100422A0002|4900|49100425F0017|P00002|0</t>
  </si>
  <si>
    <t xml:space="preserve">49100422A0002|4900|49100424F0245|P00003|0</t>
  </si>
  <si>
    <t xml:space="preserve">4900|49100424C0027|P00004|0</t>
  </si>
  <si>
    <t xml:space="preserve">47QTCK18D0004|4900|49100424F0001|P00018|0</t>
  </si>
  <si>
    <t xml:space="preserve">NNG15SC90B|4900|49100424F0064|P00005|0</t>
  </si>
  <si>
    <t xml:space="preserve">47QTCA19D00GN|4900|49100421F0206|P00011|0</t>
  </si>
  <si>
    <t xml:space="preserve">4900|49100423C0050|P00002|0</t>
  </si>
  <si>
    <t xml:space="preserve">49100424A0001|4900|49100424F0030|P00007|0</t>
  </si>
  <si>
    <t xml:space="preserve">49100424A0001|4900|49100424F0052|P00007|0</t>
  </si>
  <si>
    <t xml:space="preserve">4900|49100425D0009|0</t>
  </si>
  <si>
    <t xml:space="preserve">4900|49100425D0009|P00001</t>
  </si>
  <si>
    <t xml:space="preserve">47QTCK18D0004|4900|49100424F0001|P00019|0</t>
  </si>
  <si>
    <t xml:space="preserve">49100424A0006|4900|49100424F0073|P00007|0</t>
  </si>
  <si>
    <t xml:space="preserve">47QTCK18D0004|4900|49100424F0001|P00020|0</t>
  </si>
  <si>
    <t xml:space="preserve">4900|49100425C0024|0|0</t>
  </si>
  <si>
    <t xml:space="preserve">49100424A0001|4900|49100424F0246|P00003|0</t>
  </si>
  <si>
    <t xml:space="preserve">49100425D0009|4900|49100425F0114|0|0</t>
  </si>
  <si>
    <t xml:space="preserve">GS35F337BA|4900|49100421F0078|P00030|0</t>
  </si>
  <si>
    <t xml:space="preserve">GS35F337BA|4900|49100421F0078|P00031|0</t>
  </si>
  <si>
    <t xml:space="preserve">NNG15SC90B|4900|49100424F0064|P00006|0</t>
  </si>
  <si>
    <t xml:space="preserve">GS35F337BA|4900|49100421F0078|P00032|0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</si>
</sst>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FY&quot;0;&quot;FY&quot;0;&quot;FY&quot;0;@"/>
    <numFmt numFmtId="166" formatCode="\$#,##0.00;[RED]&quot;-$&quot;#,##0.00;\$0.00"/>
    <numFmt numFmtId="167" formatCode="#,##0"/>
    <numFmt numFmtId="168" formatCode="\+0.0%;\-0.0%;0.0%"/>
    <numFmt numFmtId="169" formatCode="mm/dd/yy"/>
    <numFmt numFmtId="170" formatCode="\$0.00000000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11"/>
      <color rgb="FF62738A"/>
      <name val="Arial"/>
      <family val="0"/>
      <charset val="1"/>
    </font>
    <font>
      <b val="true"/>
      <sz val="12"/>
      <color rgb="FF29384D"/>
      <name val="Arial"/>
      <family val="0"/>
      <charset val="1"/>
    </font>
    <font>
      <sz val="10"/>
      <color rgb="FF62738A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12"/>
      <color rgb="FF1B283F"/>
      <name val="Arial"/>
      <family val="0"/>
      <charset val="1"/>
    </font>
    <font>
      <sz val="11"/>
      <color rgb="FFA13F3A"/>
      <name val="Arial"/>
      <family val="0"/>
      <charset val="1"/>
    </font>
    <font>
      <sz val="27"/>
      <color rgb="FF1B283F"/>
      <name val="Arial"/>
      <family val="0"/>
      <charset val="1"/>
    </font>
    <font>
      <sz val="9"/>
      <color rgb="FF6273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7"/>
      <color rgb="FF1B283F"/>
      <name val="Arial"/>
      <family val="0"/>
      <charset val="1"/>
    </font>
    <font>
      <sz val="9.75"/>
      <color rgb="FF000000"/>
      <name val="Arial"/>
      <family val="2"/>
    </font>
    <font>
      <b val="true"/>
      <sz val="19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2"/>
    </font>
    <font>
      <sz val="11"/>
      <color rgb="FF268CA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7F9FC"/>
        <bgColor rgb="FFF3F5F7"/>
      </patternFill>
    </fill>
    <fill>
      <patternFill patternType="solid">
        <fgColor rgb="FFFFFFFF"/>
        <bgColor rgb="FFF7F9FC"/>
      </patternFill>
    </fill>
    <fill>
      <patternFill patternType="solid">
        <fgColor rgb="FFEDF4FD"/>
        <bgColor rgb="FFEFF2FA"/>
      </patternFill>
    </fill>
    <fill>
      <patternFill patternType="solid">
        <fgColor rgb="FFEDF6F8"/>
        <bgColor rgb="FFEFF6F3"/>
      </patternFill>
    </fill>
    <fill>
      <patternFill patternType="solid">
        <fgColor rgb="FFEFF2FA"/>
        <bgColor rgb="FFEDF4FD"/>
      </patternFill>
    </fill>
    <fill>
      <patternFill patternType="solid">
        <fgColor rgb="FFF4F0F8"/>
        <bgColor rgb="FFEFF2FA"/>
      </patternFill>
    </fill>
    <fill>
      <patternFill patternType="solid">
        <fgColor rgb="FFEFF6F3"/>
        <bgColor rgb="FFF0F6F3"/>
      </patternFill>
    </fill>
    <fill>
      <patternFill patternType="solid">
        <fgColor rgb="FF1B283F"/>
        <bgColor rgb="FF29384D"/>
      </patternFill>
    </fill>
    <fill>
      <patternFill patternType="solid">
        <fgColor rgb="FFF3F5F7"/>
        <bgColor rgb="FFF0F6F3"/>
      </patternFill>
    </fill>
    <fill>
      <patternFill patternType="solid">
        <fgColor rgb="FFF0F6F3"/>
        <bgColor rgb="FFEFF6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CE4ED"/>
      </left>
      <right style="thin">
        <color rgb="FFDCE4ED"/>
      </right>
      <top style="thin">
        <color rgb="FFDCE4ED"/>
      </top>
      <bottom/>
      <diagonal/>
    </border>
    <border diagonalUp="false" diagonalDown="false">
      <left style="thin">
        <color rgb="FFDCE4ED"/>
      </left>
      <right style="thin">
        <color rgb="FFDCE4ED"/>
      </right>
      <top/>
      <bottom/>
      <diagonal/>
    </border>
    <border diagonalUp="false" diagonalDown="false">
      <left style="thin">
        <color rgb="FFDCE4ED"/>
      </left>
      <right/>
      <top/>
      <bottom/>
      <diagonal/>
    </border>
    <border diagonalUp="false" diagonalDown="false">
      <left/>
      <right style="thin">
        <color rgb="FFDCE4ED"/>
      </right>
      <top/>
      <bottom/>
      <diagonal/>
    </border>
    <border diagonalUp="false" diagonalDown="false">
      <left style="thin">
        <color rgb="FFDCE4ED"/>
      </left>
      <right style="thin">
        <color rgb="FFDCE4ED"/>
      </right>
      <top/>
      <bottom style="thin">
        <color rgb="FFDCE4E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7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8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9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1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8CA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0F6F3"/>
          <bgColor rgb="FF000000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1" type="wholeTable"/>
      <tableStyleElement dxfId="12" type="firstColumnStripe"/>
      <tableStyleElement dxfId="13" type="firstRowStripe"/>
      <tableStyleElement dxfId="14" type="lastColumn"/>
      <tableStyleElement dxfId="15" type="firstColumn"/>
      <tableStyleElement dxfId="16" type="headerRow"/>
      <tableStyleElement dxfId="17" type="totalRow"/>
    </tableStyle>
  </tableStyles>
  <colors>
    <indexedColors>
      <rgbColor rgb="FF000000"/>
      <rgbColor rgb="FFFFFFFF"/>
      <rgbColor rgb="FFFF0000"/>
      <rgbColor rgb="FF00FF00"/>
      <rgbColor rgb="FF0000FF"/>
      <rgbColor rgb="FFF7F9FC"/>
      <rgbColor rgb="FFFF00FF"/>
      <rgbColor rgb="FF00FFFF"/>
      <rgbColor rgb="FF800000"/>
      <rgbColor rgb="FF008000"/>
      <rgbColor rgb="FF000080"/>
      <rgbColor rgb="FF808000"/>
      <rgbColor rgb="FF800080"/>
      <rgbColor rgb="FF268CA1"/>
      <rgbColor rgb="FFCCCCCC"/>
      <rgbColor rgb="FF8B8B8B"/>
      <rgbColor rgb="FF9999FF"/>
      <rgbColor rgb="FFA13F3A"/>
      <rgbColor rgb="FFFFF1DF"/>
      <rgbColor rgb="FFED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EFF6F3"/>
      <rgbColor rgb="FFF0F6F3"/>
      <rgbColor rgb="FFEFF2FA"/>
      <rgbColor rgb="FFF4F0F8"/>
      <rgbColor rgb="FFF3F5F7"/>
      <rgbColor rgb="FFDCE4ED"/>
      <rgbColor rgb="FF496EB4"/>
      <rgbColor rgb="FF33CCCC"/>
      <rgbColor rgb="FF99CC00"/>
      <rgbColor rgb="FFFFCC00"/>
      <rgbColor rgb="FFFF9900"/>
      <rgbColor rgb="FFFF6600"/>
      <rgbColor rgb="FF62738A"/>
      <rgbColor rgb="FF8561AD"/>
      <rgbColor rgb="FF1B283F"/>
      <rgbColor rgb="FF4C867B"/>
      <rgbColor rgb="FF003300"/>
      <rgbColor rgb="FF333300"/>
      <rgbColor rgb="FF993300"/>
      <rgbColor rgb="FF993366"/>
      <rgbColor rgb="FF34465B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Dashboard!$AA$22:$AA$24</ns0:f>
              <ns0:strCache>
                <ns0:ptCount val="3"/>
                <ns0:pt idx="0">
                  <ns0:v>FY2023</ns0:v>
                </ns0:pt>
                <ns0:pt idx="1">
                  <ns0:v>FY2024</ns0:v>
                </ns0:pt>
                <ns0:pt idx="2">
                  <ns0:v>FY2025</ns0:v>
                </ns0:pt>
              </ns0:strCache>
            </ns0:strRef>
          </ns0:cat>
          <ns0:val>
            <ns0:numRef>
              <ns0:f>Dashboard!$AB$22:$AB$24</ns0:f>
              <ns0:numCache>
                <ns0:formatCode>\$#,##0.00;[RED]"-$"#,##0.00;\$0.00</ns0:formatCode>
                <ns0:ptCount val="3"/>
                <ns0:pt idx="0">
                  <ns0:v>24.02500382</ns0:v>
                </ns0:pt>
                <ns0:pt idx="1">
                  <ns0:v>97.61127139</ns0:v>
                </ns0:pt>
                <ns0:pt idx="2">
                  <ns0:v>120.31666598</ns0:v>
                </ns0:pt>
              </ns0:numCache>
            </ns0:numRef>
          </ns0:val>
        </ns0:ser>
        <ns0:gapWidth val="150"/>
        <ns0:overlap val="0"/>
        <ns0:axId val="9503774"/>
        <ns0:axId val="91218756"/>
      </ns0:barChart>
      <ns0:catAx>
        <ns0:axId val="95037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91218756"/>
        <ns0:crosses val="autoZero"/>
        <ns0:auto val="1"/>
        <ns0:lblAlgn val="ctr"/>
        <ns0:lblOffset val="100"/>
        <ns0:noMultiLvlLbl val="0"/>
      </ns0:catAx>
      <ns0:valAx>
        <ns0:axId val="91218756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9503774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2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Dashboard!$AD$22:$AD$27</ns0:f>
              <ns0:strCache>
                <ns0:ptCount val="6"/>
                <ns0:pt idx="0">
                  <ns0:v>Other vendors</ns0:v>
                </ns0:pt>
                <ns0:pt idx="1">
                  <ns0:v>Strategic Communications LLC</ns0:v>
                </ns0:pt>
                <ns0:pt idx="2">
                  <ns0:v>Spatial Front Inc.</ns0:v>
                </ns0:pt>
                <ns0:pt idx="3">
                  <ns0:v>Civicactions, Inc.</ns0:v>
                </ns0:pt>
                <ns0:pt idx="4">
                  <ns0:v>Directviz Solutions, LLC</ns0:v>
                </ns0:pt>
                <ns0:pt idx="5">
                  <ns0:v>Booz Allen Hamilton Inc.</ns0:v>
                </ns0:pt>
              </ns0:strCache>
            </ns0:strRef>
          </ns0:cat>
          <ns0:val>
            <ns0:numRef>
              <ns0:f>Dashboard!$AE$22:$AE$27</ns0:f>
              <ns0:numCache>
                <ns0:formatCode>General</ns0:formatCode>
                <ns0:ptCount val="6"/>
                <ns0:pt idx="0">
                  <ns0:v>17.76708223</ns0:v>
                </ns0:pt>
                <ns0:pt idx="1">
                  <ns0:v>7.23730265</ns0:v>
                </ns0:pt>
                <ns0:pt idx="2">
                  <ns0:v>8.84538599</ns0:v>
                </ns0:pt>
                <ns0:pt idx="3">
                  <ns0:v>10.76911048</ns0:v>
                </ns0:pt>
                <ns0:pt idx="4">
                  <ns0:v>22.53273391</ns0:v>
                </ns0:pt>
                <ns0:pt idx="5">
                  <ns0:v>53.16505072</ns0:v>
                </ns0:pt>
              </ns0:numCache>
            </ns0:numRef>
          </ns0:val>
        </ns0:ser>
        <ns0:gapWidth val="150"/>
        <ns0:overlap val="0"/>
        <ns0:axId val="37336631"/>
        <ns0:axId val="65392305"/>
      </ns0:barChart>
      <ns0:catAx>
        <ns0:axId val="37336631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5392305"/>
        <ns0:crosses val="autoZero"/>
        <ns0:auto val="1"/>
        <ns0:lblAlgn val="ctr"/>
        <ns0:lblOffset val="100"/>
        <ns0:noMultiLvlLbl val="0"/>
      </ns0:catAx>
      <ns0:valAx>
        <ns0:axId val="65392305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7336631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3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Dashboard!$AA$42:$AA$53</ns0:f>
              <ns0:strCache>
                <ns0:ptCount val="12"/>
                <ns0:pt idx="0">
                  <ns0:v>FY2023 Q1</ns0:v>
                </ns0:pt>
                <ns0:pt idx="1">
                  <ns0:v>FY2023 Q2</ns0:v>
                </ns0:pt>
                <ns0:pt idx="2">
                  <ns0:v>FY2023 Q3</ns0:v>
                </ns0:pt>
                <ns0:pt idx="3">
                  <ns0:v>FY2023 Q4</ns0:v>
                </ns0:pt>
                <ns0:pt idx="4">
                  <ns0:v>FY2024 Q1</ns0:v>
                </ns0:pt>
                <ns0:pt idx="5">
                  <ns0:v>FY2024 Q2</ns0:v>
                </ns0:pt>
                <ns0:pt idx="6">
                  <ns0:v>FY2024 Q3</ns0:v>
                </ns0:pt>
                <ns0:pt idx="7">
                  <ns0:v>FY2024 Q4</ns0:v>
                </ns0:pt>
                <ns0:pt idx="8">
                  <ns0:v>FY2025 Q1</ns0:v>
                </ns0:pt>
                <ns0:pt idx="9">
                  <ns0:v>FY2025 Q2</ns0:v>
                </ns0:pt>
                <ns0:pt idx="10">
                  <ns0:v>FY2025 Q3</ns0:v>
                </ns0:pt>
                <ns0:pt idx="11">
                  <ns0:v>FY2025 Q4</ns0:v>
                </ns0:pt>
              </ns0:strCache>
            </ns0:strRef>
          </ns0:cat>
          <ns0:val>
            <ns0:numRef>
              <ns0:f>Dashboard!$AB$42:$AB$53</ns0:f>
              <ns0:numCache>
                <ns0:formatCode>\$#,##0.00;[RED]"-$"#,##0.00;\$0.00</ns0:formatCode>
                <ns0:ptCount val="12"/>
                <ns0:pt idx="0">
                  <ns0:v>6.11562027</ns0:v>
                </ns0:pt>
                <ns0:pt idx="1">
                  <ns0:v>9.21827105</ns0:v>
                </ns0:pt>
                <ns0:pt idx="2">
                  <ns0:v>3.44990292</ns0:v>
                </ns0:pt>
                <ns0:pt idx="3">
                  <ns0:v>5.24120958</ns0:v>
                </ns0:pt>
                <ns0:pt idx="4">
                  <ns0:v>25.40000978</ns0:v>
                </ns0:pt>
                <ns0:pt idx="5">
                  <ns0:v>7.4993187</ns0:v>
                </ns0:pt>
                <ns0:pt idx="6">
                  <ns0:v>23.74200638</ns0:v>
                </ns0:pt>
                <ns0:pt idx="7">
                  <ns0:v>40.96993653</ns0:v>
                </ns0:pt>
                <ns0:pt idx="8">
                  <ns0:v>15.41243911</ns0:v>
                </ns0:pt>
                <ns0:pt idx="9">
                  <ns0:v>39.93078026</ns0:v>
                </ns0:pt>
                <ns0:pt idx="10">
                  <ns0:v>14.09381528</ns0:v>
                </ns0:pt>
                <ns0:pt idx="11">
                  <ns0:v>50.87963133</ns0:v>
                </ns0:pt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65688433"/>
        <ns0:axId val="66128578"/>
      </ns0:lineChart>
      <ns0:catAx>
        <ns0:axId val="65688433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6128578"/>
        <ns0:crosses val="autoZero"/>
        <ns0:auto val="1"/>
        <ns0:lblAlgn val="ctr"/>
        <ns0:lblOffset val="100"/>
        <ns0:noMultiLvlLbl val="0"/>
      </ns0:catAx>
      <ns0:valAx>
        <ns0:axId val="66128578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5688433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4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96EB4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Dashboard!$AD$42:$AD$45</ns0:f>
              <ns0:strCache>
                <ns0:ptCount val="4"/>
                <ns0:pt idx="0">
                  <ns0:v>Purchase Order</ns0:v>
                </ns0:pt>
                <ns0:pt idx="1">
                  <ns0:v>Delivery Order</ns0:v>
                </ns0:pt>
                <ns0:pt idx="2">
                  <ns0:v>Definitive Contract</ns0:v>
                </ns0:pt>
                <ns0:pt idx="3">
                  <ns0:v>BPA Call</ns0:v>
                </ns0:pt>
              </ns0:strCache>
            </ns0:strRef>
          </ns0:cat>
          <ns0:val>
            <ns0:numRef>
              <ns0:f>Dashboard!$AE$42:$AE$45</ns0:f>
              <ns0:numCache>
                <ns0:formatCode>General</ns0:formatCode>
                <ns0:ptCount val="4"/>
                <ns0:pt idx="0">
                  <ns0:v>0.039079</ns0:v>
                </ns0:pt>
                <ns0:pt idx="1">
                  <ns0:v>80.71469867</ns0:v>
                </ns0:pt>
                <ns0:pt idx="2">
                  <ns0:v>3.22982864</ns0:v>
                </ns0:pt>
                <ns0:pt idx="3">
                  <ns0:v>36.33305967</ns0:v>
                </ns0:pt>
              </ns0:numCache>
            </ns0:numRef>
          </ns0:val>
        </ns0:ser>
        <ns0:gapWidth val="150"/>
        <ns0:overlap val="0"/>
        <ns0:axId val="91698306"/>
        <ns0:axId val="73871423"/>
      </ns0:barChart>
      <ns0:catAx>
        <ns0:axId val="91698306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3871423"/>
        <ns0:crosses val="autoZero"/>
        <ns0:auto val="1"/>
        <ns0:lblAlgn val="ctr"/>
        <ns0:lblOffset val="100"/>
        <ns0:noMultiLvlLbl val="0"/>
      </ns0:catAx>
      <ns0:valAx>
        <ns0:axId val="73871423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91698306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5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8561AD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Dashboard!$AG$42:$AG$45</ns0:f>
              <ns0:strCache>
                <ns0:ptCount val="4"/>
                <ns0:pt idx="0">
                  <ns0:v>Total Small Business</ns0:v>
                </ns0:pt>
                <ns0:pt idx="1">
                  <ns0:v>No Set-Aside Used</ns0:v>
                </ns0:pt>
                <ns0:pt idx="2">
                  <ns0:v>Competitive 8(a)</ns0:v>
                </ns0:pt>
                <ns0:pt idx="3">
                  <ns0:v>8(a) Sole Source</ns0:v>
                </ns0:pt>
              </ns0:strCache>
            </ns0:strRef>
          </ns0:cat>
          <ns0:val>
            <ns0:numRef>
              <ns0:f>Dashboard!$AH$42:$AH$45</ns0:f>
              <ns0:numCache>
                <ns0:formatCode>General</ns0:formatCode>
                <ns0:ptCount val="4"/>
                <ns0:pt idx="0">
                  <ns0:v>42.6444294</ns0:v>
                </ns0:pt>
                <ns0:pt idx="1">
                  <ns0:v>70.8153021</ns0:v>
                </ns0:pt>
                <ns0:pt idx="2">
                  <ns0:v>5.27922408</ns0:v>
                </ns0:pt>
                <ns0:pt idx="3">
                  <ns0:v>1.5777104</ns0:v>
                </ns0:pt>
              </ns0:numCache>
            </ns0:numRef>
          </ns0:val>
        </ns0:ser>
        <ns0:gapWidth val="150"/>
        <ns0:overlap val="0"/>
        <ns0:axId val="73019445"/>
        <ns0:axId val="61864698"/>
      </ns0:barChart>
      <ns0:catAx>
        <ns0:axId val="73019445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1864698"/>
        <ns0:crosses val="autoZero"/>
        <ns0:auto val="1"/>
        <ns0:lblAlgn val="ctr"/>
        <ns0:lblOffset val="100"/>
        <ns0:noMultiLvlLbl val="0"/>
      </ns0:catAx>
      <ns0:valAx>
        <ns0:axId val="61864698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3019445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6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C867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Dashboard!$AJ$42:$AJ$47</ns0:f>
              <ns0:strCache>
                <ns0:ptCount val="6"/>
                <ns0:pt idx="0">
                  <ns0:v>Virginia</ns0:v>
                </ns0:pt>
                <ns0:pt idx="1">
                  <ns0:v>Utah</ns0:v>
                </ns0:pt>
                <ns0:pt idx="2">
                  <ns0:v>Maryland</ns0:v>
                </ns0:pt>
                <ns0:pt idx="3">
                  <ns0:v>Georgia</ns0:v>
                </ns0:pt>
                <ns0:pt idx="4">
                  <ns0:v>District of Columbia</ns0:v>
                </ns0:pt>
                <ns0:pt idx="5">
                  <ns0:v>California</ns0:v>
                </ns0:pt>
              </ns0:strCache>
            </ns0:strRef>
          </ns0:cat>
          <ns0:val>
            <ns0:numRef>
              <ns0:f>Dashboard!$AK$42:$AK$47</ns0:f>
              <ns0:numCache>
                <ns0:formatCode>General</ns0:formatCode>
                <ns0:ptCount val="6"/>
                <ns0:pt idx="0">
                  <ns0:v>103.48523024</ns0:v>
                </ns0:pt>
                <ns0:pt idx="1">
                  <ns0:v>0.06175948</ns0:v>
                </ns0:pt>
                <ns0:pt idx="2">
                  <ns0:v>5.01539109</ns0:v>
                </ns0:pt>
                <ns0:pt idx="3">
                  <ns0:v>0.48979172</ns0:v>
                </ns0:pt>
                <ns0:pt idx="4">
                  <ns0:v>0.49538297</ns0:v>
                </ns0:pt>
                <ns0:pt idx="5">
                  <ns0:v>10.76911048</ns0:v>
                </ns0:pt>
              </ns0:numCache>
            </ns0:numRef>
          </ns0:val>
        </ns0:ser>
        <ns0:gapWidth val="150"/>
        <ns0:overlap val="0"/>
        <ns0:axId val="77689295"/>
        <ns0:axId val="38701724"/>
      </ns0:barChart>
      <ns0:catAx>
        <ns0:axId val="77689295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8701724"/>
        <ns0:crosses val="autoZero"/>
        <ns0:auto val="1"/>
        <ns0:lblAlgn val="ctr"/>
        <ns0:lblOffset val="100"/>
        <ns0:noMultiLvlLbl val="0"/>
      </ns0:catAx>
      <ns0:valAx>
        <ns0:axId val="38701724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7689295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7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Trends!$A$34:$A$45</ns0:f>
              <ns0:strCache>
                <ns0:ptCount val="12"/>
                <ns0:pt idx="0">
                  <ns0:v>FY2023 Q1</ns0:v>
                </ns0:pt>
                <ns0:pt idx="1">
                  <ns0:v>FY2023 Q2</ns0:v>
                </ns0:pt>
                <ns0:pt idx="2">
                  <ns0:v>FY2023 Q3</ns0:v>
                </ns0:pt>
                <ns0:pt idx="3">
                  <ns0:v>FY2023 Q4</ns0:v>
                </ns0:pt>
                <ns0:pt idx="4">
                  <ns0:v>FY2024 Q1</ns0:v>
                </ns0:pt>
                <ns0:pt idx="5">
                  <ns0:v>FY2024 Q2</ns0:v>
                </ns0:pt>
                <ns0:pt idx="6">
                  <ns0:v>FY2024 Q3</ns0:v>
                </ns0:pt>
                <ns0:pt idx="7">
                  <ns0:v>FY2024 Q4</ns0:v>
                </ns0:pt>
                <ns0:pt idx="8">
                  <ns0:v>FY2025 Q1</ns0:v>
                </ns0:pt>
                <ns0:pt idx="9">
                  <ns0:v>FY2025 Q2</ns0:v>
                </ns0:pt>
                <ns0:pt idx="10">
                  <ns0:v>FY2025 Q3</ns0:v>
                </ns0:pt>
                <ns0:pt idx="11">
                  <ns0:v>FY2025 Q4</ns0:v>
                </ns0:pt>
              </ns0:strCache>
            </ns0:strRef>
          </ns0:cat>
          <ns0:val>
            <ns0:numRef>
              <ns0:f>Trends!$L$34:$L$45</ns0:f>
              <ns0:numCache>
                <ns0:formatCode>\$#,##0.00;[RED]"-$"#,##0.00;\$0.00</ns0:formatCode>
                <ns0:ptCount val="12"/>
                <ns0:pt idx="0">
                  <ns0:v>6.11562027</ns0:v>
                </ns0:pt>
                <ns0:pt idx="1">
                  <ns0:v>9.21827105</ns0:v>
                </ns0:pt>
                <ns0:pt idx="2">
                  <ns0:v>3.44990292</ns0:v>
                </ns0:pt>
                <ns0:pt idx="3">
                  <ns0:v>5.24120958</ns0:v>
                </ns0:pt>
                <ns0:pt idx="4">
                  <ns0:v>25.40000978</ns0:v>
                </ns0:pt>
                <ns0:pt idx="5">
                  <ns0:v>7.4993187</ns0:v>
                </ns0:pt>
                <ns0:pt idx="6">
                  <ns0:v>23.74200638</ns0:v>
                </ns0:pt>
                <ns0:pt idx="7">
                  <ns0:v>40.96993653</ns0:v>
                </ns0:pt>
                <ns0:pt idx="8">
                  <ns0:v>15.41243911</ns0:v>
                </ns0:pt>
                <ns0:pt idx="9">
                  <ns0:v>39.93078026</ns0:v>
                </ns0:pt>
                <ns0:pt idx="10">
                  <ns0:v>14.09381528</ns0:v>
                </ns0:pt>
                <ns0:pt idx="11">
                  <ns0:v>50.87963133</ns0:v>
                </ns0:pt>
              </ns0:numCache>
            </ns0:numRef>
          </ns0:val>
          <ns0:smooth val="0"/>
        </ns0:ser>
        <ns0:ser>
          <ns0:idx val="1"/>
          <ns0:order val="1"/>
          <ns0:tx>
            <ns0:strRef>
              <ns0:f>"4-quarter average"</ns0:f>
              <ns0:strCache>
                <ns0:ptCount val="1"/>
                <ns0:pt idx="0">
                  <ns0:v>4-quarter average</ns0:v>
                </ns0:pt>
              </ns0:strCache>
            </ns0:strRef>
          </ns0:tx>
          <ns0:spPr>
            <ns1:solidFill>
              <ns1:srgbClr val="496EB4"/>
            </ns1:solidFill>
            <ns1:ln w="19080">
              <ns1:solidFill>
                <ns1:srgbClr val="496EB4"/>
              </ns1:solidFill>
              <ns1:prstDash val="dash"/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Trends!$A$34:$A$45</ns0:f>
              <ns0:strCache>
                <ns0:ptCount val="12"/>
                <ns0:pt idx="0">
                  <ns0:v>FY2023 Q1</ns0:v>
                </ns0:pt>
                <ns0:pt idx="1">
                  <ns0:v>FY2023 Q2</ns0:v>
                </ns0:pt>
                <ns0:pt idx="2">
                  <ns0:v>FY2023 Q3</ns0:v>
                </ns0:pt>
                <ns0:pt idx="3">
                  <ns0:v>FY2023 Q4</ns0:v>
                </ns0:pt>
                <ns0:pt idx="4">
                  <ns0:v>FY2024 Q1</ns0:v>
                </ns0:pt>
                <ns0:pt idx="5">
                  <ns0:v>FY2024 Q2</ns0:v>
                </ns0:pt>
                <ns0:pt idx="6">
                  <ns0:v>FY2024 Q3</ns0:v>
                </ns0:pt>
                <ns0:pt idx="7">
                  <ns0:v>FY2024 Q4</ns0:v>
                </ns0:pt>
                <ns0:pt idx="8">
                  <ns0:v>FY2025 Q1</ns0:v>
                </ns0:pt>
                <ns0:pt idx="9">
                  <ns0:v>FY2025 Q2</ns0:v>
                </ns0:pt>
                <ns0:pt idx="10">
                  <ns0:v>FY2025 Q3</ns0:v>
                </ns0:pt>
                <ns0:pt idx="11">
                  <ns0:v>FY2025 Q4</ns0:v>
                </ns0:pt>
              </ns0:strCache>
            </ns0:strRef>
          </ns0:cat>
          <ns0:val>
            <ns0:numRef>
              <ns0:f>Trends!$M$34:$M$45</ns0:f>
              <ns0:numCache>
                <ns0:formatCode>\$#,##0.00;[RED]"-$"#,##0.00;\$0.00</ns0:formatCode>
                <ns0:ptCount val="12"/>
                <ns0:pt idx="3">
                  <ns0:v>6.006250955</ns0:v>
                </ns0:pt>
                <ns0:pt idx="4">
                  <ns0:v>10.8273483325</ns0:v>
                </ns0:pt>
                <ns0:pt idx="5">
                  <ns0:v>10.397610245</ns0:v>
                </ns0:pt>
                <ns0:pt idx="6">
                  <ns0:v>15.47063611</ns0:v>
                </ns0:pt>
                <ns0:pt idx="7">
                  <ns0:v>24.4028178475</ns0:v>
                </ns0:pt>
                <ns0:pt idx="8">
                  <ns0:v>21.90592518</ns0:v>
                </ns0:pt>
                <ns0:pt idx="9">
                  <ns0:v>30.01379057</ns0:v>
                </ns0:pt>
                <ns0:pt idx="10">
                  <ns0:v>27.601742795</ns0:v>
                </ns0:pt>
                <ns0:pt idx="11">
                  <ns0:v>30.079166495</ns0:v>
                </ns0:pt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6145898"/>
        <ns0:axId val="33902104"/>
      </ns0:lineChart>
      <ns0:catAx>
        <ns0:axId val="6145898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3902104"/>
        <ns0:crosses val="autoZero"/>
        <ns0:auto val="1"/>
        <ns0:lblAlgn val="ctr"/>
        <ns0:lblOffset val="100"/>
        <ns0:noMultiLvlLbl val="0"/>
      </ns0:catAx>
      <ns0:valAx>
        <ns0:axId val="33902104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145898"/>
        <ns0:crosses val="autoZero"/>
        <ns0:crossBetween val="between"/>
      </ns0:valAx>
      <ns0:spPr>
        <ns1:ln w="0">
          <ns1:noFill/>
        </ns1:ln>
      </ns0:spPr>
    </ns0:plotArea>
    <ns0:legend>
      <ns0:legendPos val="t"/>
      <ns0:overlay val="0"/>
      <ns0:spPr>
        <ns1:noFill/>
        <ns1:ln w="0">
          <ns1:noFill/>
        </ns1:ln>
      </ns0:spPr>
      <ns0:txPr>
        <ns1:bodyPr/>
        <ns1:lstStyle/>
        <ns1:p>
          <ns1:pPr>
            <ns1:defRPr sz="900" b="0" u="none" strike="noStrike">
              <ns1:solidFill>
                <ns1:srgbClr val="000000"/>
              </ns1:solidFill>
              <ns1:uFillTx/>
              <ns1:latin typeface="Arial"/>
              <ns1:ea typeface="Arial"/>
            </ns1:defRPr>
          </ns1:pPr>
        </ns1:p>
      </ns0:txPr>
    </ns0:legend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11</xdr:col>
      <xdr:colOff>359640</xdr:colOff>
      <xdr:row>34</xdr:row>
      <xdr:rowOff>209160</xdr:rowOff>
    </xdr:to>
    <xdr:graphicFrame>
      <xdr:nvGraphicFramePr>
        <xdr:cNvPr id="1" name="Chart"/>
        <xdr:cNvGraphicFramePr/>
      </xdr:nvGraphicFramePr>
      <xdr:xfrm>
        <a:off x="125640" y="4438800"/>
        <a:ext cx="371016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23</xdr:col>
      <xdr:colOff>359640</xdr:colOff>
      <xdr:row>34</xdr:row>
      <xdr:rowOff>209160</xdr:rowOff>
    </xdr:to>
    <xdr:graphicFrame>
      <xdr:nvGraphicFramePr>
        <xdr:cNvPr id="2" name="Chart"/>
        <xdr:cNvGraphicFramePr/>
      </xdr:nvGraphicFramePr>
      <xdr:xfrm>
        <a:off x="3945960" y="4438800"/>
        <a:ext cx="370980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359640</xdr:colOff>
      <xdr:row>55</xdr:row>
      <xdr:rowOff>209160</xdr:rowOff>
    </xdr:to>
    <xdr:graphicFrame>
      <xdr:nvGraphicFramePr>
        <xdr:cNvPr id="3" name="Chart"/>
        <xdr:cNvGraphicFramePr/>
      </xdr:nvGraphicFramePr>
      <xdr:xfrm>
        <a:off x="125640" y="8820000"/>
        <a:ext cx="371016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40</xdr:row>
      <xdr:rowOff>0</xdr:rowOff>
    </xdr:from>
    <xdr:to>
      <xdr:col>23</xdr:col>
      <xdr:colOff>359640</xdr:colOff>
      <xdr:row>55</xdr:row>
      <xdr:rowOff>209160</xdr:rowOff>
    </xdr:to>
    <xdr:graphicFrame>
      <xdr:nvGraphicFramePr>
        <xdr:cNvPr id="4" name="Chart"/>
        <xdr:cNvGraphicFramePr/>
      </xdr:nvGraphicFramePr>
      <xdr:xfrm>
        <a:off x="3945960" y="8820000"/>
        <a:ext cx="370980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11</xdr:col>
      <xdr:colOff>359640</xdr:colOff>
      <xdr:row>73</xdr:row>
      <xdr:rowOff>209160</xdr:rowOff>
    </xdr:to>
    <xdr:graphicFrame>
      <xdr:nvGraphicFramePr>
        <xdr:cNvPr id="5" name="Chart"/>
        <xdr:cNvGraphicFramePr/>
      </xdr:nvGraphicFramePr>
      <xdr:xfrm>
        <a:off x="125640" y="12592080"/>
        <a:ext cx="371016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58</xdr:row>
      <xdr:rowOff>0</xdr:rowOff>
    </xdr:from>
    <xdr:to>
      <xdr:col>23</xdr:col>
      <xdr:colOff>359640</xdr:colOff>
      <xdr:row>73</xdr:row>
      <xdr:rowOff>209160</xdr:rowOff>
    </xdr:to>
    <xdr:graphicFrame>
      <xdr:nvGraphicFramePr>
        <xdr:cNvPr id="6" name="Chart"/>
        <xdr:cNvGraphicFramePr/>
      </xdr:nvGraphicFramePr>
      <xdr:xfrm>
        <a:off x="3945960" y="12592080"/>
        <a:ext cx="370980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83520</xdr:colOff>
      <xdr:row>1</xdr:row>
      <xdr:rowOff>178200</xdr:rowOff>
    </xdr:to>
    <xdr:pic>
      <xdr:nvPicPr>
        <xdr:cNvPr id="7" name="1ea54570-7f14-4e56-94b0-88ba6c500508"/>
        <xdr:cNvPicPr/>
      </xdr:nvPicPr>
      <xdr:blipFill>
        <a:blip r:embed="rId7"/>
        <a:stretch/>
      </xdr:blipFill>
      <xdr:spPr>
        <a:xfrm>
          <a:off x="5856120" y="95400"/>
          <a:ext cx="1523520" cy="17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1330200</xdr:colOff>
      <xdr:row>21</xdr:row>
      <xdr:rowOff>317160</xdr:rowOff>
    </xdr:to>
    <xdr:graphicFrame>
      <xdr:nvGraphicFramePr>
        <xdr:cNvPr id="8" name="Chart"/>
        <xdr:cNvGraphicFramePr/>
      </xdr:nvGraphicFramePr>
      <xdr:xfrm>
        <a:off x="0" y="2451240"/>
        <a:ext cx="10179720" cy="47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wardsData" displayName="AwardsData" ref="A7:Y68" headerRowCount="1" totalsRowCount="0" totalsRowShown="0">
  <autoFilter ref="A7:Y68"/>
  <tableColumns count="25">
    <tableColumn id="1" name="Award reference">
      <calculatedColumnFormula>IF(S8="","",IF(U8="",S8,HYPERLINK(U8,S8)))</calculatedColumnFormula>
    </tableColumn>
    <tableColumn id="2" name="Vendor">
      <calculatedColumnFormula>IF(T8="","",IF(V8="",T8,HYPERLINK(V8,T8)))</calculatedColumnFormula>
    </tableColumn>
    <tableColumn id="3" name="UEI"/>
    <tableColumn id="4" name="Period obligations">
      <calculatedColumnFormula>IF(R8="","",IF('Trends'!$B$6&lt;&gt;"","",SUMIFS(TransactionsData[Obligations],TransactionsData[Award ID],R8,TransactionsData[Selected],1)))</calculatedColumnFormula>
    </tableColumn>
    <tableColumn id="5" name="Covered obligations">
      <calculatedColumnFormula>IF(R8="","",IF('Trends'!$B$6&lt;&gt;"","",SUMIFS(TransactionsData[Obligations],TransactionsData[Award ID],R8,TransactionsData[Dimension match],1)))</calculatedColumnFormula>
    </tableColumn>
    <tableColumn id="6" name="Current award type"/>
    <tableColumn id="7" name="Current set-aside"/>
    <tableColumn id="8" name="Performance state"/>
    <tableColumn id="9" name="Current obligations"/>
    <tableColumn id="10" name="Potential ceiling"/>
    <tableColumn id="11" name="Award date"/>
    <tableColumn id="12" name="Completion date"/>
    <tableColumn id="13" name="Place of performance"/>
    <tableColumn id="14" name="Parent vehicle"/>
    <tableColumn id="15" name="PSC"/>
    <tableColumn id="16" name="NAICS"/>
    <tableColumn id="17" name="Retrieved"/>
    <tableColumn id="18" name="Award ID"/>
    <tableColumn id="19" name="Original award reference"/>
    <tableColumn id="20" name="Original vendor name"/>
    <tableColumn id="21" name="Source URL"/>
    <tableColumn id="22" name="Vendor URL"/>
    <tableColumn id="23" name="Input check">
      <calculatedColumnFormula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calculatedColumnFormula>
    </tableColumn>
    <tableColumn id="24" name="Period actions">
      <calculatedColumnFormula>IF(R8="","",COUNTIFS(TransactionsData[Award ID],R8,TransactionsData[Selected],1))</calculatedColumnFormula>
    </tableColumn>
    <tableColumn id="25" name="Covered actions">
      <calculatedColumnFormula>IF(R8="","",COUNTIFS(TransactionsData[Award ID],R8,TransactionsData[Dimension match],1))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fficeGroups" displayName="OfficeGroups" ref="A40:R60" headerRowCount="1" totalsRowCount="0" totalsRowShown="0">
  <autoFilter ref="A40:R60"/>
  <tableColumns count="18">
    <tableColumn id="1" name="Rank">
      <calculatedColumnFormula>IF('Trends'!$B$6&lt;&gt;"","",IF(COUNTIFS(OfficeGroups[Source rank],1)=1,1,""))</calculatedColumnFormula>
    </tableColumn>
    <tableColumn id="2" name="Funding office">
      <calculatedColumnFormula>IF('Trends'!$B$6&lt;&gt;"","",IF(COUNTIFS(OfficeGroups[Source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calculatedColumnFormula>
    </tableColumn>
    <tableColumn id="3" name="Office code">
      <calculatedColumnFormula>IF('Trends'!$B$6&lt;&gt;"","",IF(COUNTIFS(OfficeGroups[Source rank],1)=1,IF(INDEX(OfficeGroups[Source UEI],MATCH(1,OfficeGroups[Source rank],0))="","Not supplied",INDEX(OfficeGroups[Source UEI],MATCH(1,OfficeGroups[Source rank],0))),""))</calculatedColumnFormula>
    </tableColumn>
    <tableColumn id="4" name="Net obligations">
      <calculatedColumnFormula>IF('Trends'!$B$6&lt;&gt;"","",IF(COUNTIFS(OfficeGroups[Source rank],1)=1,INDEX(OfficeGroups[Source net],MATCH(1,OfficeGroups[Source rank],0)),""))</calculatedColumnFormula>
    </tableColumn>
    <tableColumn id="5" name="Deobligations">
      <calculatedColumnFormula>IF('Trends'!$B$6&lt;&gt;"","",IF(COUNTIFS(OfficeGroups[Source rank],1)=1,INDEX(OfficeGroups[Source deobligations],MATCH(1,OfficeGroups[Source rank],0)),""))</calculatedColumnFormula>
    </tableColumn>
    <tableColumn id="6" name="Awards with obligations">
      <calculatedColumnFormula>IF('Trends'!$B$6&lt;&gt;"","",IF(COUNTIFS(OfficeGroups[Source rank],1)=1,INDEX(OfficeGroups[Source awards],MATCH(1,OfficeGroups[Source rank],0)),""))</calculatedColumnFormula>
    </tableColumn>
    <tableColumn id="7" name="Transactions">
      <calculatedColumnFormula>IF('Trends'!$B$6&lt;&gt;"","",IF(COUNTIFS(OfficeGroups[Source rank],1)=1,INDEX(OfficeGroups[Source actions],MATCH(1,OfficeGroups[Source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IF(H41="","",I41&amp;IF(J41="",""," ["&amp;J41&amp;"]"))</calculatedColumnFormula>
    </tableColumn>
    <tableColumn id="13" name="Source net">
      <calculatedColumnFormula>IF(H41="","",SUMIFS(TransactionsData[Obligations],TransactionsData[Funding office ID],H41,TransactionsData[Selected],1))</calculatedColumnFormula>
    </tableColumn>
    <tableColumn id="14" name="Source deobligations">
      <calculatedColumnFormula>IF(H41="","",SUMIFS(TransactionsData[Deobligations],TransactionsData[Funding office ID],H41,TransactionsData[Selected],1))</calculatedColumnFormula>
    </tableColumn>
    <tableColumn id="15" name="Source awards">
      <calculatedColumnFormula>IF(H41="","",SUMIFS(TransactionsData[First office award],TransactionsData[Funding office ID],H41))</calculatedColumnFormula>
    </tableColumn>
    <tableColumn id="16" name="Source actions">
      <calculatedColumnFormula>IF(H41="","",COUNTIFS(TransactionsData[Funding office ID],H41,TransactionsData[Selected],1))</calculatedColumnFormula>
    </tableColumn>
    <tableColumn id="17" name="Source rank">
      <calculatedColumnFormula>IF(OR(H41="",P41=0),"",COUNTIFS(OfficeGroups[Source net],"&gt;"&amp;M41,OfficeGroups[Source actions],"&gt;0")+COUNTIFS(OfficeGroups[Source net],M41,OfficeGroups[Record ID],"&lt;"&amp;H41,OfficeGroups[Source actions],"&gt;0")+1)</calculatedColumnFormula>
    </tableColumn>
    <tableColumn id="18" name="Input check">
      <calculatedColumnFormula>IF(H41="",IF(COUNTA(I41:K41)&gt;0,"Missing record ID",""),IF(COUNTIFS(OfficeGroups[Record ID],H41)&lt;&gt;1,"Duplicate record ID",IF(I41="","Add name","")))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ransactionsData" displayName="TransactionsData" ref="A16:AJ262" headerRowCount="1" totalsRowCount="0" totalsRowShown="0">
  <autoFilter ref="A16:AJ262"/>
  <tableColumns count="36">
    <tableColumn id="1" name="Date"/>
    <tableColumn id="2" name="Award reference">
      <calculatedColumnFormula>IF(M17="","",IF(P17="",M17,HYPERLINK(P17,M17)))</calculatedColumnFormula>
    </tableColumn>
    <tableColumn id="3" name="Vendor">
      <calculatedColumnFormula>IF(N17="","",IF(Q17="",N17,HYPERLINK(Q17,N17)))</calculatedColumnFormula>
    </tableColumn>
    <tableColumn id="4" name="UEI"/>
    <tableColumn id="5" name="Funding office">
      <calculatedColumnFormula>IF(O17="","",IF(R17="",O17,HYPERLINK(R17,O17)))</calculatedColumnFormula>
    </tableColumn>
    <tableColumn id="6" name="Obligations"/>
    <tableColumn id="7" name="Inclusion"/>
    <tableColumn id="8" name="Exclusion reason"/>
    <tableColumn id="9" name="Transaction ID"/>
    <tableColumn id="10" name="Award ID"/>
    <tableColumn id="11" name="Vendor ID"/>
    <tableColumn id="12" name="Funding office ID"/>
    <tableColumn id="13" name="Original award reference"/>
    <tableColumn id="14" name="Original vendor name"/>
    <tableColumn id="15" name="Original office name"/>
    <tableColumn id="16" name="Award URL"/>
    <tableColumn id="17" name="Vendor URL"/>
    <tableColumn id="18" name="Office URL"/>
    <tableColumn id="19" name="FY">
      <calculatedColumnFormula>IF(ISNUMBER(A17),YEAR(A17)+IF(MONTH(A17)&gt;=10,1,0),"")</calculatedColumnFormula>
    </tableColumn>
    <tableColumn id="20" name="Quarter">
      <calculatedColumnFormula>IF(ISNUMBER(A17),INT(MOD(MONTH(A17)-10,12)/3)+1,"")</calculatedColumnFormula>
    </tableColumn>
    <tableColumn id="21" name="Input check">
      <calculatedColumnFormula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calculatedColumnFormula>
    </tableColumn>
    <tableColumn id="22" name="Eligible">
      <calculatedColumnFormula>IF(AND(I17&lt;&gt;"",U17="",G17="Include"),1,0)</calculatedColumnFormula>
    </tableColumn>
    <tableColumn id="23" name="Current award type">
      <calculatedColumnFormula>IF(I17="","",IF(COUNTIFS(AwardsData[Award ID],J17)=1,INDEX(AwardsData[Current award type],MATCH(J17,AwardsData[Award ID],0)),"Unlinked"))</calculatedColumnFormula>
    </tableColumn>
    <tableColumn id="24" name="Current set-aside">
      <calculatedColumnFormula>IF(I17="","",IF(COUNTIFS(AwardsData[Award ID],J17)=1,INDEX(AwardsData[Current set-aside],MATCH(J17,AwardsData[Award ID],0)),"Unlinked"))</calculatedColumnFormula>
    </tableColumn>
    <tableColumn id="25" name="Performance state">
      <calculatedColumnFormula>IF(I17="","",IF(COUNTIFS(AwardsData[Award ID],J17)=1,INDEX(AwardsData[Performance state],MATCH(J17,AwardsData[Award ID],0)),"Unlinked"))</calculatedColumnFormula>
    </tableColumn>
    <tableColumn id="26" name="Dimension match">
      <calculatedColumnFormula>IF(AND(V17=1,OR('Dashboard'!$AB$2="All",K17='Dashboard'!$AB$2),OR('Dashboard'!$AB$3="All",L17='Dashboard'!$AB$3),OR('Dashboard'!$N$10="All",W17='Dashboard'!$N$10)),1,0)</calculatedColumnFormula>
    </tableColumn>
    <tableColumn id="27" name="Selected">
      <calculatedColumnFormula>IF(AND(Z17=1,OR('Dashboard'!$B$7="All",S17='Dashboard'!$B$7)),1,0)</calculatedColumnFormula>
    </tableColumn>
    <tableColumn id="28" name="Nonzero">
      <calculatedColumnFormula>IF(AND(V17=1,F17&lt;&gt;0),1,0)</calculatedColumnFormula>
    </tableColumn>
    <tableColumn id="29" name="First selected award">
      <calculatedColumnFormula>IF(AND(AA17=1,AB17=1),IF(COUNTIFS($J$17:J17,J17,$AA$17:AA17,1,$AB$17:AB17,1)=1,1,0),0)</calculatedColumnFormula>
    </tableColumn>
    <tableColumn id="30" name="First selected vendor">
      <calculatedColumnFormula>IF(AND(AA17=1,AB17=1),IF(COUNTIFS($K$17:K17,K17,$AA$17:AA17,1,$AB$17:AB17,1)=1,1,0),0)</calculatedColumnFormula>
    </tableColumn>
    <tableColumn id="31" name="First annual award">
      <calculatedColumnFormula>IF(AND(Z17=1,AB17=1),IF(COUNTIFS($J$17:J17,J17,$S$17:S17,S17,$Z$17:Z17,1,$AB$17:AB17,1)=1,1,0),0)</calculatedColumnFormula>
    </tableColumn>
    <tableColumn id="32" name="First annual vendor">
      <calculatedColumnFormula>IF(AND(Z17=1,AB17=1),IF(COUNTIFS($K$17:K17,K17,$S$17:S17,S17,$Z$17:Z17,1,$AB$17:AB17,1)=1,1,0),0)</calculatedColumnFormula>
    </tableColumn>
    <tableColumn id="33" name="First office award">
      <calculatedColumnFormula>IF(AND(AA17=1,AB17=1),IF(COUNTIFS($J$17:J17,J17,$L$17:L17,L17,$AA$17:AA17,1,$AB$17:AB17,1)=1,1,0),0)</calculatedColumnFormula>
    </tableColumn>
    <tableColumn id="34" name="First vendor award">
      <calculatedColumnFormula>IF(AND(AA17=1,AB17=1),IF(COUNTIFS($J$17:J17,J17,$K$17:K17,K17,$AA$17:AA17,1,$AB$17:AB17,1)=1,1,0),0)</calculatedColumnFormula>
    </tableColumn>
    <tableColumn id="35" name="Positive">
      <calculatedColumnFormula>IF(V17=1,MAX(F17,0),0)</calculatedColumnFormula>
    </tableColumn>
    <tableColumn id="36" name="Deobligations">
      <calculatedColumnFormula>IF(V17=1,MIN(F17,0),0)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VendorGroups" displayName="VendorGroups" ref="A7:R35" headerRowCount="1" totalsRowCount="0" totalsRowShown="0">
  <autoFilter ref="A7:R35"/>
  <tableColumns count="18">
    <tableColumn id="1" name="Rank">
      <calculatedColumnFormula>IF('Trends'!$B$6&lt;&gt;"","",IF(COUNTIFS(VendorGroups[Source rank],1)=1,1,""))</calculatedColumnFormula>
    </tableColumn>
    <tableColumn id="2" name="Vendor">
      <calculatedColumnFormula>IF('Trends'!$B$6&lt;&gt;"","",IF(COUNTIFS(VendorGroups[Source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calculatedColumnFormula>
    </tableColumn>
    <tableColumn id="3" name="UEI">
      <calculatedColumnFormula>IF('Trends'!$B$6&lt;&gt;"","",IF(COUNTIFS(VendorGroups[Source rank],1)=1,IF(INDEX(VendorGroups[Source UEI],MATCH(1,VendorGroups[Source rank],0))="","Not supplied",INDEX(VendorGroups[Source UEI],MATCH(1,VendorGroups[Source rank],0))),""))</calculatedColumnFormula>
    </tableColumn>
    <tableColumn id="4" name="Net obligations">
      <calculatedColumnFormula>IF('Trends'!$B$6&lt;&gt;"","",IF(COUNTIFS(VendorGroups[Source rank],1)=1,INDEX(VendorGroups[Source net],MATCH(1,VendorGroups[Source rank],0)),""))</calculatedColumnFormula>
    </tableColumn>
    <tableColumn id="5" name="Deobligations">
      <calculatedColumnFormula>IF('Trends'!$B$6&lt;&gt;"","",IF(COUNTIFS(VendorGroups[Source rank],1)=1,INDEX(VendorGroups[Source deobligations],MATCH(1,VendorGroups[Source rank],0)),""))</calculatedColumnFormula>
    </tableColumn>
    <tableColumn id="6" name="Awards with obligations">
      <calculatedColumnFormula>IF('Trends'!$B$6&lt;&gt;"","",IF(COUNTIFS(VendorGroups[Source rank],1)=1,INDEX(VendorGroups[Source awards],MATCH(1,VendorGroups[Source rank],0)),""))</calculatedColumnFormula>
    </tableColumn>
    <tableColumn id="7" name="Transactions">
      <calculatedColumnFormula>IF('Trends'!$B$6&lt;&gt;"","",IF(COUNTIFS(VendorGroups[Source rank],1)=1,INDEX(VendorGroups[Source actions],MATCH(1,VendorGroups[Source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IF(H8="","",I8&amp;IF(J8="",""," ["&amp;J8&amp;"]"))</calculatedColumnFormula>
    </tableColumn>
    <tableColumn id="13" name="Source net">
      <calculatedColumnFormula>IF(H8="","",SUMIFS(TransactionsData[Obligations],TransactionsData[Vendor ID],H8,TransactionsData[Selected],1))</calculatedColumnFormula>
    </tableColumn>
    <tableColumn id="14" name="Source deobligations">
      <calculatedColumnFormula>IF(H8="","",SUMIFS(TransactionsData[Deobligations],TransactionsData[Vendor ID],H8,TransactionsData[Selected],1))</calculatedColumnFormula>
    </tableColumn>
    <tableColumn id="15" name="Source awards">
      <calculatedColumnFormula>IF(H8="","",SUMIFS(TransactionsData[First vendor award],TransactionsData[Vendor ID],H8))</calculatedColumnFormula>
    </tableColumn>
    <tableColumn id="16" name="Source actions">
      <calculatedColumnFormula>IF(H8="","",COUNTIFS(TransactionsData[Vendor ID],H8,TransactionsData[Selected],1))</calculatedColumnFormula>
    </tableColumn>
    <tableColumn id="17" name="Source rank">
      <calculatedColumnFormula>IF(OR(H8="",P8=0),"",COUNTIFS(VendorGroups[Source net],"&gt;"&amp;M8,VendorGroups[Source actions],"&gt;0")+COUNTIFS(VendorGroups[Source net],M8,VendorGroups[Record ID],"&lt;"&amp;H8,VendorGroups[Source actions],"&gt;0")+1)</calculatedColumnFormula>
    </tableColumn>
    <tableColumn id="18" name="Input check">
      <calculatedColumnFormula>IF(H8="",IF(COUNTA(I8:K8)&gt;0,"Missing record ID",""),IF(COUNTIFS(VendorGroups[Record ID],H8)&lt;&gt;1,"Duplicate record ID",IF(I8="","Add name","")))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R78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78"/>
    <col customWidth="true" max="2" min="2" style="0" width="5.11"/>
    <col customWidth="true" max="3" min="3" style="0" width="5.11"/>
    <col customWidth="true" max="4" min="4" style="0" width="5.11"/>
    <col customWidth="true" max="5" min="5" style="0" width="5.11"/>
    <col customWidth="true" max="6" min="6" style="0" width="5.11"/>
    <col customWidth="true" max="7" min="7" style="0" width="1.56"/>
    <col customWidth="true" max="8" min="8" style="0" width="5.11"/>
    <col customWidth="true" max="9" min="9" style="0" width="5.11"/>
    <col customWidth="true" max="10" min="10" style="0" width="5.11"/>
    <col customWidth="true" max="11" min="11" style="0" width="5.11"/>
    <col customWidth="true" max="12" min="12" style="0" width="5.11"/>
    <col customWidth="true" max="13" min="13" style="0" width="1.56"/>
    <col customWidth="true" max="14" min="14" style="0" width="5.11"/>
    <col customWidth="true" max="15" min="15" style="0" width="5.11"/>
    <col customWidth="true" max="16" min="16" style="0" width="5.11"/>
    <col customWidth="true" max="17" min="17" style="0" width="5.11"/>
    <col customWidth="true" max="18" min="18" style="0" width="5.11"/>
    <col customWidth="true" max="19" min="19" style="0" width="1.56"/>
    <col customWidth="true" max="20" min="20" style="0" width="5.11"/>
    <col customWidth="true" max="21" min="21" style="0" width="5.11"/>
    <col customWidth="true" max="22" min="22" style="0" width="5.11"/>
    <col customWidth="true" max="23" min="23" style="0" width="5.11"/>
    <col customWidth="true" max="24" min="24" style="0" width="5.11"/>
    <col customWidth="true" max="25" min="25" style="0" width="1.78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  <col customWidth="true" max="38" min="38" style="0" width="12" hidden="1" outlineLevel="1"/>
    <col customWidth="true" max="39" min="39" style="0" width="12" hidden="1" outlineLevel="1"/>
    <col customWidth="true" max="40" min="40" style="0" width="12" hidden="1" outlineLevel="1"/>
    <col customWidth="true" max="41" min="41" style="0" width="12" hidden="1" outlineLevel="1"/>
    <col customWidth="true" max="42" min="42" style="0" width="12" hidden="1" outlineLevel="1"/>
    <col customWidth="true" max="43" min="43" style="0" width="12" hidden="1" outlineLevel="1"/>
    <col customWidth="true" max="44" min="44" style="0" width="12" hidden="1" outlineLevel="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0</v>
      </c>
      <c r="AN1" s="2" t="s">
        <v>0</v>
      </c>
      <c r="AO1" s="2" t="s">
        <v>0</v>
      </c>
      <c r="AP1" s="2"/>
      <c r="AQ1" s="2"/>
      <c r="AR1" s="2"/>
    </row>
    <row r="2" customFormat="false" ht="28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4"/>
      <c r="U2" s="4"/>
      <c r="V2" s="4"/>
      <c r="W2" s="4"/>
      <c r="X2" s="4"/>
      <c r="Y2" s="1"/>
      <c r="Z2" s="2"/>
      <c r="AA2" s="2" t="s">
        <v>2</v>
      </c>
      <c r="AB2" s="2" t="str">
        <f aca="false">IF(H7="All","All",IF(COUNTIFS(VendorGroups[Filter label],H7)=1,INDEX(VendorGroups[Record ID],MATCH(H7,VendorGroups[Filter label],0)),"Invalid"))</f>
        <v>All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3</v>
      </c>
      <c r="AN2" s="2" t="s">
        <v>4</v>
      </c>
      <c r="AO2" s="2" t="s">
        <v>5</v>
      </c>
      <c r="AP2" s="2"/>
      <c r="AQ2" s="2"/>
      <c r="AR2" s="2"/>
    </row>
    <row r="3" customFormat="false" ht="16.5" hidden="false" customHeight="true" outlineLevel="0" collapsed="false">
      <c r="A3" s="1"/>
      <c r="B3" s="5" t="str">
        <f aca="false">IF(Transactions!B3="","Buyer / market",Transactions!B3)</f>
        <v>National Science Foundation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6" t="str">
        <f aca="false">IF(Transactions!G4="","Retrieved: not supplied","Retrieved "&amp;TEXT(Transactions!G4,"mmm d, yyyy"))</f>
        <v>Retrieved Sep 14, 2026</v>
      </c>
      <c r="R3" s="6"/>
      <c r="S3" s="6"/>
      <c r="T3" s="6"/>
      <c r="U3" s="6"/>
      <c r="V3" s="6"/>
      <c r="W3" s="6"/>
      <c r="X3" s="6"/>
      <c r="Y3" s="1"/>
      <c r="Z3" s="2"/>
      <c r="AA3" s="2" t="s">
        <v>6</v>
      </c>
      <c r="AB3" s="2" t="str">
        <f aca="false">IF(B10="All","All",IF(COUNTIFS(OfficeGroups[Filter label],B10)=1,INDEX(OfficeGroups[Record ID],MATCH(B10,OfficeGroups[Filter label],0)),"Invalid"))</f>
        <v>All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 t="s">
        <v>7</v>
      </c>
      <c r="AN3" s="2" t="s">
        <v>8</v>
      </c>
      <c r="AO3" s="2" t="s">
        <v>9</v>
      </c>
      <c r="AP3" s="2"/>
      <c r="AQ3" s="2"/>
      <c r="AR3" s="2"/>
    </row>
    <row r="4" customFormat="false" ht="16.5" hidden="false" customHeight="true" outlineLevel="0" collapsed="false">
      <c r="A4" s="1"/>
      <c r="B4" s="4" t="str">
        <f aca="false">IF(Transactions!G3="","Add reviewed records and reporting dates to populate this workbook.",Transactions!G3)</f>
        <v>Application support (PSC DA01)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s">
        <v>10</v>
      </c>
      <c r="AN4" s="2" t="s">
        <v>11</v>
      </c>
      <c r="AO4" s="2" t="s">
        <v>12</v>
      </c>
      <c r="AP4" s="2"/>
      <c r="AQ4" s="2"/>
      <c r="AR4" s="2"/>
    </row>
    <row r="5" customFormat="false" ht="16.5" hidden="false" customHeight="true" outlineLevel="0" collapsed="false">
      <c r="A5" s="1"/>
      <c r="B5" s="7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s">
        <v>14</v>
      </c>
      <c r="AN5" s="2" t="s">
        <v>15</v>
      </c>
      <c r="AO5" s="2" t="s">
        <v>16</v>
      </c>
      <c r="AP5" s="2"/>
      <c r="AQ5" s="2"/>
      <c r="AR5" s="2"/>
    </row>
    <row r="6" customFormat="false" ht="16.5" hidden="false" customHeight="true" outlineLevel="0" collapsed="false">
      <c r="A6" s="1"/>
      <c r="B6" s="6" t="s">
        <v>17</v>
      </c>
      <c r="C6" s="6"/>
      <c r="D6" s="6"/>
      <c r="E6" s="6"/>
      <c r="F6" s="6"/>
      <c r="G6" s="1"/>
      <c r="H6" s="6" t="s">
        <v>18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2"/>
      <c r="AA6" s="2" t="s">
        <v>19</v>
      </c>
      <c r="AB6" s="2" t="n">
        <f aca="false">IF(Trends!$B$6&lt;&gt;"","",SUMIFS(TransactionsData[Obligations],TransactionsData[Selected],1))</f>
        <v>120316665.98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 t="s">
        <v>20</v>
      </c>
      <c r="AN6" s="2" t="s">
        <v>21</v>
      </c>
      <c r="AO6" s="2"/>
      <c r="AP6" s="2"/>
      <c r="AQ6" s="2"/>
      <c r="AR6" s="2"/>
    </row>
    <row r="7" customFormat="false" ht="16.5" hidden="false" customHeight="true" outlineLevel="0" collapsed="false">
      <c r="A7" s="1"/>
      <c r="B7" s="8" t="n">
        <v>2025</v>
      </c>
      <c r="C7" s="8"/>
      <c r="D7" s="8"/>
      <c r="E7" s="8"/>
      <c r="F7" s="8"/>
      <c r="G7" s="1"/>
      <c r="H7" s="9" t="s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2"/>
      <c r="AA7" s="2" t="s">
        <v>22</v>
      </c>
      <c r="AB7" s="2" t="n">
        <f aca="false">IF(Trends!$B$6&lt;&gt;"","",SUM(TransactionsData[First selected award]))</f>
        <v>34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 t="s">
        <v>23</v>
      </c>
      <c r="AN7" s="2" t="s">
        <v>24</v>
      </c>
      <c r="AO7" s="2"/>
      <c r="AP7" s="2"/>
      <c r="AQ7" s="2"/>
      <c r="AR7" s="2"/>
    </row>
    <row r="8" customFormat="false" ht="16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  <c r="AA8" s="2" t="s">
        <v>25</v>
      </c>
      <c r="AB8" s="2" t="n">
        <f aca="false">IF(Trends!$B$6&lt;&gt;"","",SUM(TransactionsData[First selected vendor]))</f>
        <v>18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 t="s">
        <v>26</v>
      </c>
      <c r="AN8" s="2" t="s">
        <v>27</v>
      </c>
      <c r="AO8" s="2"/>
      <c r="AP8" s="2"/>
      <c r="AQ8" s="2"/>
      <c r="AR8" s="2"/>
    </row>
    <row r="9" customFormat="false" ht="16.5" hidden="false" customHeight="true" outlineLevel="0" collapsed="false">
      <c r="A9" s="1"/>
      <c r="B9" s="6" t="s">
        <v>28</v>
      </c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6" t="s">
        <v>29</v>
      </c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2"/>
      <c r="AA9" s="2" t="s">
        <v>30</v>
      </c>
      <c r="AB9" s="2" t="n">
        <f aca="false">IF(Trends!$B$6&lt;&gt;"","",SUM(TransactionsData[Selected]))</f>
        <v>106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 t="s">
        <v>31</v>
      </c>
      <c r="AN9" s="2" t="s">
        <v>32</v>
      </c>
      <c r="AO9" s="2"/>
      <c r="AP9" s="2"/>
      <c r="AQ9" s="2"/>
      <c r="AR9" s="2"/>
    </row>
    <row r="10" customFormat="false" ht="16.5" hidden="false" customHeight="true" outlineLevel="0" collapsed="false">
      <c r="A10" s="1"/>
      <c r="B10" s="9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"/>
      <c r="N10" s="9" t="s">
        <v>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33</v>
      </c>
      <c r="AN10" s="2" t="s">
        <v>34</v>
      </c>
      <c r="AO10" s="2"/>
      <c r="AP10" s="2"/>
      <c r="AQ10" s="2"/>
      <c r="AR10" s="2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  <c r="AA11" s="2"/>
      <c r="AB11" s="2" t="n">
        <f aca="false">IF(OR(Dashboard!$B$7="All",NOT(ISNUMBER(Dashboard!$B$7))),0,IF(AND(COUNTIFS(Trends!$I$26:$I$28,Dashboard!$B$7)=1,COUNTIFS(Trends!$I$26:$I$28,Dashboard!$B$7-1)=1),IF(AND(INDEX(Trends!$J$26:$J$28,MATCH(Dashboard!$B$7,Trends!$I$26:$I$28,0))=1,INDEX(Trends!$J$26:$J$28,MATCH(Dashboard!$B$7-1,Trends!$I$26:$I$28,0))=1),1,0),0))</f>
        <v>1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s">
        <v>35</v>
      </c>
      <c r="AN11" s="2" t="s">
        <v>36</v>
      </c>
      <c r="AO11" s="2"/>
      <c r="AP11" s="2"/>
      <c r="AQ11" s="2"/>
      <c r="AR11" s="2"/>
    </row>
    <row r="12" customFormat="false" ht="16.5" hidden="false" customHeight="true" outlineLevel="0" collapsed="false">
      <c r="A12" s="1"/>
      <c r="B12" s="10" t="str">
        <f aca="false">Trends!$B$6</f>
        <v/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s">
        <v>37</v>
      </c>
      <c r="AN12" s="2" t="s">
        <v>38</v>
      </c>
      <c r="AO12" s="2"/>
      <c r="AP12" s="2"/>
      <c r="AQ12" s="2"/>
      <c r="AR12" s="2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  <c r="AA13" s="2"/>
      <c r="AB13" s="11" t="n">
        <f aca="false">IF(AB11=1,INDEX(Trends!$D$26:$D$28,MATCH(Dashboard!$B$7-1,Trends!$I$26:$I$28,0)),"")</f>
        <v>97611271.39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s">
        <v>39</v>
      </c>
      <c r="AN13" s="2" t="s">
        <v>40</v>
      </c>
      <c r="AO13" s="2"/>
      <c r="AP13" s="2"/>
      <c r="AQ13" s="2"/>
      <c r="AR13" s="2"/>
    </row>
    <row r="14" customFormat="false" ht="16.5" hidden="false" customHeight="true" outlineLevel="0" collapsed="false">
      <c r="A14" s="1"/>
      <c r="B14" s="12" t="s">
        <v>19</v>
      </c>
      <c r="C14" s="12"/>
      <c r="D14" s="12"/>
      <c r="E14" s="12"/>
      <c r="F14" s="12"/>
      <c r="G14" s="1"/>
      <c r="H14" s="13" t="s">
        <v>22</v>
      </c>
      <c r="I14" s="13"/>
      <c r="J14" s="13"/>
      <c r="K14" s="13"/>
      <c r="L14" s="13"/>
      <c r="M14" s="1"/>
      <c r="N14" s="14" t="s">
        <v>25</v>
      </c>
      <c r="O14" s="14"/>
      <c r="P14" s="14"/>
      <c r="Q14" s="14"/>
      <c r="R14" s="14"/>
      <c r="S14" s="1"/>
      <c r="T14" s="15" t="s">
        <v>30</v>
      </c>
      <c r="U14" s="15"/>
      <c r="V14" s="15"/>
      <c r="W14" s="15"/>
      <c r="X14" s="15"/>
      <c r="Y14" s="1"/>
      <c r="Z14" s="2"/>
      <c r="AA14" s="2"/>
      <c r="AB14" s="2" t="n">
        <f aca="false">IF(AB11=1,INDEX(Trends!$E$26:$E$28,MATCH(Dashboard!$B$7-1,Trends!$I$26:$I$28,0)),"")</f>
        <v>34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s">
        <v>41</v>
      </c>
      <c r="AN14" s="2"/>
      <c r="AO14" s="2"/>
      <c r="AP14" s="2"/>
      <c r="AQ14" s="2"/>
      <c r="AR14" s="2"/>
    </row>
    <row r="15" customFormat="false" ht="16.5" hidden="false" customHeight="true" outlineLevel="0" collapsed="false">
      <c r="A15" s="1"/>
      <c r="B15" s="16" t="str">
        <f aca="false">IF(Trends!$B$6&lt;&gt;"","—",TEXT(AB6/1000000,"$0.00")&amp;"M")</f>
        <v>$120.32M</v>
      </c>
      <c r="C15" s="16"/>
      <c r="D15" s="16"/>
      <c r="E15" s="16"/>
      <c r="F15" s="16"/>
      <c r="G15" s="1"/>
      <c r="H15" s="17" t="n">
        <f aca="false">IF(Trends!$B$6&lt;&gt;"","—",AB7)</f>
        <v>34</v>
      </c>
      <c r="I15" s="17"/>
      <c r="J15" s="17"/>
      <c r="K15" s="17"/>
      <c r="L15" s="17"/>
      <c r="M15" s="1"/>
      <c r="N15" s="18" t="n">
        <f aca="false">IF(Trends!$B$6&lt;&gt;"","—",AB8)</f>
        <v>18</v>
      </c>
      <c r="O15" s="18"/>
      <c r="P15" s="18"/>
      <c r="Q15" s="18"/>
      <c r="R15" s="18"/>
      <c r="S15" s="1"/>
      <c r="T15" s="19" t="n">
        <f aca="false">IF(Trends!$B$6&lt;&gt;"","—",AB9)</f>
        <v>106</v>
      </c>
      <c r="U15" s="19"/>
      <c r="V15" s="19"/>
      <c r="W15" s="19"/>
      <c r="X15" s="19"/>
      <c r="Y15" s="1"/>
      <c r="Z15" s="2"/>
      <c r="AA15" s="2"/>
      <c r="AB15" s="2" t="n">
        <f aca="false">IF(AB11=1,INDEX(Trends!$F$26:$F$28,MATCH(Dashboard!$B$7-1,Trends!$I$26:$I$28,0)),"")</f>
        <v>18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s">
        <v>42</v>
      </c>
      <c r="AN15" s="2"/>
      <c r="AO15" s="2"/>
      <c r="AP15" s="2"/>
      <c r="AQ15" s="2"/>
      <c r="AR15" s="2"/>
    </row>
    <row r="16" customFormat="false" ht="16.5" hidden="false" customHeight="true" outlineLevel="0" collapsed="false">
      <c r="A16" s="1"/>
      <c r="B16" s="16"/>
      <c r="C16" s="16"/>
      <c r="D16" s="16"/>
      <c r="E16" s="16"/>
      <c r="F16" s="16"/>
      <c r="G16" s="1"/>
      <c r="H16" s="17"/>
      <c r="I16" s="17"/>
      <c r="J16" s="17"/>
      <c r="K16" s="17"/>
      <c r="L16" s="17"/>
      <c r="M16" s="1"/>
      <c r="N16" s="18"/>
      <c r="O16" s="18"/>
      <c r="P16" s="18"/>
      <c r="Q16" s="18"/>
      <c r="R16" s="18"/>
      <c r="S16" s="1"/>
      <c r="T16" s="19"/>
      <c r="U16" s="19"/>
      <c r="V16" s="19"/>
      <c r="W16" s="19"/>
      <c r="X16" s="19"/>
      <c r="Y16" s="1"/>
      <c r="Z16" s="2"/>
      <c r="AA16" s="2"/>
      <c r="AB16" s="2" t="n">
        <f aca="false">IF(AB11=1,INDEX(Trends!$G$26:$G$28,MATCH(Dashboard!$B$7-1,Trends!$I$26:$I$28,0)),"")</f>
        <v>74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s">
        <v>43</v>
      </c>
      <c r="AN16" s="2"/>
      <c r="AO16" s="2"/>
      <c r="AP16" s="2"/>
      <c r="AQ16" s="2"/>
      <c r="AR16" s="2"/>
    </row>
    <row r="17" customFormat="false" ht="16.5" hidden="false" customHeight="true" outlineLevel="0" collapsed="false">
      <c r="A17" s="1"/>
      <c r="B17" s="20" t="str">
        <f aca="false">IF(OR(Trends!$B$6&lt;&gt;"",AB11&lt;&gt;1),"",IF(AB13&gt;0,TEXT((AB6-AB13)/AB13,"+0.0%;-0.0%;+0.0%")&amp;" vs FY"&amp;(Dashboard!$B$7-1),""))</f>
        <v>+23.3% vs FY2024</v>
      </c>
      <c r="C17" s="20"/>
      <c r="D17" s="20"/>
      <c r="E17" s="20"/>
      <c r="F17" s="20"/>
      <c r="G17" s="1"/>
      <c r="H17" s="21" t="str">
        <f aca="false">IF(OR(Trends!$B$6&lt;&gt;"",AB11&lt;&gt;1),"",IF(AB7=AB14,"No change vs FY"&amp;(Dashboard!$B$7-1),TEXT(AB7-AB14,"+#,##0;-#,##0;0")&amp;" vs FY"&amp;(Dashboard!$B$7-1)))</f>
        <v>No change vs FY2024</v>
      </c>
      <c r="I17" s="21"/>
      <c r="J17" s="21"/>
      <c r="K17" s="21"/>
      <c r="L17" s="21"/>
      <c r="M17" s="1"/>
      <c r="N17" s="22" t="str">
        <f aca="false">IF(OR(Trends!$B$6&lt;&gt;"",AB11&lt;&gt;1),"",IF(AB8=AB15,"No change vs FY"&amp;(Dashboard!$B$7-1),TEXT(AB8-AB15,"+#,##0;-#,##0;0")&amp;" vs FY"&amp;(Dashboard!$B$7-1)))</f>
        <v>No change vs FY2024</v>
      </c>
      <c r="O17" s="22"/>
      <c r="P17" s="22"/>
      <c r="Q17" s="22"/>
      <c r="R17" s="22"/>
      <c r="S17" s="1"/>
      <c r="T17" s="23" t="str">
        <f aca="false">IF(OR(Trends!$B$6&lt;&gt;"",AB11&lt;&gt;1),"",IF(AB9=AB16,"No change vs FY"&amp;(Dashboard!$B$7-1),TEXT(AB9-AB16,"+#,##0;-#,##0;0")&amp;" vs FY"&amp;(Dashboard!$B$7-1)))</f>
        <v>+32 vs FY2024</v>
      </c>
      <c r="U17" s="23"/>
      <c r="V17" s="23"/>
      <c r="W17" s="23"/>
      <c r="X17" s="23"/>
      <c r="Y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s">
        <v>44</v>
      </c>
      <c r="AN17" s="2"/>
      <c r="AO17" s="2"/>
      <c r="AP17" s="2"/>
      <c r="AQ17" s="2"/>
      <c r="AR17" s="2"/>
    </row>
    <row r="18" customFormat="false" ht="16.5" hidden="false" customHeight="true" outlineLevel="0" collapsed="false">
      <c r="A18" s="1"/>
      <c r="B18" s="24"/>
      <c r="C18" s="25"/>
      <c r="D18" s="25"/>
      <c r="E18" s="25"/>
      <c r="F18" s="26"/>
      <c r="G18" s="1"/>
      <c r="H18" s="27"/>
      <c r="I18" s="28"/>
      <c r="J18" s="28"/>
      <c r="K18" s="28"/>
      <c r="L18" s="29"/>
      <c r="M18" s="1"/>
      <c r="N18" s="30"/>
      <c r="O18" s="31"/>
      <c r="P18" s="31"/>
      <c r="Q18" s="31"/>
      <c r="R18" s="32"/>
      <c r="S18" s="1"/>
      <c r="T18" s="33"/>
      <c r="U18" s="34"/>
      <c r="V18" s="34"/>
      <c r="W18" s="34"/>
      <c r="X18" s="35"/>
      <c r="Y18" s="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s">
        <v>45</v>
      </c>
      <c r="AN18" s="2"/>
      <c r="AO18" s="2"/>
      <c r="AP18" s="2"/>
      <c r="AQ18" s="2"/>
      <c r="AR18" s="2"/>
    </row>
    <row r="19" customFormat="false" ht="16.5" hidden="false" customHeight="true" outlineLevel="0" collapsed="false">
      <c r="A19" s="1"/>
      <c r="B19" s="36" t="str">
        <f aca="false">IF(Dashboard!$B$7="All","All covered years",IF(Dashboard!$B$7="","No reporting period","FY"&amp;Dashboard!$B$7))</f>
        <v>FY2025</v>
      </c>
      <c r="C19" s="36"/>
      <c r="D19" s="36"/>
      <c r="E19" s="36"/>
      <c r="F19" s="36"/>
      <c r="G19" s="1"/>
      <c r="H19" s="37" t="str">
        <f aca="false">IF(Dashboard!$B$7="All","All covered years",IF(Dashboard!$B$7="","No reporting period","FY"&amp;Dashboard!$B$7))</f>
        <v>FY2025</v>
      </c>
      <c r="I19" s="37"/>
      <c r="J19" s="37"/>
      <c r="K19" s="37"/>
      <c r="L19" s="37"/>
      <c r="M19" s="1"/>
      <c r="N19" s="38" t="str">
        <f aca="false">IF(Dashboard!$B$7="All","All covered years",IF(Dashboard!$B$7="","No reporting period","FY"&amp;Dashboard!$B$7))</f>
        <v>FY2025</v>
      </c>
      <c r="O19" s="38"/>
      <c r="P19" s="38"/>
      <c r="Q19" s="38"/>
      <c r="R19" s="38"/>
      <c r="S19" s="1"/>
      <c r="T19" s="39" t="str">
        <f aca="false">IF(Dashboard!$B$7="All","All covered years",IF(Dashboard!$B$7="","No reporting period","FY"&amp;Dashboard!$B$7))</f>
        <v>FY2025</v>
      </c>
      <c r="U19" s="39"/>
      <c r="V19" s="39"/>
      <c r="W19" s="39"/>
      <c r="X19" s="39"/>
      <c r="Y19" s="1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s">
        <v>46</v>
      </c>
      <c r="AN19" s="2"/>
      <c r="AO19" s="2"/>
      <c r="AP19" s="2"/>
      <c r="AQ19" s="2"/>
      <c r="AR19" s="2"/>
    </row>
    <row r="20" customFormat="false" ht="16.5" hidden="false" customHeight="true" outlineLevel="0" collapsed="false">
      <c r="A20" s="1"/>
      <c r="B20" s="40" t="s">
        <v>47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1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">
        <v>48</v>
      </c>
      <c r="AN20" s="2"/>
      <c r="AO20" s="2"/>
      <c r="AP20" s="2"/>
      <c r="AQ20" s="2"/>
      <c r="AR20" s="2"/>
    </row>
    <row r="21" customFormat="false" ht="16.5" hidden="false" customHeight="true" outlineLevel="0" collapsed="false">
      <c r="A21" s="1"/>
      <c r="B21" s="41" t="s">
        <v>49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1"/>
      <c r="N21" s="41" t="s">
        <v>50</v>
      </c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1"/>
      <c r="Z21" s="2"/>
      <c r="AA21" s="2" t="s">
        <v>51</v>
      </c>
      <c r="AB21" s="2" t="s">
        <v>19</v>
      </c>
      <c r="AC21" s="2"/>
      <c r="AD21" s="2" t="s">
        <v>51</v>
      </c>
      <c r="AE21" s="2" t="s">
        <v>19</v>
      </c>
      <c r="AF21" s="2"/>
      <c r="AG21" s="2"/>
      <c r="AH21" s="2"/>
      <c r="AI21" s="2"/>
      <c r="AJ21" s="2"/>
      <c r="AK21" s="2"/>
      <c r="AL21" s="2"/>
      <c r="AM21" s="2" t="s">
        <v>52</v>
      </c>
      <c r="AN21" s="2"/>
      <c r="AO21" s="2"/>
      <c r="AP21" s="2"/>
      <c r="AQ21" s="2"/>
      <c r="AR21" s="2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  <c r="AA22" s="2" t="str">
        <f aca="false">IF(Trends!A26="","",Trends!A26)</f>
        <v>FY2023</v>
      </c>
      <c r="AB22" s="11" t="n">
        <f aca="false">IF((IF(Trends!$B$6&lt;&gt;"","",Trends!D26))="","",(IF(Trends!$B$6&lt;&gt;"","",Trends!D26))/1000000)</f>
        <v>24.02500382</v>
      </c>
      <c r="AC22" s="2"/>
      <c r="AD22" s="2" t="str">
        <f aca="false">IF(Trends!$B$6&lt;&gt;"","",IF(COUNTIFS(VendorGroups[Source actions],"&gt;0")&gt;5,"Other vendors",""))</f>
        <v>Other vendors</v>
      </c>
      <c r="AE22" s="2" t="n">
        <f aca="false">IF((IF(Trends!$B$6&lt;&gt;"","",IF(AD22="","",SUMIFS(VendorGroups[Source net],VendorGroups[Source rank],"&gt;5"))))="","",(IF(Trends!$B$6&lt;&gt;"","",IF(AD22="","",SUMIFS(VendorGroups[Source net],VendorGroups[Source rank],"&gt;5"))))/1000000)</f>
        <v>17.76708223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customFormat="false" ht="16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  <c r="AA23" s="2" t="str">
        <f aca="false">IF(Trends!A27="","",Trends!A27)</f>
        <v>FY2024</v>
      </c>
      <c r="AB23" s="11" t="n">
        <f aca="false">IF((IF(Trends!$B$6&lt;&gt;"","",Trends!D27))="","",(IF(Trends!$B$6&lt;&gt;"","",Trends!D27))/1000000)</f>
        <v>97.61127139</v>
      </c>
      <c r="AC23" s="2"/>
      <c r="AD23" s="2" t="str">
        <f aca="false">IF('Vendors &amp; Buyers'!B12="","",'Vendors &amp; Buyers'!B12)</f>
        <v>Strategic Communications LLC</v>
      </c>
      <c r="AE23" s="11" t="n">
        <f aca="false">IF((IF(AD23="","",'Vendors &amp; Buyers'!D12))="","",(IF(AD23="","",'Vendors &amp; Buyers'!D12))/1000000)</f>
        <v>7.23730265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customFormat="false" ht="16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  <c r="AA24" s="2" t="str">
        <f aca="false">IF(Trends!A28="","",Trends!A28)</f>
        <v>FY2025</v>
      </c>
      <c r="AB24" s="11" t="n">
        <f aca="false">IF((IF(Trends!$B$6&lt;&gt;"","",Trends!D28))="","",(IF(Trends!$B$6&lt;&gt;"","",Trends!D28))/1000000)</f>
        <v>120.31666598</v>
      </c>
      <c r="AC24" s="2"/>
      <c r="AD24" s="2" t="str">
        <f aca="false">IF('Vendors &amp; Buyers'!B11="","",'Vendors &amp; Buyers'!B11)</f>
        <v>Spatial Front Inc.</v>
      </c>
      <c r="AE24" s="11" t="n">
        <f aca="false">IF((IF(AD24="","",'Vendors &amp; Buyers'!D11))="","",(IF(AD24="","",'Vendors &amp; Buyers'!D11))/1000000)</f>
        <v>8.84538599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customFormat="false" ht="16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  <c r="AA25" s="2"/>
      <c r="AB25" s="2"/>
      <c r="AC25" s="2"/>
      <c r="AD25" s="2" t="str">
        <f aca="false">IF('Vendors &amp; Buyers'!B10="","",'Vendors &amp; Buyers'!B10)</f>
        <v>Civicactions, Inc.</v>
      </c>
      <c r="AE25" s="11" t="n">
        <f aca="false">IF((IF(AD25="","",'Vendors &amp; Buyers'!D10))="","",(IF(AD25="","",'Vendors &amp; Buyers'!D10))/1000000)</f>
        <v>10.76911048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  <c r="AA26" s="2"/>
      <c r="AB26" s="2"/>
      <c r="AC26" s="2"/>
      <c r="AD26" s="2" t="str">
        <f aca="false">IF('Vendors &amp; Buyers'!B9="","",'Vendors &amp; Buyers'!B9)</f>
        <v>Directviz Solutions, LLC</v>
      </c>
      <c r="AE26" s="11" t="n">
        <f aca="false">IF((IF(AD26="","",'Vendors &amp; Buyers'!D9))="","",(IF(AD26="","",'Vendors &amp; Buyers'!D9))/1000000)</f>
        <v>22.53273391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customFormat="false" ht="16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2"/>
      <c r="AB27" s="2"/>
      <c r="AC27" s="2"/>
      <c r="AD27" s="2" t="str">
        <f aca="false">IF('Vendors &amp; Buyers'!B8="","",'Vendors &amp; Buyers'!B8)</f>
        <v>Booz Allen Hamilton Inc.</v>
      </c>
      <c r="AE27" s="11" t="n">
        <f aca="false">IF((IF(AD27="","",'Vendors &amp; Buyers'!D8))="","",(IF(AD27="","",'Vendors &amp; Buyers'!D8))/1000000)</f>
        <v>53.16505072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customFormat="false" ht="16.5" hidden="false" customHeight="true" outlineLevel="0" collapsed="false">
      <c r="A36" s="1"/>
      <c r="B36" s="6" t="s">
        <v>53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customFormat="false" ht="16.5" hidden="false" customHeight="true" outlineLevel="0" collapsed="false">
      <c r="A38" s="1"/>
      <c r="B38" s="42" t="s">
        <v>54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customFormat="false" ht="48" hidden="false" customHeight="true" outlineLevel="0" collapsed="false">
      <c r="A39" s="1"/>
      <c r="B39" s="6" t="str">
        <f aca="false">"USD millions  |  Period: "&amp;IF(B7="All","All covered years",IF(B7="","Not supplied","FY"&amp;B7))&amp;"  |  Award type: "&amp;N10&amp;CHAR(10)&amp;"Vendor: "&amp;H7&amp;"  |  Funding office: "&amp;B10</f>
        <v>USD millions  |  Period: FY2025  |  Award type: All
Vendor: All  |  Funding office: All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2"/>
      <c r="AA39" s="2"/>
      <c r="AB39" s="2" t="n">
        <f aca="false">MAX(1,COUNTIFS(Trends!$K$34:$K$45,"&gt;0"))</f>
        <v>4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customFormat="false" ht="16.5" hidden="false" customHeight="true" outlineLevel="0" collapsed="false">
      <c r="A40" s="1"/>
      <c r="B40" s="41" t="s">
        <v>55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1"/>
      <c r="N40" s="41" t="s">
        <v>56</v>
      </c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customFormat="false" ht="16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 t="s">
        <v>51</v>
      </c>
      <c r="AB41" s="2" t="s">
        <v>19</v>
      </c>
      <c r="AC41" s="2"/>
      <c r="AD41" s="2" t="s">
        <v>51</v>
      </c>
      <c r="AE41" s="2" t="s">
        <v>19</v>
      </c>
      <c r="AF41" s="2"/>
      <c r="AG41" s="2" t="s">
        <v>51</v>
      </c>
      <c r="AH41" s="2" t="s">
        <v>19</v>
      </c>
      <c r="AI41" s="2"/>
      <c r="AJ41" s="2" t="s">
        <v>51</v>
      </c>
      <c r="AK41" s="2" t="s">
        <v>19</v>
      </c>
      <c r="AL41" s="2"/>
      <c r="AM41" s="2"/>
      <c r="AN41" s="2"/>
      <c r="AO41" s="2"/>
      <c r="AP41" s="2"/>
      <c r="AQ41" s="2"/>
      <c r="AR41" s="2"/>
    </row>
    <row r="42" customFormat="false" ht="16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 t="str">
        <f aca="false">IF(Trends!A34="","",Trends!A34)</f>
        <v>FY2023 Q1</v>
      </c>
      <c r="AB42" s="11" t="n">
        <f aca="false">IF((IF(OR(Trends!$B$6&lt;&gt;"",AA42=""),"",Trends!D34))="","",(IF(OR(Trends!$B$6&lt;&gt;"",AA42=""),"",Trends!D34))/1000000)</f>
        <v>6.11562027</v>
      </c>
      <c r="AC42" s="2"/>
      <c r="AD42" s="2" t="s">
        <v>16</v>
      </c>
      <c r="AE42" s="2" t="n">
        <f aca="false">IF((IF(AD42="","",IF(Trends!$B$6&lt;&gt;"","",SUMIFS(TransactionsData[Obligations],TransactionsData[Current award type],AD42,TransactionsData[Selected],1))))="","",(IF(AD42="","",IF(Trends!$B$6&lt;&gt;"","",SUMIFS(TransactionsData[Obligations],TransactionsData[Current award type],AD42,TransactionsData[Selected],1))))/1000000)</f>
        <v>0.039079</v>
      </c>
      <c r="AF42" s="2"/>
      <c r="AG42" s="2" t="s">
        <v>57</v>
      </c>
      <c r="AH42" s="2" t="n">
        <f aca="false">IF((IF(AG42="","",IF(Trends!$B$6&lt;&gt;"","",SUMIFS(TransactionsData[Obligations],TransactionsData[Current set-aside],AG42,TransactionsData[Selected],1))))="","",(IF(AG42="","",IF(Trends!$B$6&lt;&gt;"","",SUMIFS(TransactionsData[Obligations],TransactionsData[Current set-aside],AG42,TransactionsData[Selected],1))))/1000000)</f>
        <v>42.6444294</v>
      </c>
      <c r="AI42" s="2"/>
      <c r="AJ42" s="2" t="s">
        <v>58</v>
      </c>
      <c r="AK42" s="2" t="n">
        <f aca="false">IF((IF(AJ42="","",IF(Trends!$B$6&lt;&gt;"","",SUMIFS(TransactionsData[Obligations],TransactionsData[Performance state],AJ42,TransactionsData[Selected],1))))="","",(IF(AJ42="","",IF(Trends!$B$6&lt;&gt;"","",SUMIFS(TransactionsData[Obligations],TransactionsData[Performance state],AJ42,TransactionsData[Selected],1))))/1000000)</f>
        <v>103.48523024</v>
      </c>
      <c r="AL42" s="2"/>
      <c r="AM42" s="2"/>
      <c r="AN42" s="2"/>
      <c r="AO42" s="2"/>
      <c r="AP42" s="2"/>
      <c r="AQ42" s="2"/>
      <c r="AR42" s="2"/>
    </row>
    <row r="43" customFormat="false" ht="16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 t="str">
        <f aca="false">IF(Trends!A35="","",Trends!A35)</f>
        <v>FY2023 Q2</v>
      </c>
      <c r="AB43" s="11" t="n">
        <f aca="false">IF((IF(OR(Trends!$B$6&lt;&gt;"",AA43=""),"",Trends!D35))="","",(IF(OR(Trends!$B$6&lt;&gt;"",AA43=""),"",Trends!D35))/1000000)</f>
        <v>9.21827105</v>
      </c>
      <c r="AC43" s="2"/>
      <c r="AD43" s="2" t="s">
        <v>12</v>
      </c>
      <c r="AE43" s="2" t="n">
        <f aca="false">IF((IF(AD43="","",IF(Trends!$B$6&lt;&gt;"","",SUMIFS(TransactionsData[Obligations],TransactionsData[Current award type],AD43,TransactionsData[Selected],1))))="","",(IF(AD43="","",IF(Trends!$B$6&lt;&gt;"","",SUMIFS(TransactionsData[Obligations],TransactionsData[Current award type],AD43,TransactionsData[Selected],1))))/1000000)</f>
        <v>80.71469867</v>
      </c>
      <c r="AF43" s="2"/>
      <c r="AG43" s="2" t="s">
        <v>59</v>
      </c>
      <c r="AH43" s="2" t="n">
        <f aca="false">IF((IF(AG43="","",IF(Trends!$B$6&lt;&gt;"","",SUMIFS(TransactionsData[Obligations],TransactionsData[Current set-aside],AG43,TransactionsData[Selected],1))))="","",(IF(AG43="","",IF(Trends!$B$6&lt;&gt;"","",SUMIFS(TransactionsData[Obligations],TransactionsData[Current set-aside],AG43,TransactionsData[Selected],1))))/1000000)</f>
        <v>70.8153021</v>
      </c>
      <c r="AI43" s="2"/>
      <c r="AJ43" s="2" t="s">
        <v>60</v>
      </c>
      <c r="AK43" s="2" t="n">
        <f aca="false">IF((IF(AJ43="","",IF(Trends!$B$6&lt;&gt;"","",SUMIFS(TransactionsData[Obligations],TransactionsData[Performance state],AJ43,TransactionsData[Selected],1))))="","",(IF(AJ43="","",IF(Trends!$B$6&lt;&gt;"","",SUMIFS(TransactionsData[Obligations],TransactionsData[Performance state],AJ43,TransactionsData[Selected],1))))/1000000)</f>
        <v>0.06175948</v>
      </c>
      <c r="AL43" s="2"/>
      <c r="AM43" s="2"/>
      <c r="AN43" s="2"/>
      <c r="AO43" s="2"/>
      <c r="AP43" s="2"/>
      <c r="AQ43" s="2"/>
      <c r="AR43" s="2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 t="str">
        <f aca="false">IF(Trends!A36="","",Trends!A36)</f>
        <v>FY2023 Q3</v>
      </c>
      <c r="AB44" s="11" t="n">
        <f aca="false">IF((IF(OR(Trends!$B$6&lt;&gt;"",AA44=""),"",Trends!D36))="","",(IF(OR(Trends!$B$6&lt;&gt;"",AA44=""),"",Trends!D36))/1000000)</f>
        <v>3.44990292</v>
      </c>
      <c r="AC44" s="2"/>
      <c r="AD44" s="2" t="s">
        <v>9</v>
      </c>
      <c r="AE44" s="2" t="n">
        <f aca="false">IF((IF(AD44="","",IF(Trends!$B$6&lt;&gt;"","",SUMIFS(TransactionsData[Obligations],TransactionsData[Current award type],AD44,TransactionsData[Selected],1))))="","",(IF(AD44="","",IF(Trends!$B$6&lt;&gt;"","",SUMIFS(TransactionsData[Obligations],TransactionsData[Current award type],AD44,TransactionsData[Selected],1))))/1000000)</f>
        <v>3.22982864</v>
      </c>
      <c r="AF44" s="2"/>
      <c r="AG44" s="2" t="s">
        <v>61</v>
      </c>
      <c r="AH44" s="2" t="n">
        <f aca="false">IF((IF(AG44="","",IF(Trends!$B$6&lt;&gt;"","",SUMIFS(TransactionsData[Obligations],TransactionsData[Current set-aside],AG44,TransactionsData[Selected],1))))="","",(IF(AG44="","",IF(Trends!$B$6&lt;&gt;"","",SUMIFS(TransactionsData[Obligations],TransactionsData[Current set-aside],AG44,TransactionsData[Selected],1))))/1000000)</f>
        <v>5.27922408</v>
      </c>
      <c r="AI44" s="2"/>
      <c r="AJ44" s="2" t="s">
        <v>62</v>
      </c>
      <c r="AK44" s="2" t="n">
        <f aca="false">IF((IF(AJ44="","",IF(Trends!$B$6&lt;&gt;"","",SUMIFS(TransactionsData[Obligations],TransactionsData[Performance state],AJ44,TransactionsData[Selected],1))))="","",(IF(AJ44="","",IF(Trends!$B$6&lt;&gt;"","",SUMIFS(TransactionsData[Obligations],TransactionsData[Performance state],AJ44,TransactionsData[Selected],1))))/1000000)</f>
        <v>5.01539109</v>
      </c>
      <c r="AL44" s="2"/>
      <c r="AM44" s="2"/>
      <c r="AN44" s="2"/>
      <c r="AO44" s="2"/>
      <c r="AP44" s="2"/>
      <c r="AQ44" s="2"/>
      <c r="AR44" s="2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 t="str">
        <f aca="false">IF(Trends!A37="","",Trends!A37)</f>
        <v>FY2023 Q4</v>
      </c>
      <c r="AB45" s="11" t="n">
        <f aca="false">IF((IF(OR(Trends!$B$6&lt;&gt;"",AA45=""),"",Trends!D37))="","",(IF(OR(Trends!$B$6&lt;&gt;"",AA45=""),"",Trends!D37))/1000000)</f>
        <v>5.24120958</v>
      </c>
      <c r="AC45" s="2"/>
      <c r="AD45" s="2" t="s">
        <v>5</v>
      </c>
      <c r="AE45" s="2" t="n">
        <f aca="false">IF((IF(AD45="","",IF(Trends!$B$6&lt;&gt;"","",SUMIFS(TransactionsData[Obligations],TransactionsData[Current award type],AD45,TransactionsData[Selected],1))))="","",(IF(AD45="","",IF(Trends!$B$6&lt;&gt;"","",SUMIFS(TransactionsData[Obligations],TransactionsData[Current award type],AD45,TransactionsData[Selected],1))))/1000000)</f>
        <v>36.33305967</v>
      </c>
      <c r="AF45" s="2"/>
      <c r="AG45" s="2" t="s">
        <v>63</v>
      </c>
      <c r="AH45" s="2" t="n">
        <f aca="false">IF((IF(AG45="","",IF(Trends!$B$6&lt;&gt;"","",SUMIFS(TransactionsData[Obligations],TransactionsData[Current set-aside],AG45,TransactionsData[Selected],1))))="","",(IF(AG45="","",IF(Trends!$B$6&lt;&gt;"","",SUMIFS(TransactionsData[Obligations],TransactionsData[Current set-aside],AG45,TransactionsData[Selected],1))))/1000000)</f>
        <v>1.5777104</v>
      </c>
      <c r="AI45" s="2"/>
      <c r="AJ45" s="2" t="s">
        <v>64</v>
      </c>
      <c r="AK45" s="2" t="n">
        <f aca="false">IF((IF(AJ45="","",IF(Trends!$B$6&lt;&gt;"","",SUMIFS(TransactionsData[Obligations],TransactionsData[Performance state],AJ45,TransactionsData[Selected],1))))="","",(IF(AJ45="","",IF(Trends!$B$6&lt;&gt;"","",SUMIFS(TransactionsData[Obligations],TransactionsData[Performance state],AJ45,TransactionsData[Selected],1))))/1000000)</f>
        <v>0.48979172</v>
      </c>
      <c r="AL45" s="2"/>
      <c r="AM45" s="2"/>
      <c r="AN45" s="2"/>
      <c r="AO45" s="2"/>
      <c r="AP45" s="2"/>
      <c r="AQ45" s="2"/>
      <c r="AR45" s="2"/>
    </row>
    <row r="46" customFormat="false" ht="16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 t="str">
        <f aca="false">IF(Trends!A38="","",Trends!A38)</f>
        <v>FY2024 Q1</v>
      </c>
      <c r="AB46" s="11" t="n">
        <f aca="false">IF((IF(OR(Trends!$B$6&lt;&gt;"",AA46=""),"",Trends!D38))="","",(IF(OR(Trends!$B$6&lt;&gt;"",AA46=""),"",Trends!D38))/1000000)</f>
        <v>25.40000978</v>
      </c>
      <c r="AC46" s="2"/>
      <c r="AD46" s="2"/>
      <c r="AE46" s="2"/>
      <c r="AF46" s="2"/>
      <c r="AG46" s="2"/>
      <c r="AH46" s="2"/>
      <c r="AI46" s="2"/>
      <c r="AJ46" s="2" t="s">
        <v>65</v>
      </c>
      <c r="AK46" s="2" t="n">
        <f aca="false">IF((IF(AJ46="","",IF(Trends!$B$6&lt;&gt;"","",SUMIFS(TransactionsData[Obligations],TransactionsData[Performance state],AJ46,TransactionsData[Selected],1))))="","",(IF(AJ46="","",IF(Trends!$B$6&lt;&gt;"","",SUMIFS(TransactionsData[Obligations],TransactionsData[Performance state],AJ46,TransactionsData[Selected],1))))/1000000)</f>
        <v>0.49538297</v>
      </c>
      <c r="AL46" s="2"/>
      <c r="AM46" s="2"/>
      <c r="AN46" s="2"/>
      <c r="AO46" s="2"/>
      <c r="AP46" s="2"/>
      <c r="AQ46" s="2"/>
      <c r="AR46" s="2"/>
    </row>
    <row r="47" customFormat="false" ht="16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 t="str">
        <f aca="false">IF(Trends!A39="","",Trends!A39)</f>
        <v>FY2024 Q2</v>
      </c>
      <c r="AB47" s="11" t="n">
        <f aca="false">IF((IF(OR(Trends!$B$6&lt;&gt;"",AA47=""),"",Trends!D39))="","",(IF(OR(Trends!$B$6&lt;&gt;"",AA47=""),"",Trends!D39))/1000000)</f>
        <v>7.4993187</v>
      </c>
      <c r="AC47" s="2"/>
      <c r="AD47" s="2"/>
      <c r="AE47" s="2"/>
      <c r="AF47" s="2"/>
      <c r="AG47" s="2"/>
      <c r="AH47" s="2"/>
      <c r="AI47" s="2"/>
      <c r="AJ47" s="2" t="s">
        <v>66</v>
      </c>
      <c r="AK47" s="2" t="n">
        <f aca="false">IF((IF(AJ47="","",IF(Trends!$B$6&lt;&gt;"","",SUMIFS(TransactionsData[Obligations],TransactionsData[Performance state],AJ47,TransactionsData[Selected],1))))="","",(IF(AJ47="","",IF(Trends!$B$6&lt;&gt;"","",SUMIFS(TransactionsData[Obligations],TransactionsData[Performance state],AJ47,TransactionsData[Selected],1))))/1000000)</f>
        <v>10.76911048</v>
      </c>
      <c r="AL47" s="2"/>
      <c r="AM47" s="2"/>
      <c r="AN47" s="2"/>
      <c r="AO47" s="2"/>
      <c r="AP47" s="2"/>
      <c r="AQ47" s="2"/>
      <c r="AR47" s="2"/>
    </row>
    <row r="48" customFormat="false" ht="16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 t="str">
        <f aca="false">IF(Trends!A40="","",Trends!A40)</f>
        <v>FY2024 Q3</v>
      </c>
      <c r="AB48" s="11" t="n">
        <f aca="false">IF((IF(OR(Trends!$B$6&lt;&gt;"",AA48=""),"",Trends!D40))="","",(IF(OR(Trends!$B$6&lt;&gt;"",AA48=""),"",Trends!D40))/1000000)</f>
        <v>23.74200638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customFormat="false" ht="16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 t="str">
        <f aca="false">IF(Trends!A41="","",Trends!A41)</f>
        <v>FY2024 Q4</v>
      </c>
      <c r="AB49" s="11" t="n">
        <f aca="false">IF((IF(OR(Trends!$B$6&lt;&gt;"",AA49=""),"",Trends!D41))="","",(IF(OR(Trends!$B$6&lt;&gt;"",AA49=""),"",Trends!D41))/1000000)</f>
        <v>40.96993653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customFormat="false" ht="16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 t="str">
        <f aca="false">IF(Trends!A42="","",Trends!A42)</f>
        <v>FY2025 Q1</v>
      </c>
      <c r="AB50" s="11" t="n">
        <f aca="false">IF((IF(OR(Trends!$B$6&lt;&gt;"",AA50=""),"",Trends!D42))="","",(IF(OR(Trends!$B$6&lt;&gt;"",AA50=""),"",Trends!D42))/1000000)</f>
        <v>15.41243911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 t="str">
        <f aca="false">IF(Trends!A43="","",Trends!A43)</f>
        <v>FY2025 Q2</v>
      </c>
      <c r="AB51" s="11" t="n">
        <f aca="false">IF((IF(OR(Trends!$B$6&lt;&gt;"",AA51=""),"",Trends!D43))="","",(IF(OR(Trends!$B$6&lt;&gt;"",AA51=""),"",Trends!D43))/1000000)</f>
        <v>39.93078026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 t="str">
        <f aca="false">IF(Trends!A44="","",Trends!A44)</f>
        <v>FY2025 Q3</v>
      </c>
      <c r="AB52" s="11" t="n">
        <f aca="false">IF((IF(OR(Trends!$B$6&lt;&gt;"",AA52=""),"",Trends!D44))="","",(IF(OR(Trends!$B$6&lt;&gt;"",AA52=""),"",Trends!D44))/1000000)</f>
        <v>14.09381528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customFormat="false" ht="16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 t="str">
        <f aca="false">IF(Trends!A45="","",Trends!A45)</f>
        <v>FY2025 Q4</v>
      </c>
      <c r="AB53" s="11" t="n">
        <f aca="false">IF((IF(OR(Trends!$B$6&lt;&gt;"",AA53=""),"",Trends!D45))="","",(IF(OR(Trends!$B$6&lt;&gt;"",AA53=""),"",Trends!D45))/1000000)</f>
        <v>50.87963133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customFormat="false" ht="16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customFormat="false" ht="16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customFormat="false" ht="16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customFormat="false" ht="16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customFormat="false" ht="16.5" hidden="false" customHeight="true" outlineLevel="0" collapsed="false">
      <c r="A58" s="1"/>
      <c r="B58" s="41" t="s">
        <v>67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"/>
      <c r="N58" s="41" t="s">
        <v>68</v>
      </c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customFormat="false" ht="27" hidden="false" customHeight="true" outlineLevel="0" collapsed="false">
      <c r="A76" s="1"/>
      <c r="B76" s="40" t="s">
        <v>69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</sheetData>
  <mergeCells count="42">
    <mergeCell ref="B2:R2"/>
    <mergeCell ref="T2:X2"/>
    <mergeCell ref="B3:O3"/>
    <mergeCell ref="Q3:X3"/>
    <mergeCell ref="B4:X4"/>
    <mergeCell ref="B5:X5"/>
    <mergeCell ref="B6:F6"/>
    <mergeCell ref="H6:X6"/>
    <mergeCell ref="B7:F7"/>
    <mergeCell ref="H7:X7"/>
    <mergeCell ref="B9:L9"/>
    <mergeCell ref="N9:X9"/>
    <mergeCell ref="B10:L10"/>
    <mergeCell ref="N10:X10"/>
    <mergeCell ref="B12:X12"/>
    <mergeCell ref="B14:F14"/>
    <mergeCell ref="H14:L14"/>
    <mergeCell ref="N14:R14"/>
    <mergeCell ref="T14:X14"/>
    <mergeCell ref="B15:F16"/>
    <mergeCell ref="H15:L16"/>
    <mergeCell ref="N15:R16"/>
    <mergeCell ref="T15:X16"/>
    <mergeCell ref="B17:F17"/>
    <mergeCell ref="H17:L17"/>
    <mergeCell ref="N17:R17"/>
    <mergeCell ref="T17:X17"/>
    <mergeCell ref="B19:F19"/>
    <mergeCell ref="H19:L19"/>
    <mergeCell ref="N19:R19"/>
    <mergeCell ref="T19:X19"/>
    <mergeCell ref="B20:X20"/>
    <mergeCell ref="B21:L21"/>
    <mergeCell ref="N21:X21"/>
    <mergeCell ref="B36:X36"/>
    <mergeCell ref="B38:X38"/>
    <mergeCell ref="B39:X39"/>
    <mergeCell ref="B40:L40"/>
    <mergeCell ref="N40:X40"/>
    <mergeCell ref="B58:L58"/>
    <mergeCell ref="N58:X58"/>
    <mergeCell ref="B76:X76"/>
  </mergeCells>
  <dataValidations count="4">
    <dataValidation type="list" allowBlank="1" showErrorMessage="1" errorStyle="stop" errorTitle="Check this input" error="Choose a value from this list." sqref="B7">
      <formula1>"All,2023,2024,2025"</formula1>
    </dataValidation>
    <dataValidation type="list" allowBlank="1" showErrorMessage="1" errorStyle="stop" errorTitle="Check this input" error="Choose a value from this list." sqref="H7">
      <formula1>VendorChoices</formula1>
    </dataValidation>
    <dataValidation type="list" allowBlank="1" showErrorMessage="1" errorStyle="stop" errorTitle="Check this input" error="Choose a value from this list." sqref="B10">
      <formula1>OfficeChoices</formula1>
    </dataValidation>
    <dataValidation type="list" allowBlank="1" showErrorMessage="1" errorStyle="stop" errorTitle="Check this input" error="Choose a value from this list." sqref="N10">
      <formula1>TypeChoices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68CA1"/>
    <outlinePr summaryRight="0"/>
    <pageSetUpPr fitToPage="1"/>
  </sheetPr>
  <dimension ref="A1:M7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6.67"/>
    <col customWidth="true" max="2" min="2" style="0" width="17.22"/>
    <col customWidth="true" max="3" min="3" style="0" width="17.22"/>
    <col customWidth="true" max="4" min="4" style="0" width="20"/>
    <col customWidth="true" max="5" min="5" style="0" width="18.89"/>
    <col customWidth="true" max="6" min="6" style="0" width="13.89"/>
    <col customWidth="true" max="7" min="7" style="0" width="21.67"/>
    <col customWidth="true" max="8" min="8" style="0" width="18.89"/>
    <col customWidth="true" max="9" min="9" style="0" width="11.11" hidden="1" outlineLevel="1"/>
    <col customWidth="true" max="10" min="10" style="0" width="11.11" hidden="1" outlineLevel="1"/>
    <col customWidth="true" max="11" min="11" style="0" width="11.11" hidden="1" outlineLevel="1"/>
    <col customWidth="true" max="12" min="12" style="0" width="12" hidden="1" outlineLevel="1"/>
    <col customWidth="true" max="13" min="13" style="0" width="12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32" hidden="false" customHeight="true" outlineLevel="0" collapsed="false">
      <c r="A2" s="44" t="s">
        <v>70</v>
      </c>
      <c r="B2" s="44"/>
      <c r="C2" s="44"/>
      <c r="D2" s="44"/>
      <c r="E2" s="44"/>
      <c r="F2" s="43"/>
      <c r="G2" s="43"/>
      <c r="H2" s="43"/>
      <c r="I2" s="43"/>
      <c r="J2" s="43"/>
      <c r="K2" s="43"/>
    </row>
    <row r="3" customFormat="false" ht="38" hidden="false" customHeight="true" outlineLevel="0" collapsed="false">
      <c r="A3" s="45" t="str">
        <f aca="false">"Buyer: "&amp;IF(Transactions!B3="","Not supplied",Transactions!B3)&amp;"  |  History: "&amp;IF(Transactions!B4="","Not supplied",TEXT(Transactions!B4,"mmm d, yyyy"))&amp;" through "&amp;IF(Transactions!D4="","Not supplied",TEXT(Transactions!D4,"mmm d, yyyy"))&amp;"  |  Award type: "&amp;Dashboard!$N$10</f>
        <v>Buyer: National Science Foundation  |  History: Oct 1, 2022 through Sep 30, 2025  |  Award type: All</v>
      </c>
      <c r="B3" s="45"/>
      <c r="C3" s="45"/>
      <c r="D3" s="45"/>
      <c r="E3" s="45"/>
      <c r="F3" s="45"/>
      <c r="G3" s="45"/>
      <c r="H3" s="45"/>
      <c r="I3" s="43"/>
      <c r="J3" s="43"/>
      <c r="K3" s="43"/>
    </row>
    <row r="4" customFormat="false" ht="38" hidden="false" customHeight="true" outlineLevel="0" collapsed="false">
      <c r="A4" s="45" t="str">
        <f aca="false">"Vendor: "&amp;Dashboard!H7&amp;CHAR(10)&amp;"Funding office: "&amp;Dashboard!B10</f>
        <v>Vendor: All
Funding office: All</v>
      </c>
      <c r="B4" s="45"/>
      <c r="C4" s="45"/>
      <c r="D4" s="45"/>
      <c r="E4" s="45"/>
      <c r="F4" s="45"/>
      <c r="G4" s="45"/>
      <c r="H4" s="45"/>
      <c r="I4" s="43"/>
      <c r="J4" s="43"/>
      <c r="K4" s="43"/>
    </row>
    <row r="5" customFormat="false" ht="25" hidden="false" customHeight="true" outlineLevel="0" collapsed="false">
      <c r="A5" s="45" t="s">
        <v>71</v>
      </c>
      <c r="B5" s="45"/>
      <c r="C5" s="45"/>
      <c r="D5" s="45"/>
      <c r="E5" s="45"/>
      <c r="F5" s="45"/>
      <c r="G5" s="45"/>
      <c r="H5" s="45"/>
      <c r="I5" s="43"/>
      <c r="J5" s="43"/>
      <c r="K5" s="43"/>
    </row>
    <row r="6" customFormat="false" ht="25" hidden="false" customHeight="true" outlineLevel="0" collapsed="false">
      <c r="A6" s="43" t="s">
        <v>72</v>
      </c>
      <c r="B6" s="46" t="str">
        <f aca="false">IF(COUNTIF(AwardsData[Input check],"New category: refresh report")&gt;0,"Refresh report for new classifications",IF(COUNTA(TransactionsData[Transaction ID])=0,"Awaiting source data",IF(OR(NOT(ISNUMBER(Transactions!B4)),NOT(ISNUMBER(Transactions!D4)),Transactions!B4&gt;Transactions!D4,NOT(ISNUMBER(Transactions!G4))),"Enter valid coverage and retrieval dates",IF(COUNTIFS(TransactionsData[Input check],"?*")+COUNTIFS(AwardsData[Input check],"?*")+COUNTIFS(VendorGroups[Input check],"?*")+COUNTIFS(OfficeGroups[Input check],"?*")&gt;0,"Review source input checks",IF(OR(Dashboard!$AB$2="Invalid",Dashboard!$AB$3="Invalid",AND(Dashboard!$N$10&lt;&gt;"All",COUNTIFS(TypeChoices,Dashboard!$N$10)&lt;&gt;1)),"Choose valid Dashboard filters",IF(NOT(OR(Dashboard!$B$7="All",COUNTIFS($I$26:$I$28,Dashboard!$B$7)=1)),"Choose a reporting year",IF(SUMPRODUCT((TransactionsData[Eligible]=1)*(COUNTIFS(VendorGroups[Record ID],TransactionsData[Vendor ID])&lt;&gt;1))+SUMPRODUCT((TransactionsData[Eligible]=1)*(COUNTIFS(OfficeGroups[Record ID],TransactionsData[Funding office ID])&lt;&gt;1))&gt;0,"Add missing vendor or office registry IDs","")))))))</f>
        <v/>
      </c>
      <c r="C6" s="46"/>
      <c r="D6" s="46"/>
      <c r="E6" s="46"/>
      <c r="F6" s="46"/>
      <c r="G6" s="46"/>
      <c r="H6" s="46"/>
      <c r="I6" s="43"/>
      <c r="J6" s="43"/>
      <c r="K6" s="43"/>
    </row>
    <row r="7" customFormat="false" ht="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</row>
    <row r="8" customFormat="false" ht="25" hidden="false" customHeight="true" outlineLevel="0" collapsed="false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</row>
    <row r="9" customFormat="false" ht="25" hidden="false" customHeight="true" outlineLevel="0" collapsed="false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customFormat="false" ht="25" hidden="false" customHeight="true" outlineLevel="0" collapsed="false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customFormat="false" ht="25" hidden="false" customHeight="true" outlineLevel="0" collapsed="false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customFormat="false" ht="25" hidden="false" customHeight="true" outlineLevel="0" collapsed="false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customFormat="false" ht="25" hidden="false" customHeight="tru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customFormat="false" ht="25" hidden="false" customHeight="true" outlineLevel="0" collapsed="false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customFormat="false" ht="25" hidden="false" customHeight="true" outlineLevel="0" collapsed="false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 customFormat="false" ht="25" hidden="false" customHeight="true" outlineLevel="0" collapsed="false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</row>
    <row r="17" customFormat="false" ht="25" hidden="false" customHeight="true" outlineLevel="0" collapsed="false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customFormat="false" ht="25" hidden="false" customHeight="true" outlineLevel="0" collapsed="false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 customFormat="false" ht="25" hidden="false" customHeight="true" outlineLevel="0" collapsed="false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0" customFormat="false" ht="25" hidden="false" customHeight="true" outlineLevel="0" collapsed="false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customFormat="false" ht="25" hidden="false" customHeight="true" outlineLevel="0" collapsed="false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customFormat="false" ht="25" hidden="false" customHeight="true" outlineLevel="0" collapsed="false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customFormat="false" ht="25" hidden="false" customHeight="true" outlineLevel="0" collapsed="false">
      <c r="A23" s="45" t="s">
        <v>73</v>
      </c>
      <c r="B23" s="45"/>
      <c r="C23" s="45"/>
      <c r="D23" s="45"/>
      <c r="E23" s="45"/>
      <c r="F23" s="45"/>
      <c r="G23" s="45"/>
      <c r="H23" s="45"/>
      <c r="I23" s="43"/>
      <c r="J23" s="43"/>
      <c r="K23" s="43"/>
    </row>
    <row r="24" customFormat="false" ht="25" hidden="false" customHeight="tru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5" customFormat="false" ht="36" hidden="false" customHeight="true" outlineLevel="0" collapsed="false">
      <c r="A25" s="47" t="s">
        <v>17</v>
      </c>
      <c r="B25" s="47" t="s">
        <v>74</v>
      </c>
      <c r="C25" s="47" t="s">
        <v>75</v>
      </c>
      <c r="D25" s="47" t="s">
        <v>19</v>
      </c>
      <c r="E25" s="47" t="s">
        <v>22</v>
      </c>
      <c r="F25" s="47" t="s">
        <v>25</v>
      </c>
      <c r="G25" s="47" t="s">
        <v>30</v>
      </c>
      <c r="H25" s="47" t="s">
        <v>76</v>
      </c>
      <c r="I25" s="47" t="s">
        <v>77</v>
      </c>
      <c r="J25" s="47" t="s">
        <v>78</v>
      </c>
      <c r="K25" s="43"/>
    </row>
    <row r="26" customFormat="false" ht="28" hidden="false" customHeight="true" outlineLevel="0" collapsed="false">
      <c r="A26" s="43" t="str">
        <f aca="false">IF(I26="","","FY"&amp;I26)</f>
        <v>FY2023</v>
      </c>
      <c r="B26" s="48" t="n">
        <f aca="false">IF(I26="","",IF(Trends!$B$6&lt;&gt;"","",SUMIFS(TransactionsData[Positive],TransactionsData[FY],I26,TransactionsData[Dimension match],1)))</f>
        <v>24025003.82</v>
      </c>
      <c r="C26" s="48" t="n">
        <f aca="false">IF(I26="","",IF(Trends!$B$6&lt;&gt;"","",SUMIFS(TransactionsData[Deobligations],TransactionsData[FY],I26,TransactionsData[Dimension match],1)))</f>
        <v>0</v>
      </c>
      <c r="D26" s="48" t="n">
        <f aca="false">IF(I26="","",IF(Trends!$B$6&lt;&gt;"","",SUMIFS(TransactionsData[Obligations],TransactionsData[FY],I26,TransactionsData[Dimension match],1)))</f>
        <v>24025003.82</v>
      </c>
      <c r="E26" s="43" t="n">
        <f aca="false">IF(I26="","",IF(Trends!$B$6&lt;&gt;"","",SUMIFS(TransactionsData[First annual award],TransactionsData[FY],I26,TransactionsData[Dimension match],1)))</f>
        <v>16</v>
      </c>
      <c r="F26" s="43" t="n">
        <f aca="false">IF(I26="","",IF(Trends!$B$6&lt;&gt;"","",SUMIFS(TransactionsData[First annual vendor],TransactionsData[FY],I26,TransactionsData[Dimension match],1)))</f>
        <v>10</v>
      </c>
      <c r="G26" s="43" t="n">
        <f aca="false">IF(I26="","",IF(Trends!$B$6&lt;&gt;"","",COUNTIFS(TransactionsData[FY],I26,TransactionsData[Dimension match],1)))</f>
        <v>34</v>
      </c>
      <c r="H26" s="49" t="str">
        <f aca="false">""</f>
        <v/>
      </c>
      <c r="I26" s="43" t="n">
        <v>2023</v>
      </c>
      <c r="J26" s="43" t="n">
        <f aca="false">IF(I26="","",IF(AND(Transactions!$B$4&lt;=DATE(I26-1,10,1),Transactions!$D$4&gt;=DATE(I26,9,30)),1,0))</f>
        <v>1</v>
      </c>
      <c r="K26" s="43"/>
    </row>
    <row r="27" customFormat="false" ht="28" hidden="false" customHeight="true" outlineLevel="0" collapsed="false">
      <c r="A27" s="43" t="str">
        <f aca="false">IF(I27="","","FY"&amp;I27)</f>
        <v>FY2024</v>
      </c>
      <c r="B27" s="48" t="n">
        <f aca="false">IF(I27="","",IF(Trends!$B$6&lt;&gt;"","",SUMIFS(TransactionsData[Positive],TransactionsData[FY],I27,TransactionsData[Dimension match],1)))</f>
        <v>97611271.39</v>
      </c>
      <c r="C27" s="48" t="n">
        <f aca="false">IF(I27="","",IF(Trends!$B$6&lt;&gt;"","",SUMIFS(TransactionsData[Deobligations],TransactionsData[FY],I27,TransactionsData[Dimension match],1)))</f>
        <v>0</v>
      </c>
      <c r="D27" s="48" t="n">
        <f aca="false">IF(I27="","",IF(Trends!$B$6&lt;&gt;"","",SUMIFS(TransactionsData[Obligations],TransactionsData[FY],I27,TransactionsData[Dimension match],1)))</f>
        <v>97611271.39</v>
      </c>
      <c r="E27" s="43" t="n">
        <f aca="false">IF(I27="","",IF(Trends!$B$6&lt;&gt;"","",SUMIFS(TransactionsData[First annual award],TransactionsData[FY],I27,TransactionsData[Dimension match],1)))</f>
        <v>34</v>
      </c>
      <c r="F27" s="43" t="n">
        <f aca="false">IF(I27="","",IF(Trends!$B$6&lt;&gt;"","",SUMIFS(TransactionsData[First annual vendor],TransactionsData[FY],I27,TransactionsData[Dimension match],1)))</f>
        <v>18</v>
      </c>
      <c r="G27" s="43" t="n">
        <f aca="false">IF(I27="","",IF(Trends!$B$6&lt;&gt;"","",COUNTIFS(TransactionsData[FY],I27,TransactionsData[Dimension match],1)))</f>
        <v>74</v>
      </c>
      <c r="H27" s="49" t="n">
        <f aca="false">IF(AND(Trends!$B$6="",J27=1,J26=1,D26&gt;0),(D27-D26)/D26,"")</f>
        <v>3.06290347012315</v>
      </c>
      <c r="I27" s="43" t="n">
        <v>2024</v>
      </c>
      <c r="J27" s="43" t="n">
        <f aca="false">IF(I27="","",IF(AND(Transactions!$B$4&lt;=DATE(I27-1,10,1),Transactions!$D$4&gt;=DATE(I27,9,30)),1,0))</f>
        <v>1</v>
      </c>
      <c r="K27" s="43"/>
    </row>
    <row r="28" customFormat="false" ht="28" hidden="false" customHeight="true" outlineLevel="0" collapsed="false">
      <c r="A28" s="43" t="str">
        <f aca="false">IF(I28="","","FY"&amp;I28)</f>
        <v>FY2025</v>
      </c>
      <c r="B28" s="48" t="n">
        <f aca="false">IF(I28="","",IF(Trends!$B$6&lt;&gt;"","",SUMIFS(TransactionsData[Positive],TransactionsData[FY],I28,TransactionsData[Dimension match],1)))</f>
        <v>121617092.29</v>
      </c>
      <c r="C28" s="48" t="n">
        <f aca="false">IF(I28="","",IF(Trends!$B$6&lt;&gt;"","",SUMIFS(TransactionsData[Deobligations],TransactionsData[FY],I28,TransactionsData[Dimension match],1)))</f>
        <v>-1300426.31</v>
      </c>
      <c r="D28" s="48" t="n">
        <f aca="false">IF(I28="","",IF(Trends!$B$6&lt;&gt;"","",SUMIFS(TransactionsData[Obligations],TransactionsData[FY],I28,TransactionsData[Dimension match],1)))</f>
        <v>120316665.98</v>
      </c>
      <c r="E28" s="43" t="n">
        <f aca="false">IF(I28="","",IF(Trends!$B$6&lt;&gt;"","",SUMIFS(TransactionsData[First annual award],TransactionsData[FY],I28,TransactionsData[Dimension match],1)))</f>
        <v>34</v>
      </c>
      <c r="F28" s="43" t="n">
        <f aca="false">IF(I28="","",IF(Trends!$B$6&lt;&gt;"","",SUMIFS(TransactionsData[First annual vendor],TransactionsData[FY],I28,TransactionsData[Dimension match],1)))</f>
        <v>18</v>
      </c>
      <c r="G28" s="43" t="n">
        <f aca="false">IF(I28="","",IF(Trends!$B$6&lt;&gt;"","",COUNTIFS(TransactionsData[FY],I28,TransactionsData[Dimension match],1)))</f>
        <v>106</v>
      </c>
      <c r="H28" s="49" t="n">
        <f aca="false">IF(AND(Trends!$B$6="",J28=1,J27=1,D27&gt;0),(D28-D27)/D27,"")</f>
        <v>0.232610376513609</v>
      </c>
      <c r="I28" s="43" t="n">
        <v>2025</v>
      </c>
      <c r="J28" s="43" t="n">
        <f aca="false">IF(I28="","",IF(AND(Transactions!$B$4&lt;=DATE(I28-1,10,1),Transactions!$D$4&gt;=DATE(I28,9,30)),1,0))</f>
        <v>1</v>
      </c>
      <c r="K28" s="43"/>
    </row>
    <row r="29" customFormat="false" ht="2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0" customFormat="false" ht="25" hidden="false" customHeight="tru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</row>
    <row r="31" customFormat="false" ht="25" hidden="false" customHeight="true" outlineLevel="0" collapsed="false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</row>
    <row r="32" customFormat="false" ht="25" hidden="false" customHeight="tru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customFormat="false" ht="36" hidden="false" customHeight="true" outlineLevel="0" collapsed="false">
      <c r="A33" s="47" t="s">
        <v>79</v>
      </c>
      <c r="B33" s="47" t="s">
        <v>80</v>
      </c>
      <c r="C33" s="47" t="s">
        <v>81</v>
      </c>
      <c r="D33" s="47" t="s">
        <v>19</v>
      </c>
      <c r="E33" s="47" t="s">
        <v>75</v>
      </c>
      <c r="F33" s="47" t="s">
        <v>30</v>
      </c>
      <c r="G33" s="47" t="s">
        <v>82</v>
      </c>
      <c r="H33" s="47" t="s">
        <v>83</v>
      </c>
      <c r="I33" s="47" t="s">
        <v>77</v>
      </c>
      <c r="J33" s="47" t="s">
        <v>84</v>
      </c>
      <c r="K33" s="47" t="s">
        <v>85</v>
      </c>
      <c r="L33" s="0" t="s">
        <v>19</v>
      </c>
      <c r="M33" s="0" t="s">
        <v>82</v>
      </c>
    </row>
    <row r="34" customFormat="false" ht="26" hidden="false" customHeight="true" outlineLevel="0" collapsed="false">
      <c r="A34" s="43" t="str">
        <f aca="false">IF(I34="","","FY"&amp;I34&amp;" Q"&amp;J34)</f>
        <v>FY2023 Q1</v>
      </c>
      <c r="B34" s="50" t="n">
        <f aca="false">IF(I34="","",DATE(I34-IF(J34=1,1,0),CHOOSE(J34,10,1,4,7),1))</f>
        <v>44835</v>
      </c>
      <c r="C34" s="50" t="n">
        <f aca="false">IF(B34="","",EDATE(B34,3)-1)</f>
        <v>44926</v>
      </c>
      <c r="D34" s="48" t="n">
        <f aca="false">IF(I34="","",IF(Trends!$B$6&lt;&gt;"","",SUMIFS(TransactionsData[Obligations],TransactionsData[FY],I34,TransactionsData[Quarter],J34,TransactionsData[Dimension match],1)))</f>
        <v>6115620.27</v>
      </c>
      <c r="E34" s="48" t="n">
        <f aca="false">IF(I34="","",IF(Trends!$B$6&lt;&gt;"","",SUMIFS(TransactionsData[Deobligations],TransactionsData[FY],I34,TransactionsData[Quarter],J34,TransactionsData[Dimension match],1)))</f>
        <v>0</v>
      </c>
      <c r="F34" s="43" t="n">
        <f aca="false">IF(I34="","",IF(Trends!$B$6&lt;&gt;"","",COUNTIFS(TransactionsData[FY],I34,TransactionsData[Quarter],J34,TransactionsData[Dimension match],1)))</f>
        <v>6</v>
      </c>
      <c r="G34" s="48"/>
      <c r="H34" s="51" t="str">
        <f aca="false">IF(I34="","",IF(AND(B34&gt;=Transactions!$B$4,C34&lt;=Transactions!$D$4),"Complete","Partial"))</f>
        <v>Complete</v>
      </c>
      <c r="I34" s="43" t="n">
        <v>2023</v>
      </c>
      <c r="J34" s="43" t="n">
        <v>1</v>
      </c>
      <c r="K34" s="43" t="n">
        <f aca="false">IF(OR(I34="",AND(Dashboard!$B$7&lt;&gt;"All",I34&lt;&gt;Dashboard!$B$7)),0,IF(Dashboard!$B$7="All",ROW()-33,J34))</f>
        <v>0</v>
      </c>
      <c r="L34" s="52" t="n">
        <f aca="false">IF(OR(Trends!$B$6&lt;&gt;"",I34=""),"",D34/1000000)</f>
        <v>6.11562027</v>
      </c>
    </row>
    <row r="35" customFormat="false" ht="26" hidden="false" customHeight="true" outlineLevel="0" collapsed="false">
      <c r="A35" s="43" t="str">
        <f aca="false">IF(I35="","","FY"&amp;I35&amp;" Q"&amp;J35)</f>
        <v>FY2023 Q2</v>
      </c>
      <c r="B35" s="50" t="n">
        <f aca="false">IF(I35="","",DATE(I35-IF(J35=1,1,0),CHOOSE(J35,10,1,4,7),1))</f>
        <v>44927</v>
      </c>
      <c r="C35" s="50" t="n">
        <f aca="false">IF(B35="","",EDATE(B35,3)-1)</f>
        <v>45016</v>
      </c>
      <c r="D35" s="48" t="n">
        <f aca="false">IF(I35="","",IF(Trends!$B$6&lt;&gt;"","",SUMIFS(TransactionsData[Obligations],TransactionsData[FY],I35,TransactionsData[Quarter],J35,TransactionsData[Dimension match],1)))</f>
        <v>9218271.05</v>
      </c>
      <c r="E35" s="48" t="n">
        <f aca="false">IF(I35="","",IF(Trends!$B$6&lt;&gt;"","",SUMIFS(TransactionsData[Deobligations],TransactionsData[FY],I35,TransactionsData[Quarter],J35,TransactionsData[Dimension match],1)))</f>
        <v>0</v>
      </c>
      <c r="F35" s="43" t="n">
        <f aca="false">IF(I35="","",IF(Trends!$B$6&lt;&gt;"","",COUNTIFS(TransactionsData[FY],I35,TransactionsData[Quarter],J35,TransactionsData[Dimension match],1)))</f>
        <v>6</v>
      </c>
      <c r="G35" s="48"/>
      <c r="H35" s="51" t="str">
        <f aca="false">IF(I35="","",IF(AND(B35&gt;=Transactions!$B$4,C35&lt;=Transactions!$D$4),"Complete","Partial"))</f>
        <v>Complete</v>
      </c>
      <c r="I35" s="43" t="n">
        <v>2023</v>
      </c>
      <c r="J35" s="43" t="n">
        <v>2</v>
      </c>
      <c r="K35" s="43" t="n">
        <f aca="false">IF(OR(I35="",AND(Dashboard!$B$7&lt;&gt;"All",I35&lt;&gt;Dashboard!$B$7)),0,IF(Dashboard!$B$7="All",ROW()-33,J35))</f>
        <v>0</v>
      </c>
      <c r="L35" s="52" t="n">
        <f aca="false">IF(OR(Trends!$B$6&lt;&gt;"",I35=""),"",D35/1000000)</f>
        <v>9.21827105</v>
      </c>
    </row>
    <row r="36" customFormat="false" ht="26" hidden="false" customHeight="true" outlineLevel="0" collapsed="false">
      <c r="A36" s="43" t="str">
        <f aca="false">IF(I36="","","FY"&amp;I36&amp;" Q"&amp;J36)</f>
        <v>FY2023 Q3</v>
      </c>
      <c r="B36" s="50" t="n">
        <f aca="false">IF(I36="","",DATE(I36-IF(J36=1,1,0),CHOOSE(J36,10,1,4,7),1))</f>
        <v>45017</v>
      </c>
      <c r="C36" s="50" t="n">
        <f aca="false">IF(B36="","",EDATE(B36,3)-1)</f>
        <v>45107</v>
      </c>
      <c r="D36" s="48" t="n">
        <f aca="false">IF(I36="","",IF(Trends!$B$6&lt;&gt;"","",SUMIFS(TransactionsData[Obligations],TransactionsData[FY],I36,TransactionsData[Quarter],J36,TransactionsData[Dimension match],1)))</f>
        <v>3449902.92</v>
      </c>
      <c r="E36" s="48" t="n">
        <f aca="false">IF(I36="","",IF(Trends!$B$6&lt;&gt;"","",SUMIFS(TransactionsData[Deobligations],TransactionsData[FY],I36,TransactionsData[Quarter],J36,TransactionsData[Dimension match],1)))</f>
        <v>0</v>
      </c>
      <c r="F36" s="43" t="n">
        <f aca="false">IF(I36="","",IF(Trends!$B$6&lt;&gt;"","",COUNTIFS(TransactionsData[FY],I36,TransactionsData[Quarter],J36,TransactionsData[Dimension match],1)))</f>
        <v>7</v>
      </c>
      <c r="G36" s="48"/>
      <c r="H36" s="51" t="str">
        <f aca="false">IF(I36="","",IF(AND(B36&gt;=Transactions!$B$4,C36&lt;=Transactions!$D$4),"Complete","Partial"))</f>
        <v>Complete</v>
      </c>
      <c r="I36" s="43" t="n">
        <v>2023</v>
      </c>
      <c r="J36" s="43" t="n">
        <v>3</v>
      </c>
      <c r="K36" s="43" t="n">
        <f aca="false">IF(OR(I36="",AND(Dashboard!$B$7&lt;&gt;"All",I36&lt;&gt;Dashboard!$B$7)),0,IF(Dashboard!$B$7="All",ROW()-33,J36))</f>
        <v>0</v>
      </c>
      <c r="L36" s="52" t="n">
        <f aca="false">IF(OR(Trends!$B$6&lt;&gt;"",I36=""),"",D36/1000000)</f>
        <v>3.44990292</v>
      </c>
    </row>
    <row r="37" customFormat="false" ht="26" hidden="false" customHeight="true" outlineLevel="0" collapsed="false">
      <c r="A37" s="43" t="str">
        <f aca="false">IF(I37="","","FY"&amp;I37&amp;" Q"&amp;J37)</f>
        <v>FY2023 Q4</v>
      </c>
      <c r="B37" s="50" t="n">
        <f aca="false">IF(I37="","",DATE(I37-IF(J37=1,1,0),CHOOSE(J37,10,1,4,7),1))</f>
        <v>45108</v>
      </c>
      <c r="C37" s="50" t="n">
        <f aca="false">IF(B37="","",EDATE(B37,3)-1)</f>
        <v>45199</v>
      </c>
      <c r="D37" s="48" t="n">
        <f aca="false">IF(I37="","",IF(Trends!$B$6&lt;&gt;"","",SUMIFS(TransactionsData[Obligations],TransactionsData[FY],I37,TransactionsData[Quarter],J37,TransactionsData[Dimension match],1)))</f>
        <v>5241209.58</v>
      </c>
      <c r="E37" s="48" t="n">
        <f aca="false">IF(I37="","",IF(Trends!$B$6&lt;&gt;"","",SUMIFS(TransactionsData[Deobligations],TransactionsData[FY],I37,TransactionsData[Quarter],J37,TransactionsData[Dimension match],1)))</f>
        <v>0</v>
      </c>
      <c r="F37" s="43" t="n">
        <f aca="false">IF(I37="","",IF(Trends!$B$6&lt;&gt;"","",COUNTIFS(TransactionsData[FY],I37,TransactionsData[Quarter],J37,TransactionsData[Dimension match],1)))</f>
        <v>15</v>
      </c>
      <c r="G37" s="48" t="n">
        <f aca="false">IF(AND(Trends!$B$6="",COUNTIFS(H34:H37,"Complete")=4),SUM(D34:D37)/4,"")</f>
        <v>6006250.955</v>
      </c>
      <c r="H37" s="51" t="str">
        <f aca="false">IF(I37="","",IF(AND(B37&gt;=Transactions!$B$4,C37&lt;=Transactions!$D$4),"Complete","Partial"))</f>
        <v>Complete</v>
      </c>
      <c r="I37" s="43" t="n">
        <v>2023</v>
      </c>
      <c r="J37" s="43" t="n">
        <v>4</v>
      </c>
      <c r="K37" s="43" t="n">
        <f aca="false">IF(OR(I37="",AND(Dashboard!$B$7&lt;&gt;"All",I37&lt;&gt;Dashboard!$B$7)),0,IF(Dashboard!$B$7="All",ROW()-33,J37))</f>
        <v>0</v>
      </c>
      <c r="L37" s="52" t="n">
        <f aca="false">IF(OR(Trends!$B$6&lt;&gt;"",I37=""),"",D37/1000000)</f>
        <v>5.24120958</v>
      </c>
      <c r="M37" s="52" t="n">
        <f aca="false">IF(G37="","",G37/1000000)</f>
        <v>6.006250955</v>
      </c>
    </row>
    <row r="38" customFormat="false" ht="26" hidden="false" customHeight="true" outlineLevel="0" collapsed="false">
      <c r="A38" s="43" t="str">
        <f aca="false">IF(I38="","","FY"&amp;I38&amp;" Q"&amp;J38)</f>
        <v>FY2024 Q1</v>
      </c>
      <c r="B38" s="50" t="n">
        <f aca="false">IF(I38="","",DATE(I38-IF(J38=1,1,0),CHOOSE(J38,10,1,4,7),1))</f>
        <v>45200</v>
      </c>
      <c r="C38" s="50" t="n">
        <f aca="false">IF(B38="","",EDATE(B38,3)-1)</f>
        <v>45291</v>
      </c>
      <c r="D38" s="48" t="n">
        <f aca="false">IF(I38="","",IF(Trends!$B$6&lt;&gt;"","",SUMIFS(TransactionsData[Obligations],TransactionsData[FY],I38,TransactionsData[Quarter],J38,TransactionsData[Dimension match],1)))</f>
        <v>25400009.78</v>
      </c>
      <c r="E38" s="48" t="n">
        <f aca="false">IF(I38="","",IF(Trends!$B$6&lt;&gt;"","",SUMIFS(TransactionsData[Deobligations],TransactionsData[FY],I38,TransactionsData[Quarter],J38,TransactionsData[Dimension match],1)))</f>
        <v>0</v>
      </c>
      <c r="F38" s="43" t="n">
        <f aca="false">IF(I38="","",IF(Trends!$B$6&lt;&gt;"","",COUNTIFS(TransactionsData[FY],I38,TransactionsData[Quarter],J38,TransactionsData[Dimension match],1)))</f>
        <v>13</v>
      </c>
      <c r="G38" s="48" t="n">
        <f aca="false">IF(AND(Trends!$B$6="",COUNTIFS(H35:H38,"Complete")=4),SUM(D35:D38)/4,"")</f>
        <v>10827348.3325</v>
      </c>
      <c r="H38" s="51" t="str">
        <f aca="false">IF(I38="","",IF(AND(B38&gt;=Transactions!$B$4,C38&lt;=Transactions!$D$4),"Complete","Partial"))</f>
        <v>Complete</v>
      </c>
      <c r="I38" s="43" t="n">
        <v>2024</v>
      </c>
      <c r="J38" s="43" t="n">
        <v>1</v>
      </c>
      <c r="K38" s="43" t="n">
        <f aca="false">IF(OR(I38="",AND(Dashboard!$B$7&lt;&gt;"All",I38&lt;&gt;Dashboard!$B$7)),0,IF(Dashboard!$B$7="All",ROW()-33,J38))</f>
        <v>0</v>
      </c>
      <c r="L38" s="52" t="n">
        <f aca="false">IF(OR(Trends!$B$6&lt;&gt;"",I38=""),"",D38/1000000)</f>
        <v>25.40000978</v>
      </c>
      <c r="M38" s="52" t="n">
        <f aca="false">IF(G38="","",G38/1000000)</f>
        <v>10.8273483325</v>
      </c>
    </row>
    <row r="39" customFormat="false" ht="26" hidden="false" customHeight="true" outlineLevel="0" collapsed="false">
      <c r="A39" s="43" t="str">
        <f aca="false">IF(I39="","","FY"&amp;I39&amp;" Q"&amp;J39)</f>
        <v>FY2024 Q2</v>
      </c>
      <c r="B39" s="50" t="n">
        <f aca="false">IF(I39="","",DATE(I39-IF(J39=1,1,0),CHOOSE(J39,10,1,4,7),1))</f>
        <v>45292</v>
      </c>
      <c r="C39" s="50" t="n">
        <f aca="false">IF(B39="","",EDATE(B39,3)-1)</f>
        <v>45382</v>
      </c>
      <c r="D39" s="48" t="n">
        <f aca="false">IF(I39="","",IF(Trends!$B$6&lt;&gt;"","",SUMIFS(TransactionsData[Obligations],TransactionsData[FY],I39,TransactionsData[Quarter],J39,TransactionsData[Dimension match],1)))</f>
        <v>7499318.7</v>
      </c>
      <c r="E39" s="48" t="n">
        <f aca="false">IF(I39="","",IF(Trends!$B$6&lt;&gt;"","",SUMIFS(TransactionsData[Deobligations],TransactionsData[FY],I39,TransactionsData[Quarter],J39,TransactionsData[Dimension match],1)))</f>
        <v>0</v>
      </c>
      <c r="F39" s="43" t="n">
        <f aca="false">IF(I39="","",IF(Trends!$B$6&lt;&gt;"","",COUNTIFS(TransactionsData[FY],I39,TransactionsData[Quarter],J39,TransactionsData[Dimension match],1)))</f>
        <v>16</v>
      </c>
      <c r="G39" s="48" t="n">
        <f aca="false">IF(AND(Trends!$B$6="",COUNTIFS(H36:H39,"Complete")=4),SUM(D36:D39)/4,"")</f>
        <v>10397610.245</v>
      </c>
      <c r="H39" s="51" t="str">
        <f aca="false">IF(I39="","",IF(AND(B39&gt;=Transactions!$B$4,C39&lt;=Transactions!$D$4),"Complete","Partial"))</f>
        <v>Complete</v>
      </c>
      <c r="I39" s="43" t="n">
        <v>2024</v>
      </c>
      <c r="J39" s="43" t="n">
        <v>2</v>
      </c>
      <c r="K39" s="43" t="n">
        <f aca="false">IF(OR(I39="",AND(Dashboard!$B$7&lt;&gt;"All",I39&lt;&gt;Dashboard!$B$7)),0,IF(Dashboard!$B$7="All",ROW()-33,J39))</f>
        <v>0</v>
      </c>
      <c r="L39" s="52" t="n">
        <f aca="false">IF(OR(Trends!$B$6&lt;&gt;"",I39=""),"",D39/1000000)</f>
        <v>7.4993187</v>
      </c>
      <c r="M39" s="52" t="n">
        <f aca="false">IF(G39="","",G39/1000000)</f>
        <v>10.397610245</v>
      </c>
    </row>
    <row r="40" customFormat="false" ht="26" hidden="false" customHeight="true" outlineLevel="0" collapsed="false">
      <c r="A40" s="43" t="str">
        <f aca="false">IF(I40="","","FY"&amp;I40&amp;" Q"&amp;J40)</f>
        <v>FY2024 Q3</v>
      </c>
      <c r="B40" s="50" t="n">
        <f aca="false">IF(I40="","",DATE(I40-IF(J40=1,1,0),CHOOSE(J40,10,1,4,7),1))</f>
        <v>45383</v>
      </c>
      <c r="C40" s="50" t="n">
        <f aca="false">IF(B40="","",EDATE(B40,3)-1)</f>
        <v>45473</v>
      </c>
      <c r="D40" s="48" t="n">
        <f aca="false">IF(I40="","",IF(Trends!$B$6&lt;&gt;"","",SUMIFS(TransactionsData[Obligations],TransactionsData[FY],I40,TransactionsData[Quarter],J40,TransactionsData[Dimension match],1)))</f>
        <v>23742006.38</v>
      </c>
      <c r="E40" s="48" t="n">
        <f aca="false">IF(I40="","",IF(Trends!$B$6&lt;&gt;"","",SUMIFS(TransactionsData[Deobligations],TransactionsData[FY],I40,TransactionsData[Quarter],J40,TransactionsData[Dimension match],1)))</f>
        <v>0</v>
      </c>
      <c r="F40" s="43" t="n">
        <f aca="false">IF(I40="","",IF(Trends!$B$6&lt;&gt;"","",COUNTIFS(TransactionsData[FY],I40,TransactionsData[Quarter],J40,TransactionsData[Dimension match],1)))</f>
        <v>21</v>
      </c>
      <c r="G40" s="48" t="n">
        <f aca="false">IF(AND(Trends!$B$6="",COUNTIFS(H37:H40,"Complete")=4),SUM(D37:D40)/4,"")</f>
        <v>15470636.11</v>
      </c>
      <c r="H40" s="51" t="str">
        <f aca="false">IF(I40="","",IF(AND(B40&gt;=Transactions!$B$4,C40&lt;=Transactions!$D$4),"Complete","Partial"))</f>
        <v>Complete</v>
      </c>
      <c r="I40" s="43" t="n">
        <v>2024</v>
      </c>
      <c r="J40" s="43" t="n">
        <v>3</v>
      </c>
      <c r="K40" s="43" t="n">
        <f aca="false">IF(OR(I40="",AND(Dashboard!$B$7&lt;&gt;"All",I40&lt;&gt;Dashboard!$B$7)),0,IF(Dashboard!$B$7="All",ROW()-33,J40))</f>
        <v>0</v>
      </c>
      <c r="L40" s="52" t="n">
        <f aca="false">IF(OR(Trends!$B$6&lt;&gt;"",I40=""),"",D40/1000000)</f>
        <v>23.74200638</v>
      </c>
      <c r="M40" s="52" t="n">
        <f aca="false">IF(G40="","",G40/1000000)</f>
        <v>15.47063611</v>
      </c>
    </row>
    <row r="41" customFormat="false" ht="26" hidden="false" customHeight="true" outlineLevel="0" collapsed="false">
      <c r="A41" s="43" t="str">
        <f aca="false">IF(I41="","","FY"&amp;I41&amp;" Q"&amp;J41)</f>
        <v>FY2024 Q4</v>
      </c>
      <c r="B41" s="50" t="n">
        <f aca="false">IF(I41="","",DATE(I41-IF(J41=1,1,0),CHOOSE(J41,10,1,4,7),1))</f>
        <v>45474</v>
      </c>
      <c r="C41" s="50" t="n">
        <f aca="false">IF(B41="","",EDATE(B41,3)-1)</f>
        <v>45565</v>
      </c>
      <c r="D41" s="48" t="n">
        <f aca="false">IF(I41="","",IF(Trends!$B$6&lt;&gt;"","",SUMIFS(TransactionsData[Obligations],TransactionsData[FY],I41,TransactionsData[Quarter],J41,TransactionsData[Dimension match],1)))</f>
        <v>40969936.53</v>
      </c>
      <c r="E41" s="48" t="n">
        <f aca="false">IF(I41="","",IF(Trends!$B$6&lt;&gt;"","",SUMIFS(TransactionsData[Deobligations],TransactionsData[FY],I41,TransactionsData[Quarter],J41,TransactionsData[Dimension match],1)))</f>
        <v>0</v>
      </c>
      <c r="F41" s="43" t="n">
        <f aca="false">IF(I41="","",IF(Trends!$B$6&lt;&gt;"","",COUNTIFS(TransactionsData[FY],I41,TransactionsData[Quarter],J41,TransactionsData[Dimension match],1)))</f>
        <v>24</v>
      </c>
      <c r="G41" s="48" t="n">
        <f aca="false">IF(AND(Trends!$B$6="",COUNTIFS(H38:H41,"Complete")=4),SUM(D38:D41)/4,"")</f>
        <v>24402817.8475</v>
      </c>
      <c r="H41" s="51" t="str">
        <f aca="false">IF(I41="","",IF(AND(B41&gt;=Transactions!$B$4,C41&lt;=Transactions!$D$4),"Complete","Partial"))</f>
        <v>Complete</v>
      </c>
      <c r="I41" s="43" t="n">
        <v>2024</v>
      </c>
      <c r="J41" s="43" t="n">
        <v>4</v>
      </c>
      <c r="K41" s="43" t="n">
        <f aca="false">IF(OR(I41="",AND(Dashboard!$B$7&lt;&gt;"All",I41&lt;&gt;Dashboard!$B$7)),0,IF(Dashboard!$B$7="All",ROW()-33,J41))</f>
        <v>0</v>
      </c>
      <c r="L41" s="52" t="n">
        <f aca="false">IF(OR(Trends!$B$6&lt;&gt;"",I41=""),"",D41/1000000)</f>
        <v>40.96993653</v>
      </c>
      <c r="M41" s="52" t="n">
        <f aca="false">IF(G41="","",G41/1000000)</f>
        <v>24.4028178475</v>
      </c>
    </row>
    <row r="42" customFormat="false" ht="26" hidden="false" customHeight="true" outlineLevel="0" collapsed="false">
      <c r="A42" s="43" t="str">
        <f aca="false">IF(I42="","","FY"&amp;I42&amp;" Q"&amp;J42)</f>
        <v>FY2025 Q1</v>
      </c>
      <c r="B42" s="50" t="n">
        <f aca="false">IF(I42="","",DATE(I42-IF(J42=1,1,0),CHOOSE(J42,10,1,4,7),1))</f>
        <v>45566</v>
      </c>
      <c r="C42" s="50" t="n">
        <f aca="false">IF(B42="","",EDATE(B42,3)-1)</f>
        <v>45657</v>
      </c>
      <c r="D42" s="48" t="n">
        <f aca="false">IF(I42="","",IF(Trends!$B$6&lt;&gt;"","",SUMIFS(TransactionsData[Obligations],TransactionsData[FY],I42,TransactionsData[Quarter],J42,TransactionsData[Dimension match],1)))</f>
        <v>15412439.11</v>
      </c>
      <c r="E42" s="48" t="n">
        <f aca="false">IF(I42="","",IF(Trends!$B$6&lt;&gt;"","",SUMIFS(TransactionsData[Deobligations],TransactionsData[FY],I42,TransactionsData[Quarter],J42,TransactionsData[Dimension match],1)))</f>
        <v>0</v>
      </c>
      <c r="F42" s="43" t="n">
        <f aca="false">IF(I42="","",IF(Trends!$B$6&lt;&gt;"","",COUNTIFS(TransactionsData[FY],I42,TransactionsData[Quarter],J42,TransactionsData[Dimension match],1)))</f>
        <v>21</v>
      </c>
      <c r="G42" s="48" t="n">
        <f aca="false">IF(AND(Trends!$B$6="",COUNTIFS(H39:H42,"Complete")=4),SUM(D39:D42)/4,"")</f>
        <v>21905925.18</v>
      </c>
      <c r="H42" s="51" t="str">
        <f aca="false">IF(I42="","",IF(AND(B42&gt;=Transactions!$B$4,C42&lt;=Transactions!$D$4),"Complete","Partial"))</f>
        <v>Complete</v>
      </c>
      <c r="I42" s="43" t="n">
        <v>2025</v>
      </c>
      <c r="J42" s="43" t="n">
        <v>1</v>
      </c>
      <c r="K42" s="43" t="n">
        <f aca="false">IF(OR(I42="",AND(Dashboard!$B$7&lt;&gt;"All",I42&lt;&gt;Dashboard!$B$7)),0,IF(Dashboard!$B$7="All",ROW()-33,J42))</f>
        <v>1</v>
      </c>
      <c r="L42" s="52" t="n">
        <f aca="false">IF(OR(Trends!$B$6&lt;&gt;"",I42=""),"",D42/1000000)</f>
        <v>15.41243911</v>
      </c>
      <c r="M42" s="52" t="n">
        <f aca="false">IF(G42="","",G42/1000000)</f>
        <v>21.90592518</v>
      </c>
    </row>
    <row r="43" customFormat="false" ht="26" hidden="false" customHeight="true" outlineLevel="0" collapsed="false">
      <c r="A43" s="43" t="str">
        <f aca="false">IF(I43="","","FY"&amp;I43&amp;" Q"&amp;J43)</f>
        <v>FY2025 Q2</v>
      </c>
      <c r="B43" s="50" t="n">
        <f aca="false">IF(I43="","",DATE(I43-IF(J43=1,1,0),CHOOSE(J43,10,1,4,7),1))</f>
        <v>45658</v>
      </c>
      <c r="C43" s="50" t="n">
        <f aca="false">IF(B43="","",EDATE(B43,3)-1)</f>
        <v>45747</v>
      </c>
      <c r="D43" s="48" t="n">
        <f aca="false">IF(I43="","",IF(Trends!$B$6&lt;&gt;"","",SUMIFS(TransactionsData[Obligations],TransactionsData[FY],I43,TransactionsData[Quarter],J43,TransactionsData[Dimension match],1)))</f>
        <v>39930780.26</v>
      </c>
      <c r="E43" s="48" t="n">
        <f aca="false">IF(I43="","",IF(Trends!$B$6&lt;&gt;"","",SUMIFS(TransactionsData[Deobligations],TransactionsData[FY],I43,TransactionsData[Quarter],J43,TransactionsData[Dimension match],1)))</f>
        <v>-90.35</v>
      </c>
      <c r="F43" s="43" t="n">
        <f aca="false">IF(I43="","",IF(Trends!$B$6&lt;&gt;"","",COUNTIFS(TransactionsData[FY],I43,TransactionsData[Quarter],J43,TransactionsData[Dimension match],1)))</f>
        <v>26</v>
      </c>
      <c r="G43" s="48" t="n">
        <f aca="false">IF(AND(Trends!$B$6="",COUNTIFS(H40:H43,"Complete")=4),SUM(D40:D43)/4,"")</f>
        <v>30013790.57</v>
      </c>
      <c r="H43" s="51" t="str">
        <f aca="false">IF(I43="","",IF(AND(B43&gt;=Transactions!$B$4,C43&lt;=Transactions!$D$4),"Complete","Partial"))</f>
        <v>Complete</v>
      </c>
      <c r="I43" s="43" t="n">
        <v>2025</v>
      </c>
      <c r="J43" s="43" t="n">
        <v>2</v>
      </c>
      <c r="K43" s="43" t="n">
        <f aca="false">IF(OR(I43="",AND(Dashboard!$B$7&lt;&gt;"All",I43&lt;&gt;Dashboard!$B$7)),0,IF(Dashboard!$B$7="All",ROW()-33,J43))</f>
        <v>2</v>
      </c>
      <c r="L43" s="52" t="n">
        <f aca="false">IF(OR(Trends!$B$6&lt;&gt;"",I43=""),"",D43/1000000)</f>
        <v>39.93078026</v>
      </c>
      <c r="M43" s="52" t="n">
        <f aca="false">IF(G43="","",G43/1000000)</f>
        <v>30.01379057</v>
      </c>
    </row>
    <row r="44" customFormat="false" ht="26" hidden="false" customHeight="true" outlineLevel="0" collapsed="false">
      <c r="A44" s="43" t="str">
        <f aca="false">IF(I44="","","FY"&amp;I44&amp;" Q"&amp;J44)</f>
        <v>FY2025 Q3</v>
      </c>
      <c r="B44" s="50" t="n">
        <f aca="false">IF(I44="","",DATE(I44-IF(J44=1,1,0),CHOOSE(J44,10,1,4,7),1))</f>
        <v>45748</v>
      </c>
      <c r="C44" s="50" t="n">
        <f aca="false">IF(B44="","",EDATE(B44,3)-1)</f>
        <v>45838</v>
      </c>
      <c r="D44" s="48" t="n">
        <f aca="false">IF(I44="","",IF(Trends!$B$6&lt;&gt;"","",SUMIFS(TransactionsData[Obligations],TransactionsData[FY],I44,TransactionsData[Quarter],J44,TransactionsData[Dimension match],1)))</f>
        <v>14093815.28</v>
      </c>
      <c r="E44" s="48" t="n">
        <f aca="false">IF(I44="","",IF(Trends!$B$6&lt;&gt;"","",SUMIFS(TransactionsData[Deobligations],TransactionsData[FY],I44,TransactionsData[Quarter],J44,TransactionsData[Dimension match],1)))</f>
        <v>-960102.33</v>
      </c>
      <c r="F44" s="43" t="n">
        <f aca="false">IF(I44="","",IF(Trends!$B$6&lt;&gt;"","",COUNTIFS(TransactionsData[FY],I44,TransactionsData[Quarter],J44,TransactionsData[Dimension match],1)))</f>
        <v>15</v>
      </c>
      <c r="G44" s="48" t="n">
        <f aca="false">IF(AND(Trends!$B$6="",COUNTIFS(H41:H44,"Complete")=4),SUM(D41:D44)/4,"")</f>
        <v>27601742.795</v>
      </c>
      <c r="H44" s="51" t="str">
        <f aca="false">IF(I44="","",IF(AND(B44&gt;=Transactions!$B$4,C44&lt;=Transactions!$D$4),"Complete","Partial"))</f>
        <v>Complete</v>
      </c>
      <c r="I44" s="43" t="n">
        <v>2025</v>
      </c>
      <c r="J44" s="43" t="n">
        <v>3</v>
      </c>
      <c r="K44" s="43" t="n">
        <f aca="false">IF(OR(I44="",AND(Dashboard!$B$7&lt;&gt;"All",I44&lt;&gt;Dashboard!$B$7)),0,IF(Dashboard!$B$7="All",ROW()-33,J44))</f>
        <v>3</v>
      </c>
      <c r="L44" s="52" t="n">
        <f aca="false">IF(OR(Trends!$B$6&lt;&gt;"",I44=""),"",D44/1000000)</f>
        <v>14.09381528</v>
      </c>
      <c r="M44" s="52" t="n">
        <f aca="false">IF(G44="","",G44/1000000)</f>
        <v>27.601742795</v>
      </c>
    </row>
    <row r="45" customFormat="false" ht="26" hidden="false" customHeight="true" outlineLevel="0" collapsed="false">
      <c r="A45" s="43" t="str">
        <f aca="false">IF(I45="","","FY"&amp;I45&amp;" Q"&amp;J45)</f>
        <v>FY2025 Q4</v>
      </c>
      <c r="B45" s="50" t="n">
        <f aca="false">IF(I45="","",DATE(I45-IF(J45=1,1,0),CHOOSE(J45,10,1,4,7),1))</f>
        <v>45839</v>
      </c>
      <c r="C45" s="50" t="n">
        <f aca="false">IF(B45="","",EDATE(B45,3)-1)</f>
        <v>45930</v>
      </c>
      <c r="D45" s="48" t="n">
        <f aca="false">IF(I45="","",IF(Trends!$B$6&lt;&gt;"","",SUMIFS(TransactionsData[Obligations],TransactionsData[FY],I45,TransactionsData[Quarter],J45,TransactionsData[Dimension match],1)))</f>
        <v>50879631.33</v>
      </c>
      <c r="E45" s="48" t="n">
        <f aca="false">IF(I45="","",IF(Trends!$B$6&lt;&gt;"","",SUMIFS(TransactionsData[Deobligations],TransactionsData[FY],I45,TransactionsData[Quarter],J45,TransactionsData[Dimension match],1)))</f>
        <v>-340233.63</v>
      </c>
      <c r="F45" s="43" t="n">
        <f aca="false">IF(I45="","",IF(Trends!$B$6&lt;&gt;"","",COUNTIFS(TransactionsData[FY],I45,TransactionsData[Quarter],J45,TransactionsData[Dimension match],1)))</f>
        <v>44</v>
      </c>
      <c r="G45" s="48" t="n">
        <f aca="false">IF(AND(Trends!$B$6="",COUNTIFS(H42:H45,"Complete")=4),SUM(D42:D45)/4,"")</f>
        <v>30079166.495</v>
      </c>
      <c r="H45" s="51" t="str">
        <f aca="false">IF(I45="","",IF(AND(B45&gt;=Transactions!$B$4,C45&lt;=Transactions!$D$4),"Complete","Partial"))</f>
        <v>Complete</v>
      </c>
      <c r="I45" s="43" t="n">
        <v>2025</v>
      </c>
      <c r="J45" s="43" t="n">
        <v>4</v>
      </c>
      <c r="K45" s="43" t="n">
        <f aca="false">IF(OR(I45="",AND(Dashboard!$B$7&lt;&gt;"All",I45&lt;&gt;Dashboard!$B$7)),0,IF(Dashboard!$B$7="All",ROW()-33,J45))</f>
        <v>4</v>
      </c>
      <c r="L45" s="52" t="n">
        <f aca="false">IF(OR(Trends!$B$6&lt;&gt;"",I45=""),"",D45/1000000)</f>
        <v>50.87963133</v>
      </c>
      <c r="M45" s="52" t="n">
        <f aca="false">IF(G45="","",G45/1000000)</f>
        <v>30.079166495</v>
      </c>
    </row>
    <row r="46" customFormat="false" ht="25" hidden="false" customHeight="true" outlineLevel="0" collapsed="false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customFormat="false" ht="25" hidden="false" customHeight="true" outlineLevel="0" collapsed="false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</row>
    <row r="48" customFormat="false" ht="25" hidden="false" customHeight="true" outlineLevel="0" collapsed="false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</row>
    <row r="49" customFormat="false" ht="25" hidden="false" customHeight="true" outlineLevel="0" collapsed="false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</row>
    <row r="50" customFormat="false" ht="25" hidden="false" customHeight="true" outlineLevel="0" collapsed="false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</row>
    <row r="51" customFormat="false" ht="25" hidden="false" customHeight="true" outlineLevel="0" collapsed="false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2" customFormat="false" ht="25" hidden="false" customHeight="true" outlineLevel="0" collapsed="false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</row>
    <row r="53" customFormat="false" ht="25" hidden="false" customHeight="true" outlineLevel="0" collapsed="false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</row>
    <row r="54" customFormat="false" ht="25" hidden="false" customHeight="true" outlineLevel="0" collapsed="false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customFormat="false" ht="25" hidden="false" customHeight="true" outlineLevel="0" collapsed="false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customFormat="false" ht="25" hidden="false" customHeight="true" outlineLevel="0" collapsed="false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 customFormat="false" ht="25" hidden="false" customHeight="true" outlineLevel="0" collapsed="false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customFormat="false" ht="25" hidden="false" customHeight="true" outlineLevel="0" collapsed="false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customFormat="false" ht="25" hidden="false" customHeight="true" outlineLevel="0" collapsed="false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</row>
    <row r="60" customFormat="false" ht="25" hidden="false" customHeight="true" outlineLevel="0" collapsed="false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</row>
    <row r="61" customFormat="false" ht="25" hidden="false" customHeight="true" outlineLevel="0" collapsed="false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customFormat="false" ht="25" hidden="false" customHeight="tru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</row>
    <row r="63" customFormat="false" ht="25" hidden="false" customHeight="true" outlineLevel="0" collapsed="false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</row>
    <row r="64" customFormat="false" ht="25" hidden="false" customHeight="true" outlineLevel="0" collapsed="false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</row>
    <row r="65" customFormat="false" ht="25" hidden="false" customHeight="tru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customFormat="false" ht="2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</row>
    <row r="67" customFormat="false" ht="25" hidden="false" customHeight="true" outlineLevel="0" collapsed="false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</row>
    <row r="68" customFormat="false" ht="25" hidden="false" customHeight="true" outlineLevel="0" collapsed="false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</row>
    <row r="69" customFormat="false" ht="25" hidden="false" customHeight="true" outlineLevel="0" collapsed="false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</row>
    <row r="70" customFormat="false" ht="25" hidden="false" customHeight="true" outlineLevel="0" collapsed="false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</row>
    <row r="71" customFormat="false" ht="25" hidden="false" customHeight="true" outlineLevel="0" collapsed="false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</row>
    <row r="72" customFormat="false" ht="25" hidden="false" customHeight="true" outlineLevel="0" collapsed="false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</row>
    <row r="73" customFormat="false" ht="25" hidden="false" customHeight="true" outlineLevel="0" collapsed="false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</row>
    <row r="74" customFormat="false" ht="25" hidden="false" customHeight="true" outlineLevel="0" collapsed="false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</row>
    <row r="75" customFormat="false" ht="25" hidden="false" customHeight="tru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</row>
  </sheetData>
  <mergeCells count="6">
    <mergeCell ref="A2:E2"/>
    <mergeCell ref="A3:H3"/>
    <mergeCell ref="A4:H4"/>
    <mergeCell ref="A5:H5"/>
    <mergeCell ref="B6:H6"/>
    <mergeCell ref="A23:H23"/>
  </mergeCell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&amp;L&amp;"Arial,Bold"&amp;11Trends</oddHeader>
    <oddFooter>&amp;LTrends&amp;RPage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R6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33.33"/>
    <col customWidth="true" max="3" min="3" style="0" width="20"/>
    <col customWidth="true" max="4" min="4" style="0" width="17.22"/>
    <col customWidth="true" max="5" min="5" style="0" width="17.22"/>
    <col customWidth="true" max="6" min="6" style="0" width="12.78"/>
    <col customWidth="true" max="7" min="7" style="0" width="12.78"/>
    <col customWidth="true" max="8" min="8" style="0" width="31.67" hidden="1" outlineLevel="1"/>
    <col customWidth="true" max="9" min="9" style="0" width="31.11" hidden="1" outlineLevel="1"/>
    <col customWidth="true" max="10" min="10" style="0" width="13.89" hidden="1" outlineLevel="1"/>
    <col customWidth="true" max="11" min="11" style="0" width="47.22" hidden="1" outlineLevel="1"/>
    <col customWidth="true" max="12" min="12" style="0" width="50" hidden="1" outlineLevel="1"/>
    <col customWidth="true" max="13" min="13" style="0" width="17.78" hidden="1" outlineLevel="1"/>
    <col customWidth="true" max="14" min="14" style="0" width="17.78" hidden="1" outlineLevel="1"/>
    <col customWidth="true" max="15" min="15" style="0" width="12.22" hidden="1" outlineLevel="1"/>
    <col customWidth="true" max="16" min="16" style="0" width="12.22" hidden="1" outlineLevel="1"/>
    <col customWidth="true" max="17" min="17" style="0" width="10.56" hidden="1" outlineLevel="1"/>
    <col customWidth="true" max="18" min="18" style="0" width="26.11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customFormat="false" ht="32" hidden="false" customHeight="true" outlineLevel="0" collapsed="false">
      <c r="A2" s="44" t="s">
        <v>86</v>
      </c>
      <c r="B2" s="44"/>
      <c r="C2" s="44"/>
      <c r="D2" s="44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customFormat="false" ht="34" hidden="false" customHeight="true" outlineLevel="0" collapsed="false">
      <c r="A3" s="45" t="str">
        <f aca="false">"Buyer: "&amp;IF(Transactions!B3="","Not supplied",Transactions!B3)&amp;"  |  Period: "&amp;IF(Dashboard!$B$7="All","All covered years",IF(Dashboard!$B$7="","Not supplied","FY"&amp;Dashboard!$B$7))&amp;"  |  Award type: "&amp;Dashboard!$N$10</f>
        <v>Buyer: National Science Foundation  |  Period: FY2025  |  Award type: All</v>
      </c>
      <c r="B3" s="45"/>
      <c r="C3" s="45"/>
      <c r="D3" s="45"/>
      <c r="E3" s="45"/>
      <c r="F3" s="45"/>
      <c r="G3" s="45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</row>
    <row r="4" customFormat="false" ht="28" hidden="false" customHeight="true" outlineLevel="0" collapsed="false">
      <c r="A4" s="45" t="str">
        <f aca="false">"Vendor: "&amp;Dashboard!H7</f>
        <v>Vendor: All</v>
      </c>
      <c r="B4" s="45"/>
      <c r="C4" s="45"/>
      <c r="D4" s="45"/>
      <c r="E4" s="45"/>
      <c r="F4" s="45"/>
      <c r="G4" s="4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customFormat="false" ht="28" hidden="false" customHeight="true" outlineLevel="0" collapsed="false">
      <c r="A5" s="45" t="str">
        <f aca="false">"Funding office: "&amp;Dashboard!B10</f>
        <v>Funding office: All</v>
      </c>
      <c r="B5" s="45"/>
      <c r="C5" s="45"/>
      <c r="D5" s="45"/>
      <c r="E5" s="45"/>
      <c r="F5" s="45"/>
      <c r="G5" s="45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</row>
    <row r="6" customFormat="false" ht="25" hidden="false" customHeight="true" outlineLevel="0" collapsed="false">
      <c r="A6" s="45" t="s">
        <v>87</v>
      </c>
      <c r="B6" s="45"/>
      <c r="C6" s="45"/>
      <c r="D6" s="45"/>
      <c r="E6" s="45"/>
      <c r="F6" s="45"/>
      <c r="G6" s="45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</row>
    <row r="7" customFormat="false" ht="36" hidden="false" customHeight="true" outlineLevel="0" collapsed="false">
      <c r="A7" s="47" t="s">
        <v>88</v>
      </c>
      <c r="B7" s="47" t="s">
        <v>18</v>
      </c>
      <c r="C7" s="47" t="s">
        <v>89</v>
      </c>
      <c r="D7" s="47" t="s">
        <v>19</v>
      </c>
      <c r="E7" s="47" t="s">
        <v>75</v>
      </c>
      <c r="F7" s="47" t="s">
        <v>22</v>
      </c>
      <c r="G7" s="47" t="s">
        <v>30</v>
      </c>
      <c r="H7" s="47" t="s">
        <v>90</v>
      </c>
      <c r="I7" s="47" t="s">
        <v>91</v>
      </c>
      <c r="J7" s="47" t="s">
        <v>92</v>
      </c>
      <c r="K7" s="47" t="s">
        <v>93</v>
      </c>
      <c r="L7" s="47" t="s">
        <v>94</v>
      </c>
      <c r="M7" s="47" t="s">
        <v>95</v>
      </c>
      <c r="N7" s="47" t="s">
        <v>96</v>
      </c>
      <c r="O7" s="47" t="s">
        <v>97</v>
      </c>
      <c r="P7" s="47" t="s">
        <v>98</v>
      </c>
      <c r="Q7" s="47" t="s">
        <v>99</v>
      </c>
      <c r="R7" s="47" t="s">
        <v>100</v>
      </c>
    </row>
    <row r="8" customFormat="false" ht="32" hidden="false" customHeight="true" outlineLevel="0" collapsed="false">
      <c r="A8" s="53" t="n">
        <f aca="false">IF(Trends!$B$6&lt;&gt;"","",IF(COUNTIFS(VendorGroups[Source rank],1)=1,1,""))</f>
        <v>1</v>
      </c>
      <c r="B8" s="54" t="str">
        <f aca="false">IF(Trends!$B$6&lt;&gt;"","",IF(COUNTIFS(VendorGroups[Source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f>
        <v>Booz Allen Hamilton Inc.</v>
      </c>
      <c r="C8" s="55" t="str">
        <f aca="false">IF(Trends!$B$6&lt;&gt;"","",IF(COUNTIFS(VendorGroups[Source rank],1)=1,IF(INDEX(VendorGroups[Source UEI],MATCH(1,VendorGroups[Source rank],0))="","Not supplied",INDEX(VendorGroups[Source UEI],MATCH(1,VendorGroups[Source rank],0))),""))</f>
        <v>JCBMLGPE6Z71</v>
      </c>
      <c r="D8" s="56" t="n">
        <f aca="false">IF(Trends!$B$6&lt;&gt;"","",IF(COUNTIFS(VendorGroups[Source rank],1)=1,INDEX(VendorGroups[Source net],MATCH(1,VendorGroups[Source rank],0)),""))</f>
        <v>53165050.72</v>
      </c>
      <c r="E8" s="56" t="n">
        <f aca="false">IF(Trends!$B$6&lt;&gt;"","",IF(COUNTIFS(VendorGroups[Source rank],1)=1,INDEX(VendorGroups[Source deobligations],MATCH(1,VendorGroups[Source rank],0)),""))</f>
        <v>0</v>
      </c>
      <c r="F8" s="57" t="n">
        <f aca="false">IF(Trends!$B$6&lt;&gt;"","",IF(COUNTIFS(VendorGroups[Source rank],1)=1,INDEX(VendorGroups[Source awards],MATCH(1,VendorGroups[Source rank],0)),""))</f>
        <v>1</v>
      </c>
      <c r="G8" s="57" t="n">
        <f aca="false">IF(Trends!$B$6&lt;&gt;"","",IF(COUNTIFS(VendorGroups[Source rank],1)=1,INDEX(VendorGroups[Source actions],MATCH(1,VendorGroups[Source rank],0)),""))</f>
        <v>15</v>
      </c>
      <c r="H8" s="58" t="s">
        <v>101</v>
      </c>
      <c r="I8" s="58" t="s">
        <v>102</v>
      </c>
      <c r="J8" s="58" t="s">
        <v>103</v>
      </c>
      <c r="K8" s="58" t="s">
        <v>104</v>
      </c>
      <c r="L8" s="57" t="str">
        <f aca="false">IF(H8="","",I8&amp;IF(J8="",""," ["&amp;J8&amp;"]"))</f>
        <v>Agility Technologies Inc. [Z9M6NN4AQLF7]</v>
      </c>
      <c r="M8" s="56" t="n">
        <f aca="false">IF(H8="","",SUMIFS(TransactionsData[Obligations],TransactionsData[Vendor ID],H8,TransactionsData[Selected],1))</f>
        <v>592445.36</v>
      </c>
      <c r="N8" s="56" t="n">
        <f aca="false">IF(H8="","",SUMIFS(TransactionsData[Deobligations],TransactionsData[Vendor ID],H8,TransactionsData[Selected],1))</f>
        <v>-90.35</v>
      </c>
      <c r="O8" s="57" t="n">
        <f aca="false">IF(H8="","",SUMIFS(TransactionsData[First vendor award],TransactionsData[Vendor ID],H8))</f>
        <v>2</v>
      </c>
      <c r="P8" s="57" t="n">
        <f aca="false">IF(H8="","",COUNTIFS(TransactionsData[Vendor ID],H8,TransactionsData[Selected],1))</f>
        <v>2</v>
      </c>
      <c r="Q8" s="57" t="n">
        <f aca="false">IF(OR(H8="",P8=0),"",COUNTIFS(VendorGroups[Source net],"&gt;"&amp;M8,VendorGroups[Source actions],"&gt;0")+COUNTIFS(VendorGroups[Source net],M8,VendorGroups[Record ID],"&lt;"&amp;H8,VendorGroups[Source actions],"&gt;0")+1)</f>
        <v>11</v>
      </c>
      <c r="R8" s="57" t="str">
        <f aca="false">IF(H8="",IF(COUNTA(I8:K8)&gt;0,"Missing record ID",""),IF(COUNTIFS(VendorGroups[Record ID],H8)&lt;&gt;1,"Duplicate record ID",IF(I8="","Add name","")))</f>
        <v/>
      </c>
    </row>
    <row r="9" customFormat="false" ht="32" hidden="false" customHeight="true" outlineLevel="0" collapsed="false">
      <c r="A9" s="53" t="n">
        <f aca="false">IF(Trends!$B$6&lt;&gt;"","",IF(COUNTIFS(VendorGroups[Source rank],2)=1,2,""))</f>
        <v>2</v>
      </c>
      <c r="B9" s="54" t="str">
        <f aca="false">IF(Trends!$B$6&lt;&gt;"","",IF(COUNTIFS(VendorGroups[Source rank],2)=1,IF(INDEX(VendorGroups[Source URL],MATCH(2,VendorGroups[Source rank],0))="",INDEX(VendorGroups[Source name],MATCH(2,VendorGroups[Source rank],0)),HYPERLINK(INDEX(VendorGroups[Source URL],MATCH(2,VendorGroups[Source rank],0)),INDEX(VendorGroups[Source name],MATCH(2,VendorGroups[Source rank],0)))),""))</f>
        <v>Directviz Solutions, LLC</v>
      </c>
      <c r="C9" s="55" t="str">
        <f aca="false">IF(Trends!$B$6&lt;&gt;"","",IF(COUNTIFS(VendorGroups[Source rank],2)=1,IF(INDEX(VendorGroups[Source UEI],MATCH(2,VendorGroups[Source rank],0))="","Not supplied",INDEX(VendorGroups[Source UEI],MATCH(2,VendorGroups[Source rank],0))),""))</f>
        <v>YXH4AGD2LGF5</v>
      </c>
      <c r="D9" s="56" t="n">
        <f aca="false">IF(Trends!$B$6&lt;&gt;"","",IF(COUNTIFS(VendorGroups[Source rank],2)=1,INDEX(VendorGroups[Source net],MATCH(2,VendorGroups[Source rank],0)),""))</f>
        <v>22532733.91</v>
      </c>
      <c r="E9" s="56" t="n">
        <f aca="false">IF(Trends!$B$6&lt;&gt;"","",IF(COUNTIFS(VendorGroups[Source rank],2)=1,INDEX(VendorGroups[Source deobligations],MATCH(2,VendorGroups[Source rank],0)),""))</f>
        <v>0</v>
      </c>
      <c r="F9" s="57" t="n">
        <f aca="false">IF(Trends!$B$6&lt;&gt;"","",IF(COUNTIFS(VendorGroups[Source rank],2)=1,INDEX(VendorGroups[Source awards],MATCH(2,VendorGroups[Source rank],0)),""))</f>
        <v>5</v>
      </c>
      <c r="G9" s="57" t="n">
        <f aca="false">IF(Trends!$B$6&lt;&gt;"","",IF(COUNTIFS(VendorGroups[Source rank],2)=1,INDEX(VendorGroups[Source actions],MATCH(2,VendorGroups[Source rank],0)),""))</f>
        <v>11</v>
      </c>
      <c r="H9" s="58" t="s">
        <v>105</v>
      </c>
      <c r="I9" s="58" t="s">
        <v>106</v>
      </c>
      <c r="J9" s="58" t="s">
        <v>107</v>
      </c>
      <c r="K9" s="58" t="s">
        <v>108</v>
      </c>
      <c r="L9" s="57" t="str">
        <f aca="false">IF(H9="","",I9&amp;IF(J9="",""," ["&amp;J9&amp;"]"))</f>
        <v>Anika Systems Incorporated [Y9V7J5VN9F68]</v>
      </c>
      <c r="M9" s="56" t="n">
        <f aca="false">IF(H9="","",SUMIFS(TransactionsData[Obligations],TransactionsData[Vendor ID],H9,TransactionsData[Selected],1))</f>
        <v>4954939.77</v>
      </c>
      <c r="N9" s="56" t="n">
        <f aca="false">IF(H9="","",SUMIFS(TransactionsData[Deobligations],TransactionsData[Vendor ID],H9,TransactionsData[Selected],1))</f>
        <v>0</v>
      </c>
      <c r="O9" s="57" t="n">
        <f aca="false">IF(H9="","",SUMIFS(TransactionsData[First vendor award],TransactionsData[Vendor ID],H9))</f>
        <v>1</v>
      </c>
      <c r="P9" s="57" t="n">
        <f aca="false">IF(H9="","",COUNTIFS(TransactionsData[Vendor ID],H9,TransactionsData[Selected],1))</f>
        <v>4</v>
      </c>
      <c r="Q9" s="57" t="n">
        <f aca="false">IF(OR(H9="",P9=0),"",COUNTIFS(VendorGroups[Source net],"&gt;"&amp;M9,VendorGroups[Source actions],"&gt;0")+COUNTIFS(VendorGroups[Source net],M9,VendorGroups[Record ID],"&lt;"&amp;H9,VendorGroups[Source actions],"&gt;0")+1)</f>
        <v>7</v>
      </c>
      <c r="R9" s="57" t="str">
        <f aca="false">IF(H9="",IF(COUNTA(I9:K9)&gt;0,"Missing record ID",""),IF(COUNTIFS(VendorGroups[Record ID],H9)&lt;&gt;1,"Duplicate record ID",IF(I9="","Add name","")))</f>
        <v/>
      </c>
    </row>
    <row r="10" customFormat="false" ht="32" hidden="false" customHeight="true" outlineLevel="0" collapsed="false">
      <c r="A10" s="53" t="n">
        <f aca="false">IF(Trends!$B$6&lt;&gt;"","",IF(COUNTIFS(VendorGroups[Source rank],3)=1,3,""))</f>
        <v>3</v>
      </c>
      <c r="B10" s="54" t="str">
        <f aca="false">IF(Trends!$B$6&lt;&gt;"","",IF(COUNTIFS(VendorGroups[Source rank],3)=1,IF(INDEX(VendorGroups[Source URL],MATCH(3,VendorGroups[Source rank],0))="",INDEX(VendorGroups[Source name],MATCH(3,VendorGroups[Source rank],0)),HYPERLINK(INDEX(VendorGroups[Source URL],MATCH(3,VendorGroups[Source rank],0)),INDEX(VendorGroups[Source name],MATCH(3,VendorGroups[Source rank],0)))),""))</f>
        <v>Civicactions, Inc.</v>
      </c>
      <c r="C10" s="55" t="str">
        <f aca="false">IF(Trends!$B$6&lt;&gt;"","",IF(COUNTIFS(VendorGroups[Source rank],3)=1,IF(INDEX(VendorGroups[Source UEI],MATCH(3,VendorGroups[Source rank],0))="","Not supplied",INDEX(VendorGroups[Source UEI],MATCH(3,VendorGroups[Source rank],0))),""))</f>
        <v>XSZFHRS5QFL5</v>
      </c>
      <c r="D10" s="56" t="n">
        <f aca="false">IF(Trends!$B$6&lt;&gt;"","",IF(COUNTIFS(VendorGroups[Source rank],3)=1,INDEX(VendorGroups[Source net],MATCH(3,VendorGroups[Source rank],0)),""))</f>
        <v>10769110.48</v>
      </c>
      <c r="E10" s="56" t="n">
        <f aca="false">IF(Trends!$B$6&lt;&gt;"","",IF(COUNTIFS(VendorGroups[Source rank],3)=1,INDEX(VendorGroups[Source deobligations],MATCH(3,VendorGroups[Source rank],0)),""))</f>
        <v>-561.71</v>
      </c>
      <c r="F10" s="57" t="n">
        <f aca="false">IF(Trends!$B$6&lt;&gt;"","",IF(COUNTIFS(VendorGroups[Source rank],3)=1,INDEX(VendorGroups[Source awards],MATCH(3,VendorGroups[Source rank],0)),""))</f>
        <v>1</v>
      </c>
      <c r="G10" s="57" t="n">
        <f aca="false">IF(Trends!$B$6&lt;&gt;"","",IF(COUNTIFS(VendorGroups[Source rank],3)=1,INDEX(VendorGroups[Source actions],MATCH(3,VendorGroups[Source rank],0)),""))</f>
        <v>10</v>
      </c>
      <c r="H10" s="58" t="s">
        <v>109</v>
      </c>
      <c r="I10" s="58" t="s">
        <v>110</v>
      </c>
      <c r="J10" s="58" t="s">
        <v>111</v>
      </c>
      <c r="K10" s="58" t="s">
        <v>112</v>
      </c>
      <c r="L10" s="57" t="str">
        <f aca="false">IF(H10="","",I10&amp;IF(J10="",""," ["&amp;J10&amp;"]"))</f>
        <v>Booz Allen Hamilton Inc. [JCBMLGPE6Z71]</v>
      </c>
      <c r="M10" s="56" t="n">
        <f aca="false">IF(H10="","",SUMIFS(TransactionsData[Obligations],TransactionsData[Vendor ID],H10,TransactionsData[Selected],1))</f>
        <v>53165050.72</v>
      </c>
      <c r="N10" s="56" t="n">
        <f aca="false">IF(H10="","",SUMIFS(TransactionsData[Deobligations],TransactionsData[Vendor ID],H10,TransactionsData[Selected],1))</f>
        <v>0</v>
      </c>
      <c r="O10" s="57" t="n">
        <f aca="false">IF(H10="","",SUMIFS(TransactionsData[First vendor award],TransactionsData[Vendor ID],H10))</f>
        <v>1</v>
      </c>
      <c r="P10" s="57" t="n">
        <f aca="false">IF(H10="","",COUNTIFS(TransactionsData[Vendor ID],H10,TransactionsData[Selected],1))</f>
        <v>15</v>
      </c>
      <c r="Q10" s="57" t="n">
        <f aca="false">IF(OR(H10="",P10=0),"",COUNTIFS(VendorGroups[Source net],"&gt;"&amp;M10,VendorGroups[Source actions],"&gt;0")+COUNTIFS(VendorGroups[Source net],M10,VendorGroups[Record ID],"&lt;"&amp;H10,VendorGroups[Source actions],"&gt;0")+1)</f>
        <v>1</v>
      </c>
      <c r="R10" s="57" t="str">
        <f aca="false">IF(H10="",IF(COUNTA(I10:K10)&gt;0,"Missing record ID",""),IF(COUNTIFS(VendorGroups[Record ID],H10)&lt;&gt;1,"Duplicate record ID",IF(I10="","Add name","")))</f>
        <v/>
      </c>
    </row>
    <row r="11" customFormat="false" ht="32" hidden="false" customHeight="true" outlineLevel="0" collapsed="false">
      <c r="A11" s="53" t="n">
        <f aca="false">IF(Trends!$B$6&lt;&gt;"","",IF(COUNTIFS(VendorGroups[Source rank],4)=1,4,""))</f>
        <v>4</v>
      </c>
      <c r="B11" s="54" t="str">
        <f aca="false">IF(Trends!$B$6&lt;&gt;"","",IF(COUNTIFS(VendorGroups[Source rank],4)=1,IF(INDEX(VendorGroups[Source URL],MATCH(4,VendorGroups[Source rank],0))="",INDEX(VendorGroups[Source name],MATCH(4,VendorGroups[Source rank],0)),HYPERLINK(INDEX(VendorGroups[Source URL],MATCH(4,VendorGroups[Source rank],0)),INDEX(VendorGroups[Source name],MATCH(4,VendorGroups[Source rank],0)))),""))</f>
        <v>Spatial Front Inc.</v>
      </c>
      <c r="C11" s="55" t="str">
        <f aca="false">IF(Trends!$B$6&lt;&gt;"","",IF(COUNTIFS(VendorGroups[Source rank],4)=1,IF(INDEX(VendorGroups[Source UEI],MATCH(4,VendorGroups[Source rank],0))="","Not supplied",INDEX(VendorGroups[Source UEI],MATCH(4,VendorGroups[Source rank],0))),""))</f>
        <v>J1ADW6BL8MN5</v>
      </c>
      <c r="D11" s="56" t="n">
        <f aca="false">IF(Trends!$B$6&lt;&gt;"","",IF(COUNTIFS(VendorGroups[Source rank],4)=1,INDEX(VendorGroups[Source net],MATCH(4,VendorGroups[Source rank],0)),""))</f>
        <v>8845385.99</v>
      </c>
      <c r="E11" s="56" t="n">
        <f aca="false">IF(Trends!$B$6&lt;&gt;"","",IF(COUNTIFS(VendorGroups[Source rank],4)=1,INDEX(VendorGroups[Source deobligations],MATCH(4,VendorGroups[Source rank],0)),""))</f>
        <v>-1096141.62</v>
      </c>
      <c r="F11" s="57" t="n">
        <f aca="false">IF(Trends!$B$6&lt;&gt;"","",IF(COUNTIFS(VendorGroups[Source rank],4)=1,INDEX(VendorGroups[Source awards],MATCH(4,VendorGroups[Source rank],0)),""))</f>
        <v>9</v>
      </c>
      <c r="G11" s="57" t="n">
        <f aca="false">IF(Trends!$B$6&lt;&gt;"","",IF(COUNTIFS(VendorGroups[Source rank],4)=1,INDEX(VendorGroups[Source actions],MATCH(4,VendorGroups[Source rank],0)),""))</f>
        <v>29</v>
      </c>
      <c r="H11" s="58" t="s">
        <v>113</v>
      </c>
      <c r="I11" s="58" t="s">
        <v>114</v>
      </c>
      <c r="J11" s="58" t="s">
        <v>115</v>
      </c>
      <c r="K11" s="58" t="s">
        <v>116</v>
      </c>
      <c r="L11" s="57" t="str">
        <f aca="false">IF(H11="","",I11&amp;IF(J11="",""," ["&amp;J11&amp;"]"))</f>
        <v>Civicactions, Inc. [XSZFHRS5QFL5]</v>
      </c>
      <c r="M11" s="56" t="n">
        <f aca="false">IF(H11="","",SUMIFS(TransactionsData[Obligations],TransactionsData[Vendor ID],H11,TransactionsData[Selected],1))</f>
        <v>10769110.48</v>
      </c>
      <c r="N11" s="56" t="n">
        <f aca="false">IF(H11="","",SUMIFS(TransactionsData[Deobligations],TransactionsData[Vendor ID],H11,TransactionsData[Selected],1))</f>
        <v>-561.71</v>
      </c>
      <c r="O11" s="57" t="n">
        <f aca="false">IF(H11="","",SUMIFS(TransactionsData[First vendor award],TransactionsData[Vendor ID],H11))</f>
        <v>1</v>
      </c>
      <c r="P11" s="57" t="n">
        <f aca="false">IF(H11="","",COUNTIFS(TransactionsData[Vendor ID],H11,TransactionsData[Selected],1))</f>
        <v>10</v>
      </c>
      <c r="Q11" s="57" t="n">
        <f aca="false">IF(OR(H11="",P11=0),"",COUNTIFS(VendorGroups[Source net],"&gt;"&amp;M11,VendorGroups[Source actions],"&gt;0")+COUNTIFS(VendorGroups[Source net],M11,VendorGroups[Record ID],"&lt;"&amp;H11,VendorGroups[Source actions],"&gt;0")+1)</f>
        <v>3</v>
      </c>
      <c r="R11" s="57" t="str">
        <f aca="false">IF(H11="",IF(COUNTA(I11:K11)&gt;0,"Missing record ID",""),IF(COUNTIFS(VendorGroups[Record ID],H11)&lt;&gt;1,"Duplicate record ID",IF(I11="","Add name","")))</f>
        <v/>
      </c>
    </row>
    <row r="12" customFormat="false" ht="32" hidden="false" customHeight="true" outlineLevel="0" collapsed="false">
      <c r="A12" s="53" t="n">
        <f aca="false">IF(Trends!$B$6&lt;&gt;"","",IF(COUNTIFS(VendorGroups[Source rank],5)=1,5,""))</f>
        <v>5</v>
      </c>
      <c r="B12" s="54" t="str">
        <f aca="false">IF(Trends!$B$6&lt;&gt;"","",IF(COUNTIFS(VendorGroups[Source rank],5)=1,IF(INDEX(VendorGroups[Source URL],MATCH(5,VendorGroups[Source rank],0))="",INDEX(VendorGroups[Source name],MATCH(5,VendorGroups[Source rank],0)),HYPERLINK(INDEX(VendorGroups[Source URL],MATCH(5,VendorGroups[Source rank],0)),INDEX(VendorGroups[Source name],MATCH(5,VendorGroups[Source rank],0)))),""))</f>
        <v>Strategic Communications LLC</v>
      </c>
      <c r="C12" s="55" t="str">
        <f aca="false">IF(Trends!$B$6&lt;&gt;"","",IF(COUNTIFS(VendorGroups[Source rank],5)=1,IF(INDEX(VendorGroups[Source UEI],MATCH(5,VendorGroups[Source rank],0))="","Not supplied",INDEX(VendorGroups[Source UEI],MATCH(5,VendorGroups[Source rank],0))),""))</f>
        <v>LJZRP7SE5LN4</v>
      </c>
      <c r="D12" s="56" t="n">
        <f aca="false">IF(Trends!$B$6&lt;&gt;"","",IF(COUNTIFS(VendorGroups[Source rank],5)=1,INDEX(VendorGroups[Source net],MATCH(5,VendorGroups[Source rank],0)),""))</f>
        <v>7237302.65</v>
      </c>
      <c r="E12" s="56" t="n">
        <f aca="false">IF(Trends!$B$6&lt;&gt;"","",IF(COUNTIFS(VendorGroups[Source rank],5)=1,INDEX(VendorGroups[Source deobligations],MATCH(5,VendorGroups[Source rank],0)),""))</f>
        <v>0</v>
      </c>
      <c r="F12" s="57" t="n">
        <f aca="false">IF(Trends!$B$6&lt;&gt;"","",IF(COUNTIFS(VendorGroups[Source rank],5)=1,INDEX(VendorGroups[Source awards],MATCH(5,VendorGroups[Source rank],0)),""))</f>
        <v>1</v>
      </c>
      <c r="G12" s="57" t="n">
        <f aca="false">IF(Trends!$B$6&lt;&gt;"","",IF(COUNTIFS(VendorGroups[Source rank],5)=1,INDEX(VendorGroups[Source actions],MATCH(5,VendorGroups[Source rank],0)),""))</f>
        <v>4</v>
      </c>
      <c r="H12" s="58" t="s">
        <v>117</v>
      </c>
      <c r="I12" s="58" t="s">
        <v>118</v>
      </c>
      <c r="J12" s="58" t="s">
        <v>119</v>
      </c>
      <c r="K12" s="58" t="s">
        <v>120</v>
      </c>
      <c r="L12" s="57" t="str">
        <f aca="false">IF(H12="","",I12&amp;IF(J12="",""," ["&amp;J12&amp;"]"))</f>
        <v>Criterion Systems, L.L.C. [MPGNDNHHWM33]</v>
      </c>
      <c r="M12" s="56" t="n">
        <f aca="false">IF(H12="","",SUMIFS(TransactionsData[Obligations],TransactionsData[Vendor ID],H12,TransactionsData[Selected],1))</f>
        <v>5033263.98</v>
      </c>
      <c r="N12" s="56" t="n">
        <f aca="false">IF(H12="","",SUMIFS(TransactionsData[Deobligations],TransactionsData[Vendor ID],H12,TransactionsData[Selected],1))</f>
        <v>0</v>
      </c>
      <c r="O12" s="57" t="n">
        <f aca="false">IF(H12="","",SUMIFS(TransactionsData[First vendor award],TransactionsData[Vendor ID],H12))</f>
        <v>2</v>
      </c>
      <c r="P12" s="57" t="n">
        <f aca="false">IF(H12="","",COUNTIFS(TransactionsData[Vendor ID],H12,TransactionsData[Selected],1))</f>
        <v>6</v>
      </c>
      <c r="Q12" s="57" t="n">
        <f aca="false">IF(OR(H12="",P12=0),"",COUNTIFS(VendorGroups[Source net],"&gt;"&amp;M12,VendorGroups[Source actions],"&gt;0")+COUNTIFS(VendorGroups[Source net],M12,VendorGroups[Record ID],"&lt;"&amp;H12,VendorGroups[Source actions],"&gt;0")+1)</f>
        <v>6</v>
      </c>
      <c r="R12" s="57" t="str">
        <f aca="false">IF(H12="",IF(COUNTA(I12:K12)&gt;0,"Missing record ID",""),IF(COUNTIFS(VendorGroups[Record ID],H12)&lt;&gt;1,"Duplicate record ID",IF(I12="","Add name","")))</f>
        <v/>
      </c>
    </row>
    <row r="13" customFormat="false" ht="32" hidden="false" customHeight="true" outlineLevel="0" collapsed="false">
      <c r="A13" s="53" t="n">
        <f aca="false">IF(Trends!$B$6&lt;&gt;"","",IF(COUNTIFS(VendorGroups[Source rank],6)=1,6,""))</f>
        <v>6</v>
      </c>
      <c r="B13" s="54" t="str">
        <f aca="false">IF(Trends!$B$6&lt;&gt;"","",IF(COUNTIFS(VendorGroups[Source rank],6)=1,IF(INDEX(VendorGroups[Source URL],MATCH(6,VendorGroups[Source rank],0))="",INDEX(VendorGroups[Source name],MATCH(6,VendorGroups[Source rank],0)),HYPERLINK(INDEX(VendorGroups[Source URL],MATCH(6,VendorGroups[Source rank],0)),INDEX(VendorGroups[Source name],MATCH(6,VendorGroups[Source rank],0)))),""))</f>
        <v>Criterion Systems, L.L.C.</v>
      </c>
      <c r="C13" s="55" t="str">
        <f aca="false">IF(Trends!$B$6&lt;&gt;"","",IF(COUNTIFS(VendorGroups[Source rank],6)=1,IF(INDEX(VendorGroups[Source UEI],MATCH(6,VendorGroups[Source rank],0))="","Not supplied",INDEX(VendorGroups[Source UEI],MATCH(6,VendorGroups[Source rank],0))),""))</f>
        <v>MPGNDNHHWM33</v>
      </c>
      <c r="D13" s="56" t="n">
        <f aca="false">IF(Trends!$B$6&lt;&gt;"","",IF(COUNTIFS(VendorGroups[Source rank],6)=1,INDEX(VendorGroups[Source net],MATCH(6,VendorGroups[Source rank],0)),""))</f>
        <v>5033263.98</v>
      </c>
      <c r="E13" s="56" t="n">
        <f aca="false">IF(Trends!$B$6&lt;&gt;"","",IF(COUNTIFS(VendorGroups[Source rank],6)=1,INDEX(VendorGroups[Source deobligations],MATCH(6,VendorGroups[Source rank],0)),""))</f>
        <v>0</v>
      </c>
      <c r="F13" s="57" t="n">
        <f aca="false">IF(Trends!$B$6&lt;&gt;"","",IF(COUNTIFS(VendorGroups[Source rank],6)=1,INDEX(VendorGroups[Source awards],MATCH(6,VendorGroups[Source rank],0)),""))</f>
        <v>2</v>
      </c>
      <c r="G13" s="57" t="n">
        <f aca="false">IF(Trends!$B$6&lt;&gt;"","",IF(COUNTIFS(VendorGroups[Source rank],6)=1,INDEX(VendorGroups[Source actions],MATCH(6,VendorGroups[Source rank],0)),""))</f>
        <v>6</v>
      </c>
      <c r="H13" s="58" t="s">
        <v>121</v>
      </c>
      <c r="I13" s="58" t="s">
        <v>122</v>
      </c>
      <c r="J13" s="58" t="s">
        <v>123</v>
      </c>
      <c r="K13" s="58" t="s">
        <v>124</v>
      </c>
      <c r="L13" s="57" t="str">
        <f aca="false">IF(H13="","",I13&amp;IF(J13="",""," ["&amp;J13&amp;"]"))</f>
        <v>Directviz Solutions, LLC [YXH4AGD2LGF5]</v>
      </c>
      <c r="M13" s="56" t="n">
        <f aca="false">IF(H13="","",SUMIFS(TransactionsData[Obligations],TransactionsData[Vendor ID],H13,TransactionsData[Selected],1))</f>
        <v>22532733.91</v>
      </c>
      <c r="N13" s="56" t="n">
        <f aca="false">IF(H13="","",SUMIFS(TransactionsData[Deobligations],TransactionsData[Vendor ID],H13,TransactionsData[Selected],1))</f>
        <v>0</v>
      </c>
      <c r="O13" s="57" t="n">
        <f aca="false">IF(H13="","",SUMIFS(TransactionsData[First vendor award],TransactionsData[Vendor ID],H13))</f>
        <v>5</v>
      </c>
      <c r="P13" s="57" t="n">
        <f aca="false">IF(H13="","",COUNTIFS(TransactionsData[Vendor ID],H13,TransactionsData[Selected],1))</f>
        <v>11</v>
      </c>
      <c r="Q13" s="57" t="n">
        <f aca="false">IF(OR(H13="",P13=0),"",COUNTIFS(VendorGroups[Source net],"&gt;"&amp;M13,VendorGroups[Source actions],"&gt;0")+COUNTIFS(VendorGroups[Source net],M13,VendorGroups[Record ID],"&lt;"&amp;H13,VendorGroups[Source actions],"&gt;0")+1)</f>
        <v>2</v>
      </c>
      <c r="R13" s="57" t="str">
        <f aca="false">IF(H13="",IF(COUNTA(I13:K13)&gt;0,"Missing record ID",""),IF(COUNTIFS(VendorGroups[Record ID],H13)&lt;&gt;1,"Duplicate record ID",IF(I13="","Add name","")))</f>
        <v/>
      </c>
    </row>
    <row r="14" customFormat="false" ht="32" hidden="false" customHeight="true" outlineLevel="0" collapsed="false">
      <c r="A14" s="53" t="n">
        <f aca="false">IF(Trends!$B$6&lt;&gt;"","",IF(COUNTIFS(VendorGroups[Source rank],7)=1,7,""))</f>
        <v>7</v>
      </c>
      <c r="B14" s="54" t="str">
        <f aca="false">IF(Trends!$B$6&lt;&gt;"","",IF(COUNTIFS(VendorGroups[Source rank],7)=1,IF(INDEX(VendorGroups[Source URL],MATCH(7,VendorGroups[Source rank],0))="",INDEX(VendorGroups[Source name],MATCH(7,VendorGroups[Source rank],0)),HYPERLINK(INDEX(VendorGroups[Source URL],MATCH(7,VendorGroups[Source rank],0)),INDEX(VendorGroups[Source name],MATCH(7,VendorGroups[Source rank],0)))),""))</f>
        <v>Anika Systems Incorporated</v>
      </c>
      <c r="C14" s="55" t="str">
        <f aca="false">IF(Trends!$B$6&lt;&gt;"","",IF(COUNTIFS(VendorGroups[Source rank],7)=1,IF(INDEX(VendorGroups[Source UEI],MATCH(7,VendorGroups[Source rank],0))="","Not supplied",INDEX(VendorGroups[Source UEI],MATCH(7,VendorGroups[Source rank],0))),""))</f>
        <v>Y9V7J5VN9F68</v>
      </c>
      <c r="D14" s="56" t="n">
        <f aca="false">IF(Trends!$B$6&lt;&gt;"","",IF(COUNTIFS(VendorGroups[Source rank],7)=1,INDEX(VendorGroups[Source net],MATCH(7,VendorGroups[Source rank],0)),""))</f>
        <v>4954939.77</v>
      </c>
      <c r="E14" s="56" t="n">
        <f aca="false">IF(Trends!$B$6&lt;&gt;"","",IF(COUNTIFS(VendorGroups[Source rank],7)=1,INDEX(VendorGroups[Source deobligations],MATCH(7,VendorGroups[Source rank],0)),""))</f>
        <v>0</v>
      </c>
      <c r="F14" s="57" t="n">
        <f aca="false">IF(Trends!$B$6&lt;&gt;"","",IF(COUNTIFS(VendorGroups[Source rank],7)=1,INDEX(VendorGroups[Source awards],MATCH(7,VendorGroups[Source rank],0)),""))</f>
        <v>1</v>
      </c>
      <c r="G14" s="57" t="n">
        <f aca="false">IF(Trends!$B$6&lt;&gt;"","",IF(COUNTIFS(VendorGroups[Source rank],7)=1,INDEX(VendorGroups[Source actions],MATCH(7,VendorGroups[Source rank],0)),""))</f>
        <v>4</v>
      </c>
      <c r="H14" s="58" t="s">
        <v>125</v>
      </c>
      <c r="I14" s="58" t="s">
        <v>126</v>
      </c>
      <c r="J14" s="58" t="s">
        <v>127</v>
      </c>
      <c r="K14" s="58" t="s">
        <v>128</v>
      </c>
      <c r="L14" s="57" t="str">
        <f aca="false">IF(H14="","",I14&amp;IF(J14="",""," ["&amp;J14&amp;"]"))</f>
        <v>Expediteinfotech, Inc. [KX6EDEAPTKH5]</v>
      </c>
      <c r="M14" s="56" t="n">
        <f aca="false">IF(H14="","",SUMIFS(TransactionsData[Obligations],TransactionsData[Vendor ID],H14,TransactionsData[Selected],1))</f>
        <v>150188.63</v>
      </c>
      <c r="N14" s="56" t="n">
        <f aca="false">IF(H14="","",SUMIFS(TransactionsData[Deobligations],TransactionsData[Vendor ID],H14,TransactionsData[Selected],1))</f>
        <v>-77859</v>
      </c>
      <c r="O14" s="57" t="n">
        <f aca="false">IF(H14="","",SUMIFS(TransactionsData[First vendor award],TransactionsData[Vendor ID],H14))</f>
        <v>1</v>
      </c>
      <c r="P14" s="57" t="n">
        <f aca="false">IF(H14="","",COUNTIFS(TransactionsData[Vendor ID],H14,TransactionsData[Selected],1))</f>
        <v>3</v>
      </c>
      <c r="Q14" s="57" t="n">
        <f aca="false">IF(OR(H14="",P14=0),"",COUNTIFS(VendorGroups[Source net],"&gt;"&amp;M14,VendorGroups[Source actions],"&gt;0")+COUNTIFS(VendorGroups[Source net],M14,VendorGroups[Record ID],"&lt;"&amp;H14,VendorGroups[Source actions],"&gt;0")+1)</f>
        <v>15</v>
      </c>
      <c r="R14" s="57" t="str">
        <f aca="false">IF(H14="",IF(COUNTA(I14:K14)&gt;0,"Missing record ID",""),IF(COUNTIFS(VendorGroups[Record ID],H14)&lt;&gt;1,"Duplicate record ID",IF(I14="","Add name","")))</f>
        <v/>
      </c>
    </row>
    <row r="15" customFormat="false" ht="32" hidden="false" customHeight="true" outlineLevel="0" collapsed="false">
      <c r="A15" s="53" t="n">
        <f aca="false">IF(Trends!$B$6&lt;&gt;"","",IF(COUNTIFS(VendorGroups[Source rank],8)=1,8,""))</f>
        <v>8</v>
      </c>
      <c r="B15" s="54" t="str">
        <f aca="false">IF(Trends!$B$6&lt;&gt;"","",IF(COUNTIFS(VendorGroups[Source rank],8)=1,IF(INDEX(VendorGroups[Source URL],MATCH(8,VendorGroups[Source rank],0))="",INDEX(VendorGroups[Source name],MATCH(8,VendorGroups[Source rank],0)),HYPERLINK(INDEX(VendorGroups[Source URL],MATCH(8,VendorGroups[Source rank],0)),INDEX(VendorGroups[Source name],MATCH(8,VendorGroups[Source rank],0)))),""))</f>
        <v>Lynker Corporation</v>
      </c>
      <c r="C15" s="55" t="str">
        <f aca="false">IF(Trends!$B$6&lt;&gt;"","",IF(COUNTIFS(VendorGroups[Source rank],8)=1,IF(INDEX(VendorGroups[Source UEI],MATCH(8,VendorGroups[Source rank],0))="","Not supplied",INDEX(VendorGroups[Source UEI],MATCH(8,VendorGroups[Source rank],0))),""))</f>
        <v>MCLPKDBCDKY7</v>
      </c>
      <c r="D15" s="56" t="n">
        <f aca="false">IF(Trends!$B$6&lt;&gt;"","",IF(COUNTIFS(VendorGroups[Source rank],8)=1,INDEX(VendorGroups[Source net],MATCH(8,VendorGroups[Source rank],0)),""))</f>
        <v>2603796</v>
      </c>
      <c r="E15" s="56" t="n">
        <f aca="false">IF(Trends!$B$6&lt;&gt;"","",IF(COUNTIFS(VendorGroups[Source rank],8)=1,INDEX(VendorGroups[Source deobligations],MATCH(8,VendorGroups[Source rank],0)),""))</f>
        <v>0</v>
      </c>
      <c r="F15" s="57" t="n">
        <f aca="false">IF(Trends!$B$6&lt;&gt;"","",IF(COUNTIFS(VendorGroups[Source rank],8)=1,INDEX(VendorGroups[Source awards],MATCH(8,VendorGroups[Source rank],0)),""))</f>
        <v>1</v>
      </c>
      <c r="G15" s="57" t="n">
        <f aca="false">IF(Trends!$B$6&lt;&gt;"","",IF(COUNTIFS(VendorGroups[Source rank],8)=1,INDEX(VendorGroups[Source actions],MATCH(8,VendorGroups[Source rank],0)),""))</f>
        <v>2</v>
      </c>
      <c r="H15" s="58" t="s">
        <v>129</v>
      </c>
      <c r="I15" s="58" t="s">
        <v>130</v>
      </c>
      <c r="J15" s="58" t="s">
        <v>131</v>
      </c>
      <c r="K15" s="58" t="s">
        <v>132</v>
      </c>
      <c r="L15" s="57" t="str">
        <f aca="false">IF(H15="","",I15&amp;IF(J15="",""," ["&amp;J15&amp;"]"))</f>
        <v>Gartner, Inc. [CFALLJBGZ697]</v>
      </c>
      <c r="M15" s="56" t="n">
        <f aca="false">IF(H15="","",SUMIFS(TransactionsData[Obligations],TransactionsData[Vendor ID],H15,TransactionsData[Selected],1))</f>
        <v>589968</v>
      </c>
      <c r="N15" s="56" t="n">
        <f aca="false">IF(H15="","",SUMIFS(TransactionsData[Deobligations],TransactionsData[Vendor ID],H15,TransactionsData[Selected],1))</f>
        <v>0</v>
      </c>
      <c r="O15" s="57" t="n">
        <f aca="false">IF(H15="","",SUMIFS(TransactionsData[First vendor award],TransactionsData[Vendor ID],H15))</f>
        <v>1</v>
      </c>
      <c r="P15" s="57" t="n">
        <f aca="false">IF(H15="","",COUNTIFS(TransactionsData[Vendor ID],H15,TransactionsData[Selected],1))</f>
        <v>3</v>
      </c>
      <c r="Q15" s="57" t="n">
        <f aca="false">IF(OR(H15="",P15=0),"",COUNTIFS(VendorGroups[Source net],"&gt;"&amp;M15,VendorGroups[Source actions],"&gt;0")+COUNTIFS(VendorGroups[Source net],M15,VendorGroups[Record ID],"&lt;"&amp;H15,VendorGroups[Source actions],"&gt;0")+1)</f>
        <v>12</v>
      </c>
      <c r="R15" s="57" t="str">
        <f aca="false">IF(H15="",IF(COUNTA(I15:K15)&gt;0,"Missing record ID",""),IF(COUNTIFS(VendorGroups[Record ID],H15)&lt;&gt;1,"Duplicate record ID",IF(I15="","Add name","")))</f>
        <v/>
      </c>
    </row>
    <row r="16" customFormat="false" ht="32" hidden="false" customHeight="true" outlineLevel="0" collapsed="false">
      <c r="A16" s="53" t="n">
        <f aca="false">IF(Trends!$B$6&lt;&gt;"","",IF(COUNTIFS(VendorGroups[Source rank],9)=1,9,""))</f>
        <v>9</v>
      </c>
      <c r="B16" s="54" t="str">
        <f aca="false">IF(Trends!$B$6&lt;&gt;"","",IF(COUNTIFS(VendorGroups[Source rank],9)=1,IF(INDEX(VendorGroups[Source URL],MATCH(9,VendorGroups[Source rank],0))="",INDEX(VendorGroups[Source name],MATCH(9,VendorGroups[Source rank],0)),HYPERLINK(INDEX(VendorGroups[Source URL],MATCH(9,VendorGroups[Source rank],0)),INDEX(VendorGroups[Source name],MATCH(9,VendorGroups[Source rank],0)))),""))</f>
        <v>Rei Systems, Inc.</v>
      </c>
      <c r="C16" s="55" t="str">
        <f aca="false">IF(Trends!$B$6&lt;&gt;"","",IF(COUNTIFS(VendorGroups[Source rank],9)=1,IF(INDEX(VendorGroups[Source UEI],MATCH(9,VendorGroups[Source rank],0))="","Not supplied",INDEX(VendorGroups[Source UEI],MATCH(9,VendorGroups[Source rank],0))),""))</f>
        <v>YRNMVN96JC17</v>
      </c>
      <c r="D16" s="56" t="n">
        <f aca="false">IF(Trends!$B$6&lt;&gt;"","",IF(COUNTIFS(VendorGroups[Source rank],9)=1,INDEX(VendorGroups[Source net],MATCH(9,VendorGroups[Source rank],0)),""))</f>
        <v>1899378.05</v>
      </c>
      <c r="E16" s="56" t="n">
        <f aca="false">IF(Trends!$B$6&lt;&gt;"","",IF(COUNTIFS(VendorGroups[Source rank],9)=1,INDEX(VendorGroups[Source deobligations],MATCH(9,VendorGroups[Source rank],0)),""))</f>
        <v>0</v>
      </c>
      <c r="F16" s="57" t="n">
        <f aca="false">IF(Trends!$B$6&lt;&gt;"","",IF(COUNTIFS(VendorGroups[Source rank],9)=1,INDEX(VendorGroups[Source awards],MATCH(9,VendorGroups[Source rank],0)),""))</f>
        <v>2</v>
      </c>
      <c r="G16" s="57" t="n">
        <f aca="false">IF(Trends!$B$6&lt;&gt;"","",IF(COUNTIFS(VendorGroups[Source rank],9)=1,INDEX(VendorGroups[Source actions],MATCH(9,VendorGroups[Source rank],0)),""))</f>
        <v>5</v>
      </c>
      <c r="H16" s="58" t="s">
        <v>133</v>
      </c>
      <c r="I16" s="58" t="s">
        <v>134</v>
      </c>
      <c r="J16" s="58" t="s">
        <v>135</v>
      </c>
      <c r="K16" s="58" t="s">
        <v>136</v>
      </c>
      <c r="L16" s="57" t="str">
        <f aca="false">IF(H16="","",I16&amp;IF(J16="",""," ["&amp;J16&amp;"]"))</f>
        <v>GBS Dakota IT, LLC [G9E9BR9MG9N7]</v>
      </c>
      <c r="M16" s="56" t="n">
        <f aca="false">IF(H16="","",SUMIFS(TransactionsData[Obligations],TransactionsData[Vendor ID],H16,TransactionsData[Selected],1))</f>
        <v>16430.4</v>
      </c>
      <c r="N16" s="56" t="n">
        <f aca="false">IF(H16="","",SUMIFS(TransactionsData[Deobligations],TransactionsData[Vendor ID],H16,TransactionsData[Selected],1))</f>
        <v>0</v>
      </c>
      <c r="O16" s="57" t="n">
        <f aca="false">IF(H16="","",SUMIFS(TransactionsData[First vendor award],TransactionsData[Vendor ID],H16))</f>
        <v>1</v>
      </c>
      <c r="P16" s="57" t="n">
        <f aca="false">IF(H16="","",COUNTIFS(TransactionsData[Vendor ID],H16,TransactionsData[Selected],1))</f>
        <v>1</v>
      </c>
      <c r="Q16" s="57" t="n">
        <f aca="false">IF(OR(H16="",P16=0),"",COUNTIFS(VendorGroups[Source net],"&gt;"&amp;M16,VendorGroups[Source actions],"&gt;0")+COUNTIFS(VendorGroups[Source net],M16,VendorGroups[Record ID],"&lt;"&amp;H16,VendorGroups[Source actions],"&gt;0")+1)</f>
        <v>18</v>
      </c>
      <c r="R16" s="57" t="str">
        <f aca="false">IF(H16="",IF(COUNTA(I16:K16)&gt;0,"Missing record ID",""),IF(COUNTIFS(VendorGroups[Record ID],H16)&lt;&gt;1,"Duplicate record ID",IF(I16="","Add name","")))</f>
        <v/>
      </c>
    </row>
    <row r="17" customFormat="false" ht="32" hidden="false" customHeight="true" outlineLevel="0" collapsed="false">
      <c r="A17" s="53" t="n">
        <f aca="false">IF(Trends!$B$6&lt;&gt;"","",IF(COUNTIFS(VendorGroups[Source rank],10)=1,10,""))</f>
        <v>10</v>
      </c>
      <c r="B17" s="54" t="str">
        <f aca="false">IF(Trends!$B$6&lt;&gt;"","",IF(COUNTIFS(VendorGroups[Source rank],10)=1,IF(INDEX(VendorGroups[Source URL],MATCH(10,VendorGroups[Source rank],0))="",INDEX(VendorGroups[Source name],MATCH(10,VendorGroups[Source rank],0)),HYPERLINK(INDEX(VendorGroups[Source URL],MATCH(10,VendorGroups[Source rank],0)),INDEX(VendorGroups[Source name],MATCH(10,VendorGroups[Source rank],0)))),""))</f>
        <v>Montage + Magnum, LLC</v>
      </c>
      <c r="C17" s="55" t="str">
        <f aca="false">IF(Trends!$B$6&lt;&gt;"","",IF(COUNTIFS(VendorGroups[Source rank],10)=1,IF(INDEX(VendorGroups[Source UEI],MATCH(10,VendorGroups[Source rank],0))="","Not supplied",INDEX(VendorGroups[Source UEI],MATCH(10,VendorGroups[Source rank],0))),""))</f>
        <v>XLJSS2NNHU27</v>
      </c>
      <c r="D17" s="56" t="n">
        <f aca="false">IF(Trends!$B$6&lt;&gt;"","",IF(COUNTIFS(VendorGroups[Source rank],10)=1,INDEX(VendorGroups[Source net],MATCH(10,VendorGroups[Source rank],0)),""))</f>
        <v>840658.87</v>
      </c>
      <c r="E17" s="56" t="n">
        <f aca="false">IF(Trends!$B$6&lt;&gt;"","",IF(COUNTIFS(VendorGroups[Source rank],10)=1,INDEX(VendorGroups[Source deobligations],MATCH(10,VendorGroups[Source rank],0)),""))</f>
        <v>0</v>
      </c>
      <c r="F17" s="57" t="n">
        <f aca="false">IF(Trends!$B$6&lt;&gt;"","",IF(COUNTIFS(VendorGroups[Source rank],10)=1,INDEX(VendorGroups[Source awards],MATCH(10,VendorGroups[Source rank],0)),""))</f>
        <v>1</v>
      </c>
      <c r="G17" s="57" t="n">
        <f aca="false">IF(Trends!$B$6&lt;&gt;"","",IF(COUNTIFS(VendorGroups[Source rank],10)=1,INDEX(VendorGroups[Source actions],MATCH(10,VendorGroups[Source rank],0)),""))</f>
        <v>3</v>
      </c>
      <c r="H17" s="58" t="s">
        <v>137</v>
      </c>
      <c r="I17" s="58" t="s">
        <v>138</v>
      </c>
      <c r="J17" s="58" t="s">
        <v>139</v>
      </c>
      <c r="K17" s="58" t="s">
        <v>140</v>
      </c>
      <c r="L17" s="57" t="str">
        <f aca="false">IF(H17="","",I17&amp;IF(J17="",""," ["&amp;J17&amp;"]"))</f>
        <v>GBS Solutions Corp [NKNSTJBPABX9]</v>
      </c>
      <c r="M17" s="56" t="n">
        <f aca="false">IF(H17="","",SUMIFS(TransactionsData[Obligations],TransactionsData[Vendor ID],H17,TransactionsData[Selected],1))</f>
        <v>61759.48</v>
      </c>
      <c r="N17" s="56" t="n">
        <f aca="false">IF(H17="","",SUMIFS(TransactionsData[Deobligations],TransactionsData[Vendor ID],H17,TransactionsData[Selected],1))</f>
        <v>-112336.2</v>
      </c>
      <c r="O17" s="57" t="n">
        <f aca="false">IF(H17="","",SUMIFS(TransactionsData[First vendor award],TransactionsData[Vendor ID],H17))</f>
        <v>2</v>
      </c>
      <c r="P17" s="57" t="n">
        <f aca="false">IF(H17="","",COUNTIFS(TransactionsData[Vendor ID],H17,TransactionsData[Selected],1))</f>
        <v>4</v>
      </c>
      <c r="Q17" s="57" t="n">
        <f aca="false">IF(OR(H17="",P17=0),"",COUNTIFS(VendorGroups[Source net],"&gt;"&amp;M17,VendorGroups[Source actions],"&gt;0")+COUNTIFS(VendorGroups[Source net],M17,VendorGroups[Record ID],"&lt;"&amp;H17,VendorGroups[Source actions],"&gt;0")+1)</f>
        <v>16</v>
      </c>
      <c r="R17" s="57" t="str">
        <f aca="false">IF(H17="",IF(COUNTA(I17:K17)&gt;0,"Missing record ID",""),IF(COUNTIFS(VendorGroups[Record ID],H17)&lt;&gt;1,"Duplicate record ID",IF(I17="","Add name","")))</f>
        <v/>
      </c>
    </row>
    <row r="18" customFormat="false" ht="32" hidden="false" customHeight="true" outlineLevel="0" collapsed="false">
      <c r="A18" s="53" t="n">
        <f aca="false">IF(Trends!$B$6&lt;&gt;"","",IF(COUNTIFS(VendorGroups[Source rank],11)=1,11,""))</f>
        <v>11</v>
      </c>
      <c r="B18" s="54" t="str">
        <f aca="false">IF(Trends!$B$6&lt;&gt;"","",IF(COUNTIFS(VendorGroups[Source rank],11)=1,IF(INDEX(VendorGroups[Source URL],MATCH(11,VendorGroups[Source rank],0))="",INDEX(VendorGroups[Source name],MATCH(11,VendorGroups[Source rank],0)),HYPERLINK(INDEX(VendorGroups[Source URL],MATCH(11,VendorGroups[Source rank],0)),INDEX(VendorGroups[Source name],MATCH(11,VendorGroups[Source rank],0)))),""))</f>
        <v>Agility Technologies Inc.</v>
      </c>
      <c r="C18" s="55" t="str">
        <f aca="false">IF(Trends!$B$6&lt;&gt;"","",IF(COUNTIFS(VendorGroups[Source rank],11)=1,IF(INDEX(VendorGroups[Source UEI],MATCH(11,VendorGroups[Source rank],0))="","Not supplied",INDEX(VendorGroups[Source UEI],MATCH(11,VendorGroups[Source rank],0))),""))</f>
        <v>Z9M6NN4AQLF7</v>
      </c>
      <c r="D18" s="56" t="n">
        <f aca="false">IF(Trends!$B$6&lt;&gt;"","",IF(COUNTIFS(VendorGroups[Source rank],11)=1,INDEX(VendorGroups[Source net],MATCH(11,VendorGroups[Source rank],0)),""))</f>
        <v>592445.36</v>
      </c>
      <c r="E18" s="56" t="n">
        <f aca="false">IF(Trends!$B$6&lt;&gt;"","",IF(COUNTIFS(VendorGroups[Source rank],11)=1,INDEX(VendorGroups[Source deobligations],MATCH(11,VendorGroups[Source rank],0)),""))</f>
        <v>-90.35</v>
      </c>
      <c r="F18" s="57" t="n">
        <f aca="false">IF(Trends!$B$6&lt;&gt;"","",IF(COUNTIFS(VendorGroups[Source rank],11)=1,INDEX(VendorGroups[Source awards],MATCH(11,VendorGroups[Source rank],0)),""))</f>
        <v>2</v>
      </c>
      <c r="G18" s="57" t="n">
        <f aca="false">IF(Trends!$B$6&lt;&gt;"","",IF(COUNTIFS(VendorGroups[Source rank],11)=1,INDEX(VendorGroups[Source actions],MATCH(11,VendorGroups[Source rank],0)),""))</f>
        <v>2</v>
      </c>
      <c r="H18" s="58" t="s">
        <v>141</v>
      </c>
      <c r="I18" s="58" t="s">
        <v>142</v>
      </c>
      <c r="J18" s="58" t="s">
        <v>143</v>
      </c>
      <c r="K18" s="58" t="s">
        <v>144</v>
      </c>
      <c r="L18" s="57" t="str">
        <f aca="false">IF(H18="","",I18&amp;IF(J18="",""," ["&amp;J18&amp;"]"))</f>
        <v>Ibex It Business Experts LLC [XPA8X2BWTD49]</v>
      </c>
      <c r="M18" s="56" t="n">
        <f aca="false">IF(H18="","",SUMIFS(TransactionsData[Obligations],TransactionsData[Vendor ID],H18,TransactionsData[Selected],1))</f>
        <v>0</v>
      </c>
      <c r="N18" s="56" t="n">
        <f aca="false">IF(H18="","",SUMIFS(TransactionsData[Deobligations],TransactionsData[Vendor ID],H18,TransactionsData[Selected],1))</f>
        <v>0</v>
      </c>
      <c r="O18" s="57" t="n">
        <f aca="false">IF(H18="","",SUMIFS(TransactionsData[First vendor award],TransactionsData[Vendor ID],H18))</f>
        <v>0</v>
      </c>
      <c r="P18" s="57" t="n">
        <f aca="false">IF(H18="","",COUNTIFS(TransactionsData[Vendor ID],H18,TransactionsData[Selected],1))</f>
        <v>0</v>
      </c>
      <c r="Q18" s="57" t="str">
        <f aca="false">IF(OR(H18="",P18=0),"",COUNTIFS(VendorGroups[Source net],"&gt;"&amp;M18,VendorGroups[Source actions],"&gt;0")+COUNTIFS(VendorGroups[Source net],M18,VendorGroups[Record ID],"&lt;"&amp;H18,VendorGroups[Source actions],"&gt;0")+1)</f>
        <v/>
      </c>
      <c r="R18" s="57" t="str">
        <f aca="false">IF(H18="",IF(COUNTA(I18:K18)&gt;0,"Missing record ID",""),IF(COUNTIFS(VendorGroups[Record ID],H18)&lt;&gt;1,"Duplicate record ID",IF(I18="","Add name","")))</f>
        <v/>
      </c>
    </row>
    <row r="19" customFormat="false" ht="32" hidden="false" customHeight="true" outlineLevel="0" collapsed="false">
      <c r="A19" s="53" t="n">
        <f aca="false">IF(Trends!$B$6&lt;&gt;"","",IF(COUNTIFS(VendorGroups[Source rank],12)=1,12,""))</f>
        <v>12</v>
      </c>
      <c r="B19" s="54" t="str">
        <f aca="false">IF(Trends!$B$6&lt;&gt;"","",IF(COUNTIFS(VendorGroups[Source rank],12)=1,IF(INDEX(VendorGroups[Source URL],MATCH(12,VendorGroups[Source rank],0))="",INDEX(VendorGroups[Source name],MATCH(12,VendorGroups[Source rank],0)),HYPERLINK(INDEX(VendorGroups[Source URL],MATCH(12,VendorGroups[Source rank],0)),INDEX(VendorGroups[Source name],MATCH(12,VendorGroups[Source rank],0)))),""))</f>
        <v>Gartner, Inc.</v>
      </c>
      <c r="C19" s="55" t="str">
        <f aca="false">IF(Trends!$B$6&lt;&gt;"","",IF(COUNTIFS(VendorGroups[Source rank],12)=1,IF(INDEX(VendorGroups[Source UEI],MATCH(12,VendorGroups[Source rank],0))="","Not supplied",INDEX(VendorGroups[Source UEI],MATCH(12,VendorGroups[Source rank],0))),""))</f>
        <v>CFALLJBGZ697</v>
      </c>
      <c r="D19" s="56" t="n">
        <f aca="false">IF(Trends!$B$6&lt;&gt;"","",IF(COUNTIFS(VendorGroups[Source rank],12)=1,INDEX(VendorGroups[Source net],MATCH(12,VendorGroups[Source rank],0)),""))</f>
        <v>589968</v>
      </c>
      <c r="E19" s="56" t="n">
        <f aca="false">IF(Trends!$B$6&lt;&gt;"","",IF(COUNTIFS(VendorGroups[Source rank],12)=1,INDEX(VendorGroups[Source deobligations],MATCH(12,VendorGroups[Source rank],0)),""))</f>
        <v>0</v>
      </c>
      <c r="F19" s="57" t="n">
        <f aca="false">IF(Trends!$B$6&lt;&gt;"","",IF(COUNTIFS(VendorGroups[Source rank],12)=1,INDEX(VendorGroups[Source awards],MATCH(12,VendorGroups[Source rank],0)),""))</f>
        <v>1</v>
      </c>
      <c r="G19" s="57" t="n">
        <f aca="false">IF(Trends!$B$6&lt;&gt;"","",IF(COUNTIFS(VendorGroups[Source rank],12)=1,INDEX(VendorGroups[Source actions],MATCH(12,VendorGroups[Source rank],0)),""))</f>
        <v>3</v>
      </c>
      <c r="H19" s="58" t="s">
        <v>145</v>
      </c>
      <c r="I19" s="58" t="s">
        <v>146</v>
      </c>
      <c r="J19" s="58" t="s">
        <v>147</v>
      </c>
      <c r="K19" s="58" t="s">
        <v>148</v>
      </c>
      <c r="L19" s="57" t="str">
        <f aca="false">IF(H19="","",I19&amp;IF(J19="",""," ["&amp;J19&amp;"]"))</f>
        <v>Lynker Corporation [MCLPKDBCDKY7]</v>
      </c>
      <c r="M19" s="56" t="n">
        <f aca="false">IF(H19="","",SUMIFS(TransactionsData[Obligations],TransactionsData[Vendor ID],H19,TransactionsData[Selected],1))</f>
        <v>2603796</v>
      </c>
      <c r="N19" s="56" t="n">
        <f aca="false">IF(H19="","",SUMIFS(TransactionsData[Deobligations],TransactionsData[Vendor ID],H19,TransactionsData[Selected],1))</f>
        <v>0</v>
      </c>
      <c r="O19" s="57" t="n">
        <f aca="false">IF(H19="","",SUMIFS(TransactionsData[First vendor award],TransactionsData[Vendor ID],H19))</f>
        <v>1</v>
      </c>
      <c r="P19" s="57" t="n">
        <f aca="false">IF(H19="","",COUNTIFS(TransactionsData[Vendor ID],H19,TransactionsData[Selected],1))</f>
        <v>2</v>
      </c>
      <c r="Q19" s="57" t="n">
        <f aca="false">IF(OR(H19="",P19=0),"",COUNTIFS(VendorGroups[Source net],"&gt;"&amp;M19,VendorGroups[Source actions],"&gt;0")+COUNTIFS(VendorGroups[Source net],M19,VendorGroups[Record ID],"&lt;"&amp;H19,VendorGroups[Source actions],"&gt;0")+1)</f>
        <v>8</v>
      </c>
      <c r="R19" s="57" t="str">
        <f aca="false">IF(H19="",IF(COUNTA(I19:K19)&gt;0,"Missing record ID",""),IF(COUNTIFS(VendorGroups[Record ID],H19)&lt;&gt;1,"Duplicate record ID",IF(I19="","Add name","")))</f>
        <v/>
      </c>
    </row>
    <row r="20" customFormat="false" ht="32" hidden="false" customHeight="true" outlineLevel="0" collapsed="false">
      <c r="A20" s="53" t="n">
        <f aca="false">IF(Trends!$B$6&lt;&gt;"","",IF(COUNTIFS(VendorGroups[Source rank],13)=1,13,""))</f>
        <v>13</v>
      </c>
      <c r="B20" s="54" t="str">
        <f aca="false">IF(Trends!$B$6&lt;&gt;"","",IF(COUNTIFS(VendorGroups[Source rank],13)=1,IF(INDEX(VendorGroups[Source URL],MATCH(13,VendorGroups[Source rank],0))="",INDEX(VendorGroups[Source name],MATCH(13,VendorGroups[Source rank],0)),HYPERLINK(INDEX(VendorGroups[Source URL],MATCH(13,VendorGroups[Source rank],0)),INDEX(VendorGroups[Source name],MATCH(13,VendorGroups[Source rank],0)))),""))</f>
        <v>Professional Management Consulting Services LLC</v>
      </c>
      <c r="C20" s="55" t="str">
        <f aca="false">IF(Trends!$B$6&lt;&gt;"","",IF(COUNTIFS(VendorGroups[Source rank],13)=1,IF(INDEX(VendorGroups[Source UEI],MATCH(13,VendorGroups[Source rank],0))="","Not supplied",INDEX(VendorGroups[Source UEI],MATCH(13,VendorGroups[Source rank],0))),""))</f>
        <v>CD2QDS1EFHP3</v>
      </c>
      <c r="D20" s="56" t="n">
        <f aca="false">IF(Trends!$B$6&lt;&gt;"","",IF(COUNTIFS(VendorGroups[Source rank],13)=1,INDEX(VendorGroups[Source net],MATCH(13,VendorGroups[Source rank],0)),""))</f>
        <v>495382.97</v>
      </c>
      <c r="E20" s="56" t="n">
        <f aca="false">IF(Trends!$B$6&lt;&gt;"","",IF(COUNTIFS(VendorGroups[Source rank],13)=1,INDEX(VendorGroups[Source deobligations],MATCH(13,VendorGroups[Source rank],0)),""))</f>
        <v>-13437.43</v>
      </c>
      <c r="F20" s="57" t="n">
        <f aca="false">IF(Trends!$B$6&lt;&gt;"","",IF(COUNTIFS(VendorGroups[Source rank],13)=1,INDEX(VendorGroups[Source awards],MATCH(13,VendorGroups[Source rank],0)),""))</f>
        <v>1</v>
      </c>
      <c r="G20" s="57" t="n">
        <f aca="false">IF(Trends!$B$6&lt;&gt;"","",IF(COUNTIFS(VendorGroups[Source rank],13)=1,INDEX(VendorGroups[Source actions],MATCH(13,VendorGroups[Source rank],0)),""))</f>
        <v>2</v>
      </c>
      <c r="H20" s="58" t="s">
        <v>149</v>
      </c>
      <c r="I20" s="58" t="s">
        <v>150</v>
      </c>
      <c r="J20" s="58" t="s">
        <v>149</v>
      </c>
      <c r="K20" s="58" t="s">
        <v>151</v>
      </c>
      <c r="L20" s="57" t="str">
        <f aca="false">IF(H20="","",I20&amp;IF(J20="",""," ["&amp;J20&amp;"]"))</f>
        <v>Montage + Magnum, LLC [XLJSS2NNHU27]</v>
      </c>
      <c r="M20" s="56" t="n">
        <f aca="false">IF(H20="","",SUMIFS(TransactionsData[Obligations],TransactionsData[Vendor ID],H20,TransactionsData[Selected],1))</f>
        <v>840658.87</v>
      </c>
      <c r="N20" s="56" t="n">
        <f aca="false">IF(H20="","",SUMIFS(TransactionsData[Deobligations],TransactionsData[Vendor ID],H20,TransactionsData[Selected],1))</f>
        <v>0</v>
      </c>
      <c r="O20" s="57" t="n">
        <f aca="false">IF(H20="","",SUMIFS(TransactionsData[First vendor award],TransactionsData[Vendor ID],H20))</f>
        <v>1</v>
      </c>
      <c r="P20" s="57" t="n">
        <f aca="false">IF(H20="","",COUNTIFS(TransactionsData[Vendor ID],H20,TransactionsData[Selected],1))</f>
        <v>3</v>
      </c>
      <c r="Q20" s="57" t="n">
        <f aca="false">IF(OR(H20="",P20=0),"",COUNTIFS(VendorGroups[Source net],"&gt;"&amp;M20,VendorGroups[Source actions],"&gt;0")+COUNTIFS(VendorGroups[Source net],M20,VendorGroups[Record ID],"&lt;"&amp;H20,VendorGroups[Source actions],"&gt;0")+1)</f>
        <v>10</v>
      </c>
      <c r="R20" s="57" t="str">
        <f aca="false">IF(H20="",IF(COUNTA(I20:K20)&gt;0,"Missing record ID",""),IF(COUNTIFS(VendorGroups[Record ID],H20)&lt;&gt;1,"Duplicate record ID",IF(I20="","Add name","")))</f>
        <v/>
      </c>
    </row>
    <row r="21" customFormat="false" ht="32" hidden="false" customHeight="true" outlineLevel="0" collapsed="false">
      <c r="A21" s="53" t="n">
        <f aca="false">IF(Trends!$B$6&lt;&gt;"","",IF(COUNTIFS(VendorGroups[Source rank],14)=1,14,""))</f>
        <v>14</v>
      </c>
      <c r="B21" s="54" t="str">
        <f aca="false">IF(Trends!$B$6&lt;&gt;"","",IF(COUNTIFS(VendorGroups[Source rank],14)=1,IF(INDEX(VendorGroups[Source URL],MATCH(14,VendorGroups[Source rank],0))="",INDEX(VendorGroups[Source name],MATCH(14,VendorGroups[Source rank],0)),HYPERLINK(INDEX(VendorGroups[Source URL],MATCH(14,VendorGroups[Source rank],0)),INDEX(VendorGroups[Source name],MATCH(14,VendorGroups[Source rank],0)))),""))</f>
        <v>Scope It Consulting, LLC</v>
      </c>
      <c r="C21" s="55" t="str">
        <f aca="false">IF(Trends!$B$6&lt;&gt;"","",IF(COUNTIFS(VendorGroups[Source rank],14)=1,IF(INDEX(VendorGroups[Source UEI],MATCH(14,VendorGroups[Source rank],0))="","Not supplied",INDEX(VendorGroups[Source UEI],MATCH(14,VendorGroups[Source rank],0))),""))</f>
        <v>KN99UT9W5N77</v>
      </c>
      <c r="D21" s="56" t="n">
        <f aca="false">IF(Trends!$B$6&lt;&gt;"","",IF(COUNTIFS(VendorGroups[Source rank],14)=1,INDEX(VendorGroups[Source net],MATCH(14,VendorGroups[Source rank],0)),""))</f>
        <v>489791.72</v>
      </c>
      <c r="E21" s="56" t="n">
        <f aca="false">IF(Trends!$B$6&lt;&gt;"","",IF(COUNTIFS(VendorGroups[Source rank],14)=1,INDEX(VendorGroups[Source deobligations],MATCH(14,VendorGroups[Source rank],0)),""))</f>
        <v>0</v>
      </c>
      <c r="F21" s="57" t="n">
        <f aca="false">IF(Trends!$B$6&lt;&gt;"","",IF(COUNTIFS(VendorGroups[Source rank],14)=1,INDEX(VendorGroups[Source awards],MATCH(14,VendorGroups[Source rank],0)),""))</f>
        <v>1</v>
      </c>
      <c r="G21" s="57" t="n">
        <f aca="false">IF(Trends!$B$6&lt;&gt;"","",IF(COUNTIFS(VendorGroups[Source rank],14)=1,INDEX(VendorGroups[Source actions],MATCH(14,VendorGroups[Source rank],0)),""))</f>
        <v>1</v>
      </c>
      <c r="H21" s="58" t="s">
        <v>152</v>
      </c>
      <c r="I21" s="58" t="s">
        <v>153</v>
      </c>
      <c r="J21" s="58" t="s">
        <v>154</v>
      </c>
      <c r="K21" s="58" t="s">
        <v>155</v>
      </c>
      <c r="L21" s="57" t="str">
        <f aca="false">IF(H21="","",I21&amp;IF(J21="",""," ["&amp;J21&amp;"]"))</f>
        <v>Professional Management Consulting Services LLC [CD2QDS1EFHP3]</v>
      </c>
      <c r="M21" s="56" t="n">
        <f aca="false">IF(H21="","",SUMIFS(TransactionsData[Obligations],TransactionsData[Vendor ID],H21,TransactionsData[Selected],1))</f>
        <v>495382.97</v>
      </c>
      <c r="N21" s="56" t="n">
        <f aca="false">IF(H21="","",SUMIFS(TransactionsData[Deobligations],TransactionsData[Vendor ID],H21,TransactionsData[Selected],1))</f>
        <v>-13437.43</v>
      </c>
      <c r="O21" s="57" t="n">
        <f aca="false">IF(H21="","",SUMIFS(TransactionsData[First vendor award],TransactionsData[Vendor ID],H21))</f>
        <v>1</v>
      </c>
      <c r="P21" s="57" t="n">
        <f aca="false">IF(H21="","",COUNTIFS(TransactionsData[Vendor ID],H21,TransactionsData[Selected],1))</f>
        <v>2</v>
      </c>
      <c r="Q21" s="57" t="n">
        <f aca="false">IF(OR(H21="",P21=0),"",COUNTIFS(VendorGroups[Source net],"&gt;"&amp;M21,VendorGroups[Source actions],"&gt;0")+COUNTIFS(VendorGroups[Source net],M21,VendorGroups[Record ID],"&lt;"&amp;H21,VendorGroups[Source actions],"&gt;0")+1)</f>
        <v>13</v>
      </c>
      <c r="R21" s="57" t="str">
        <f aca="false">IF(H21="",IF(COUNTA(I21:K21)&gt;0,"Missing record ID",""),IF(COUNTIFS(VendorGroups[Record ID],H21)&lt;&gt;1,"Duplicate record ID",IF(I21="","Add name","")))</f>
        <v/>
      </c>
    </row>
    <row r="22" customFormat="false" ht="32" hidden="false" customHeight="true" outlineLevel="0" collapsed="false">
      <c r="A22" s="53" t="n">
        <f aca="false">IF(Trends!$B$6&lt;&gt;"","",IF(COUNTIFS(VendorGroups[Source rank],15)=1,15,""))</f>
        <v>15</v>
      </c>
      <c r="B22" s="54" t="str">
        <f aca="false">IF(Trends!$B$6&lt;&gt;"","",IF(COUNTIFS(VendorGroups[Source rank],15)=1,IF(INDEX(VendorGroups[Source URL],MATCH(15,VendorGroups[Source rank],0))="",INDEX(VendorGroups[Source name],MATCH(15,VendorGroups[Source rank],0)),HYPERLINK(INDEX(VendorGroups[Source URL],MATCH(15,VendorGroups[Source rank],0)),INDEX(VendorGroups[Source name],MATCH(15,VendorGroups[Source rank],0)))),""))</f>
        <v>Expediteinfotech, Inc.</v>
      </c>
      <c r="C22" s="55" t="str">
        <f aca="false">IF(Trends!$B$6&lt;&gt;"","",IF(COUNTIFS(VendorGroups[Source rank],15)=1,IF(INDEX(VendorGroups[Source UEI],MATCH(15,VendorGroups[Source rank],0))="","Not supplied",INDEX(VendorGroups[Source UEI],MATCH(15,VendorGroups[Source rank],0))),""))</f>
        <v>KX6EDEAPTKH5</v>
      </c>
      <c r="D22" s="56" t="n">
        <f aca="false">IF(Trends!$B$6&lt;&gt;"","",IF(COUNTIFS(VendorGroups[Source rank],15)=1,INDEX(VendorGroups[Source net],MATCH(15,VendorGroups[Source rank],0)),""))</f>
        <v>150188.63</v>
      </c>
      <c r="E22" s="56" t="n">
        <f aca="false">IF(Trends!$B$6&lt;&gt;"","",IF(COUNTIFS(VendorGroups[Source rank],15)=1,INDEX(VendorGroups[Source deobligations],MATCH(15,VendorGroups[Source rank],0)),""))</f>
        <v>-77859</v>
      </c>
      <c r="F22" s="57" t="n">
        <f aca="false">IF(Trends!$B$6&lt;&gt;"","",IF(COUNTIFS(VendorGroups[Source rank],15)=1,INDEX(VendorGroups[Source awards],MATCH(15,VendorGroups[Source rank],0)),""))</f>
        <v>1</v>
      </c>
      <c r="G22" s="57" t="n">
        <f aca="false">IF(Trends!$B$6&lt;&gt;"","",IF(COUNTIFS(VendorGroups[Source rank],15)=1,INDEX(VendorGroups[Source actions],MATCH(15,VendorGroups[Source rank],0)),""))</f>
        <v>3</v>
      </c>
      <c r="H22" s="58" t="s">
        <v>156</v>
      </c>
      <c r="I22" s="58" t="s">
        <v>157</v>
      </c>
      <c r="J22" s="58" t="s">
        <v>158</v>
      </c>
      <c r="K22" s="58" t="s">
        <v>159</v>
      </c>
      <c r="L22" s="57" t="str">
        <f aca="false">IF(H22="","",I22&amp;IF(J22="",""," ["&amp;J22&amp;"]"))</f>
        <v>Rei Systems, Inc. [YRNMVN96JC17]</v>
      </c>
      <c r="M22" s="56" t="n">
        <f aca="false">IF(H22="","",SUMIFS(TransactionsData[Obligations],TransactionsData[Vendor ID],H22,TransactionsData[Selected],1))</f>
        <v>1899378.05</v>
      </c>
      <c r="N22" s="56" t="n">
        <f aca="false">IF(H22="","",SUMIFS(TransactionsData[Deobligations],TransactionsData[Vendor ID],H22,TransactionsData[Selected],1))</f>
        <v>0</v>
      </c>
      <c r="O22" s="57" t="n">
        <f aca="false">IF(H22="","",SUMIFS(TransactionsData[First vendor award],TransactionsData[Vendor ID],H22))</f>
        <v>2</v>
      </c>
      <c r="P22" s="57" t="n">
        <f aca="false">IF(H22="","",COUNTIFS(TransactionsData[Vendor ID],H22,TransactionsData[Selected],1))</f>
        <v>5</v>
      </c>
      <c r="Q22" s="57" t="n">
        <f aca="false">IF(OR(H22="",P22=0),"",COUNTIFS(VendorGroups[Source net],"&gt;"&amp;M22,VendorGroups[Source actions],"&gt;0")+COUNTIFS(VendorGroups[Source net],M22,VendorGroups[Record ID],"&lt;"&amp;H22,VendorGroups[Source actions],"&gt;0")+1)</f>
        <v>9</v>
      </c>
      <c r="R22" s="57" t="str">
        <f aca="false">IF(H22="",IF(COUNTA(I22:K22)&gt;0,"Missing record ID",""),IF(COUNTIFS(VendorGroups[Record ID],H22)&lt;&gt;1,"Duplicate record ID",IF(I22="","Add name","")))</f>
        <v/>
      </c>
    </row>
    <row r="23" customFormat="false" ht="32" hidden="false" customHeight="true" outlineLevel="0" collapsed="false">
      <c r="A23" s="53" t="n">
        <f aca="false">IF(Trends!$B$6&lt;&gt;"","",IF(COUNTIFS(VendorGroups[Source rank],16)=1,16,""))</f>
        <v>16</v>
      </c>
      <c r="B23" s="54" t="str">
        <f aca="false">IF(Trends!$B$6&lt;&gt;"","",IF(COUNTIFS(VendorGroups[Source rank],16)=1,IF(INDEX(VendorGroups[Source URL],MATCH(16,VendorGroups[Source rank],0))="",INDEX(VendorGroups[Source name],MATCH(16,VendorGroups[Source rank],0)),HYPERLINK(INDEX(VendorGroups[Source URL],MATCH(16,VendorGroups[Source rank],0)),INDEX(VendorGroups[Source name],MATCH(16,VendorGroups[Source rank],0)))),""))</f>
        <v>GBS Solutions Corp</v>
      </c>
      <c r="C23" s="55" t="str">
        <f aca="false">IF(Trends!$B$6&lt;&gt;"","",IF(COUNTIFS(VendorGroups[Source rank],16)=1,IF(INDEX(VendorGroups[Source UEI],MATCH(16,VendorGroups[Source rank],0))="","Not supplied",INDEX(VendorGroups[Source UEI],MATCH(16,VendorGroups[Source rank],0))),""))</f>
        <v>NKNSTJBPABX9</v>
      </c>
      <c r="D23" s="56" t="n">
        <f aca="false">IF(Trends!$B$6&lt;&gt;"","",IF(COUNTIFS(VendorGroups[Source rank],16)=1,INDEX(VendorGroups[Source net],MATCH(16,VendorGroups[Source rank],0)),""))</f>
        <v>61759.48</v>
      </c>
      <c r="E23" s="56" t="n">
        <f aca="false">IF(Trends!$B$6&lt;&gt;"","",IF(COUNTIFS(VendorGroups[Source rank],16)=1,INDEX(VendorGroups[Source deobligations],MATCH(16,VendorGroups[Source rank],0)),""))</f>
        <v>-112336.2</v>
      </c>
      <c r="F23" s="57" t="n">
        <f aca="false">IF(Trends!$B$6&lt;&gt;"","",IF(COUNTIFS(VendorGroups[Source rank],16)=1,INDEX(VendorGroups[Source awards],MATCH(16,VendorGroups[Source rank],0)),""))</f>
        <v>2</v>
      </c>
      <c r="G23" s="57" t="n">
        <f aca="false">IF(Trends!$B$6&lt;&gt;"","",IF(COUNTIFS(VendorGroups[Source rank],16)=1,INDEX(VendorGroups[Source actions],MATCH(16,VendorGroups[Source rank],0)),""))</f>
        <v>4</v>
      </c>
      <c r="H23" s="58" t="s">
        <v>160</v>
      </c>
      <c r="I23" s="58" t="s">
        <v>161</v>
      </c>
      <c r="J23" s="58" t="s">
        <v>162</v>
      </c>
      <c r="K23" s="58" t="s">
        <v>163</v>
      </c>
      <c r="L23" s="57" t="str">
        <f aca="false">IF(H23="","",I23&amp;IF(J23="",""," ["&amp;J23&amp;"]"))</f>
        <v>Scope It Consulting, LLC [KN99UT9W5N77]</v>
      </c>
      <c r="M23" s="56" t="n">
        <f aca="false">IF(H23="","",SUMIFS(TransactionsData[Obligations],TransactionsData[Vendor ID],H23,TransactionsData[Selected],1))</f>
        <v>489791.72</v>
      </c>
      <c r="N23" s="56" t="n">
        <f aca="false">IF(H23="","",SUMIFS(TransactionsData[Deobligations],TransactionsData[Vendor ID],H23,TransactionsData[Selected],1))</f>
        <v>0</v>
      </c>
      <c r="O23" s="57" t="n">
        <f aca="false">IF(H23="","",SUMIFS(TransactionsData[First vendor award],TransactionsData[Vendor ID],H23))</f>
        <v>1</v>
      </c>
      <c r="P23" s="57" t="n">
        <f aca="false">IF(H23="","",COUNTIFS(TransactionsData[Vendor ID],H23,TransactionsData[Selected],1))</f>
        <v>1</v>
      </c>
      <c r="Q23" s="57" t="n">
        <f aca="false">IF(OR(H23="",P23=0),"",COUNTIFS(VendorGroups[Source net],"&gt;"&amp;M23,VendorGroups[Source actions],"&gt;0")+COUNTIFS(VendorGroups[Source net],M23,VendorGroups[Record ID],"&lt;"&amp;H23,VendorGroups[Source actions],"&gt;0")+1)</f>
        <v>14</v>
      </c>
      <c r="R23" s="57" t="str">
        <f aca="false">IF(H23="",IF(COUNTA(I23:K23)&gt;0,"Missing record ID",""),IF(COUNTIFS(VendorGroups[Record ID],H23)&lt;&gt;1,"Duplicate record ID",IF(I23="","Add name","")))</f>
        <v/>
      </c>
    </row>
    <row r="24" customFormat="false" ht="32" hidden="false" customHeight="true" outlineLevel="0" collapsed="false">
      <c r="A24" s="53" t="n">
        <f aca="false">IF(Trends!$B$6&lt;&gt;"","",IF(COUNTIFS(VendorGroups[Source rank],17)=1,17,""))</f>
        <v>17</v>
      </c>
      <c r="B24" s="54" t="str">
        <f aca="false">IF(Trends!$B$6&lt;&gt;"","",IF(COUNTIFS(VendorGroups[Source rank],17)=1,IF(INDEX(VendorGroups[Source URL],MATCH(17,VendorGroups[Source rank],0))="",INDEX(VendorGroups[Source name],MATCH(17,VendorGroups[Source rank],0)),HYPERLINK(INDEX(VendorGroups[Source URL],MATCH(17,VendorGroups[Source rank],0)),INDEX(VendorGroups[Source name],MATCH(17,VendorGroups[Source rank],0)))),""))</f>
        <v>University Corporation For Advanced Internet Development</v>
      </c>
      <c r="C24" s="55" t="str">
        <f aca="false">IF(Trends!$B$6&lt;&gt;"","",IF(COUNTIFS(VendorGroups[Source rank],17)=1,IF(INDEX(VendorGroups[Source UEI],MATCH(17,VendorGroups[Source rank],0))="","Not supplied",INDEX(VendorGroups[Source UEI],MATCH(17,VendorGroups[Source rank],0))),""))</f>
        <v>DZEBKFRD1ZN6</v>
      </c>
      <c r="D24" s="56" t="n">
        <f aca="false">IF(Trends!$B$6&lt;&gt;"","",IF(COUNTIFS(VendorGroups[Source rank],17)=1,INDEX(VendorGroups[Source net],MATCH(17,VendorGroups[Source rank],0)),""))</f>
        <v>39079</v>
      </c>
      <c r="E24" s="56" t="n">
        <f aca="false">IF(Trends!$B$6&lt;&gt;"","",IF(COUNTIFS(VendorGroups[Source rank],17)=1,INDEX(VendorGroups[Source deobligations],MATCH(17,VendorGroups[Source rank],0)),""))</f>
        <v>0</v>
      </c>
      <c r="F24" s="57" t="n">
        <f aca="false">IF(Trends!$B$6&lt;&gt;"","",IF(COUNTIFS(VendorGroups[Source rank],17)=1,INDEX(VendorGroups[Source awards],MATCH(17,VendorGroups[Source rank],0)),""))</f>
        <v>1</v>
      </c>
      <c r="G24" s="57" t="n">
        <f aca="false">IF(Trends!$B$6&lt;&gt;"","",IF(COUNTIFS(VendorGroups[Source rank],17)=1,INDEX(VendorGroups[Source actions],MATCH(17,VendorGroups[Source rank],0)),""))</f>
        <v>1</v>
      </c>
      <c r="H24" s="58" t="s">
        <v>164</v>
      </c>
      <c r="I24" s="58" t="s">
        <v>165</v>
      </c>
      <c r="J24" s="58" t="s">
        <v>166</v>
      </c>
      <c r="K24" s="58" t="s">
        <v>167</v>
      </c>
      <c r="L24" s="57" t="str">
        <f aca="false">IF(H24="","",I24&amp;IF(J24="",""," ["&amp;J24&amp;"]"))</f>
        <v>Spatial Front Inc. [J1ADW6BL8MN5]</v>
      </c>
      <c r="M24" s="56" t="n">
        <f aca="false">IF(H24="","",SUMIFS(TransactionsData[Obligations],TransactionsData[Vendor ID],H24,TransactionsData[Selected],1))</f>
        <v>8845385.99</v>
      </c>
      <c r="N24" s="56" t="n">
        <f aca="false">IF(H24="","",SUMIFS(TransactionsData[Deobligations],TransactionsData[Vendor ID],H24,TransactionsData[Selected],1))</f>
        <v>-1096141.62</v>
      </c>
      <c r="O24" s="57" t="n">
        <f aca="false">IF(H24="","",SUMIFS(TransactionsData[First vendor award],TransactionsData[Vendor ID],H24))</f>
        <v>9</v>
      </c>
      <c r="P24" s="57" t="n">
        <f aca="false">IF(H24="","",COUNTIFS(TransactionsData[Vendor ID],H24,TransactionsData[Selected],1))</f>
        <v>29</v>
      </c>
      <c r="Q24" s="57" t="n">
        <f aca="false">IF(OR(H24="",P24=0),"",COUNTIFS(VendorGroups[Source net],"&gt;"&amp;M24,VendorGroups[Source actions],"&gt;0")+COUNTIFS(VendorGroups[Source net],M24,VendorGroups[Record ID],"&lt;"&amp;H24,VendorGroups[Source actions],"&gt;0")+1)</f>
        <v>4</v>
      </c>
      <c r="R24" s="57" t="str">
        <f aca="false">IF(H24="",IF(COUNTA(I24:K24)&gt;0,"Missing record ID",""),IF(COUNTIFS(VendorGroups[Record ID],H24)&lt;&gt;1,"Duplicate record ID",IF(I24="","Add name","")))</f>
        <v/>
      </c>
    </row>
    <row r="25" customFormat="false" ht="32" hidden="false" customHeight="true" outlineLevel="0" collapsed="false">
      <c r="A25" s="53" t="n">
        <f aca="false">IF(Trends!$B$6&lt;&gt;"","",IF(COUNTIFS(VendorGroups[Source rank],18)=1,18,""))</f>
        <v>18</v>
      </c>
      <c r="B25" s="54" t="str">
        <f aca="false">IF(Trends!$B$6&lt;&gt;"","",IF(COUNTIFS(VendorGroups[Source rank],18)=1,IF(INDEX(VendorGroups[Source URL],MATCH(18,VendorGroups[Source rank],0))="",INDEX(VendorGroups[Source name],MATCH(18,VendorGroups[Source rank],0)),HYPERLINK(INDEX(VendorGroups[Source URL],MATCH(18,VendorGroups[Source rank],0)),INDEX(VendorGroups[Source name],MATCH(18,VendorGroups[Source rank],0)))),""))</f>
        <v>GBS Dakota IT, LLC</v>
      </c>
      <c r="C25" s="55" t="str">
        <f aca="false">IF(Trends!$B$6&lt;&gt;"","",IF(COUNTIFS(VendorGroups[Source rank],18)=1,IF(INDEX(VendorGroups[Source UEI],MATCH(18,VendorGroups[Source rank],0))="","Not supplied",INDEX(VendorGroups[Source UEI],MATCH(18,VendorGroups[Source rank],0))),""))</f>
        <v>G9E9BR9MG9N7</v>
      </c>
      <c r="D25" s="56" t="n">
        <f aca="false">IF(Trends!$B$6&lt;&gt;"","",IF(COUNTIFS(VendorGroups[Source rank],18)=1,INDEX(VendorGroups[Source net],MATCH(18,VendorGroups[Source rank],0)),""))</f>
        <v>16430.4</v>
      </c>
      <c r="E25" s="56" t="n">
        <f aca="false">IF(Trends!$B$6&lt;&gt;"","",IF(COUNTIFS(VendorGroups[Source rank],18)=1,INDEX(VendorGroups[Source deobligations],MATCH(18,VendorGroups[Source rank],0)),""))</f>
        <v>0</v>
      </c>
      <c r="F25" s="57" t="n">
        <f aca="false">IF(Trends!$B$6&lt;&gt;"","",IF(COUNTIFS(VendorGroups[Source rank],18)=1,INDEX(VendorGroups[Source awards],MATCH(18,VendorGroups[Source rank],0)),""))</f>
        <v>1</v>
      </c>
      <c r="G25" s="57" t="n">
        <f aca="false">IF(Trends!$B$6&lt;&gt;"","",IF(COUNTIFS(VendorGroups[Source rank],18)=1,INDEX(VendorGroups[Source actions],MATCH(18,VendorGroups[Source rank],0)),""))</f>
        <v>1</v>
      </c>
      <c r="H25" s="58" t="s">
        <v>168</v>
      </c>
      <c r="I25" s="58" t="s">
        <v>169</v>
      </c>
      <c r="J25" s="58" t="s">
        <v>170</v>
      </c>
      <c r="K25" s="58" t="s">
        <v>171</v>
      </c>
      <c r="L25" s="57" t="str">
        <f aca="false">IF(H25="","",I25&amp;IF(J25="",""," ["&amp;J25&amp;"]"))</f>
        <v>Strategic Communications LLC [LJZRP7SE5LN4]</v>
      </c>
      <c r="M25" s="56" t="n">
        <f aca="false">IF(H25="","",SUMIFS(TransactionsData[Obligations],TransactionsData[Vendor ID],H25,TransactionsData[Selected],1))</f>
        <v>7237302.65</v>
      </c>
      <c r="N25" s="56" t="n">
        <f aca="false">IF(H25="","",SUMIFS(TransactionsData[Deobligations],TransactionsData[Vendor ID],H25,TransactionsData[Selected],1))</f>
        <v>0</v>
      </c>
      <c r="O25" s="57" t="n">
        <f aca="false">IF(H25="","",SUMIFS(TransactionsData[First vendor award],TransactionsData[Vendor ID],H25))</f>
        <v>1</v>
      </c>
      <c r="P25" s="57" t="n">
        <f aca="false">IF(H25="","",COUNTIFS(TransactionsData[Vendor ID],H25,TransactionsData[Selected],1))</f>
        <v>4</v>
      </c>
      <c r="Q25" s="57" t="n">
        <f aca="false">IF(OR(H25="",P25=0),"",COUNTIFS(VendorGroups[Source net],"&gt;"&amp;M25,VendorGroups[Source actions],"&gt;0")+COUNTIFS(VendorGroups[Source net],M25,VendorGroups[Record ID],"&lt;"&amp;H25,VendorGroups[Source actions],"&gt;0")+1)</f>
        <v>5</v>
      </c>
      <c r="R25" s="57" t="str">
        <f aca="false">IF(H25="",IF(COUNTA(I25:K25)&gt;0,"Missing record ID",""),IF(COUNTIFS(VendorGroups[Record ID],H25)&lt;&gt;1,"Duplicate record ID",IF(I25="","Add name","")))</f>
        <v/>
      </c>
    </row>
    <row r="26" customFormat="false" ht="32" hidden="false" customHeight="true" outlineLevel="0" collapsed="false">
      <c r="A26" s="53" t="str">
        <f aca="false">IF(Trends!$B$6&lt;&gt;"","",IF(COUNTIFS(VendorGroups[Source rank],19)=1,19,""))</f>
        <v/>
      </c>
      <c r="B26" s="54" t="str">
        <f aca="false">IF(Trends!$B$6&lt;&gt;"","",IF(COUNTIFS(VendorGroups[Source rank],19)=1,IF(INDEX(VendorGroups[Source URL],MATCH(19,VendorGroups[Source rank],0))="",INDEX(VendorGroups[Source name],MATCH(19,VendorGroups[Source rank],0)),HYPERLINK(INDEX(VendorGroups[Source URL],MATCH(19,VendorGroups[Source rank],0)),INDEX(VendorGroups[Source name],MATCH(19,VendorGroups[Source rank],0)))),""))</f>
        <v/>
      </c>
      <c r="C26" s="55" t="str">
        <f aca="false">IF(Trends!$B$6&lt;&gt;"","",IF(COUNTIFS(VendorGroups[Source rank],19)=1,IF(INDEX(VendorGroups[Source UEI],MATCH(19,VendorGroups[Source rank],0))="","Not supplied",INDEX(VendorGroups[Source UEI],MATCH(19,VendorGroups[Source rank],0))),""))</f>
        <v/>
      </c>
      <c r="D26" s="56" t="str">
        <f aca="false">IF(Trends!$B$6&lt;&gt;"","",IF(COUNTIFS(VendorGroups[Source rank],19)=1,INDEX(VendorGroups[Source net],MATCH(19,VendorGroups[Source rank],0)),""))</f>
        <v/>
      </c>
      <c r="E26" s="56" t="str">
        <f aca="false">IF(Trends!$B$6&lt;&gt;"","",IF(COUNTIFS(VendorGroups[Source rank],19)=1,INDEX(VendorGroups[Source deobligations],MATCH(19,VendorGroups[Source rank],0)),""))</f>
        <v/>
      </c>
      <c r="F26" s="57" t="str">
        <f aca="false">IF(Trends!$B$6&lt;&gt;"","",IF(COUNTIFS(VendorGroups[Source rank],19)=1,INDEX(VendorGroups[Source awards],MATCH(19,VendorGroups[Source rank],0)),""))</f>
        <v/>
      </c>
      <c r="G26" s="57" t="str">
        <f aca="false">IF(Trends!$B$6&lt;&gt;"","",IF(COUNTIFS(VendorGroups[Source rank],19)=1,INDEX(VendorGroups[Source actions],MATCH(19,VendorGroups[Source rank],0)),""))</f>
        <v/>
      </c>
      <c r="H26" s="58" t="s">
        <v>172</v>
      </c>
      <c r="I26" s="58" t="s">
        <v>173</v>
      </c>
      <c r="J26" s="58" t="s">
        <v>174</v>
      </c>
      <c r="K26" s="58" t="s">
        <v>175</v>
      </c>
      <c r="L26" s="57" t="str">
        <f aca="false">IF(H26="","",I26&amp;IF(J26="",""," ["&amp;J26&amp;"]"))</f>
        <v>Thundercat Technology, LLC [UER4AJLUB8D5]</v>
      </c>
      <c r="M26" s="56" t="n">
        <f aca="false">IF(H26="","",SUMIFS(TransactionsData[Obligations],TransactionsData[Vendor ID],H26,TransactionsData[Selected],1))</f>
        <v>0</v>
      </c>
      <c r="N26" s="56" t="n">
        <f aca="false">IF(H26="","",SUMIFS(TransactionsData[Deobligations],TransactionsData[Vendor ID],H26,TransactionsData[Selected],1))</f>
        <v>0</v>
      </c>
      <c r="O26" s="57" t="n">
        <f aca="false">IF(H26="","",SUMIFS(TransactionsData[First vendor award],TransactionsData[Vendor ID],H26))</f>
        <v>0</v>
      </c>
      <c r="P26" s="57" t="n">
        <f aca="false">IF(H26="","",COUNTIFS(TransactionsData[Vendor ID],H26,TransactionsData[Selected],1))</f>
        <v>0</v>
      </c>
      <c r="Q26" s="57" t="str">
        <f aca="false">IF(OR(H26="",P26=0),"",COUNTIFS(VendorGroups[Source net],"&gt;"&amp;M26,VendorGroups[Source actions],"&gt;0")+COUNTIFS(VendorGroups[Source net],M26,VendorGroups[Record ID],"&lt;"&amp;H26,VendorGroups[Source actions],"&gt;0")+1)</f>
        <v/>
      </c>
      <c r="R26" s="57" t="str">
        <f aca="false">IF(H26="",IF(COUNTA(I26:K26)&gt;0,"Missing record ID",""),IF(COUNTIFS(VendorGroups[Record ID],H26)&lt;&gt;1,"Duplicate record ID",IF(I26="","Add name","")))</f>
        <v/>
      </c>
    </row>
    <row r="27" customFormat="false" ht="32" hidden="false" customHeight="true" outlineLevel="0" collapsed="false">
      <c r="A27" s="53" t="str">
        <f aca="false">IF(Trends!$B$6&lt;&gt;"","",IF(COUNTIFS(VendorGroups[Source rank],20)=1,20,""))</f>
        <v/>
      </c>
      <c r="B27" s="54" t="str">
        <f aca="false">IF(Trends!$B$6&lt;&gt;"","",IF(COUNTIFS(VendorGroups[Source rank],20)=1,IF(INDEX(VendorGroups[Source URL],MATCH(20,VendorGroups[Source rank],0))="",INDEX(VendorGroups[Source name],MATCH(20,VendorGroups[Source rank],0)),HYPERLINK(INDEX(VendorGroups[Source URL],MATCH(20,VendorGroups[Source rank],0)),INDEX(VendorGroups[Source name],MATCH(20,VendorGroups[Source rank],0)))),""))</f>
        <v/>
      </c>
      <c r="C27" s="55" t="str">
        <f aca="false">IF(Trends!$B$6&lt;&gt;"","",IF(COUNTIFS(VendorGroups[Source rank],20)=1,IF(INDEX(VendorGroups[Source UEI],MATCH(20,VendorGroups[Source rank],0))="","Not supplied",INDEX(VendorGroups[Source UEI],MATCH(20,VendorGroups[Source rank],0))),""))</f>
        <v/>
      </c>
      <c r="D27" s="56" t="str">
        <f aca="false">IF(Trends!$B$6&lt;&gt;"","",IF(COUNTIFS(VendorGroups[Source rank],20)=1,INDEX(VendorGroups[Source net],MATCH(20,VendorGroups[Source rank],0)),""))</f>
        <v/>
      </c>
      <c r="E27" s="56" t="str">
        <f aca="false">IF(Trends!$B$6&lt;&gt;"","",IF(COUNTIFS(VendorGroups[Source rank],20)=1,INDEX(VendorGroups[Source deobligations],MATCH(20,VendorGroups[Source rank],0)),""))</f>
        <v/>
      </c>
      <c r="F27" s="57" t="str">
        <f aca="false">IF(Trends!$B$6&lt;&gt;"","",IF(COUNTIFS(VendorGroups[Source rank],20)=1,INDEX(VendorGroups[Source awards],MATCH(20,VendorGroups[Source rank],0)),""))</f>
        <v/>
      </c>
      <c r="G27" s="57" t="str">
        <f aca="false">IF(Trends!$B$6&lt;&gt;"","",IF(COUNTIFS(VendorGroups[Source rank],20)=1,INDEX(VendorGroups[Source actions],MATCH(20,VendorGroups[Source rank],0)),""))</f>
        <v/>
      </c>
      <c r="H27" s="58" t="s">
        <v>176</v>
      </c>
      <c r="I27" s="58" t="s">
        <v>177</v>
      </c>
      <c r="J27" s="58" t="s">
        <v>178</v>
      </c>
      <c r="K27" s="58" t="s">
        <v>179</v>
      </c>
      <c r="L27" s="57" t="str">
        <f aca="false">IF(H27="","",I27&amp;IF(J27="",""," ["&amp;J27&amp;"]"))</f>
        <v>University Corporation For Advanced Internet Development [DZEBKFRD1ZN6]</v>
      </c>
      <c r="M27" s="56" t="n">
        <f aca="false">IF(H27="","",SUMIFS(TransactionsData[Obligations],TransactionsData[Vendor ID],H27,TransactionsData[Selected],1))</f>
        <v>39079</v>
      </c>
      <c r="N27" s="56" t="n">
        <f aca="false">IF(H27="","",SUMIFS(TransactionsData[Deobligations],TransactionsData[Vendor ID],H27,TransactionsData[Selected],1))</f>
        <v>0</v>
      </c>
      <c r="O27" s="57" t="n">
        <f aca="false">IF(H27="","",SUMIFS(TransactionsData[First vendor award],TransactionsData[Vendor ID],H27))</f>
        <v>1</v>
      </c>
      <c r="P27" s="57" t="n">
        <f aca="false">IF(H27="","",COUNTIFS(TransactionsData[Vendor ID],H27,TransactionsData[Selected],1))</f>
        <v>1</v>
      </c>
      <c r="Q27" s="57" t="n">
        <f aca="false">IF(OR(H27="",P27=0),"",COUNTIFS(VendorGroups[Source net],"&gt;"&amp;M27,VendorGroups[Source actions],"&gt;0")+COUNTIFS(VendorGroups[Source net],M27,VendorGroups[Record ID],"&lt;"&amp;H27,VendorGroups[Source actions],"&gt;0")+1)</f>
        <v>17</v>
      </c>
      <c r="R27" s="57" t="str">
        <f aca="false">IF(H27="",IF(COUNTA(I27:K27)&gt;0,"Missing record ID",""),IF(COUNTIFS(VendorGroups[Record ID],H27)&lt;&gt;1,"Duplicate record ID",IF(I27="","Add name","")))</f>
        <v/>
      </c>
    </row>
    <row r="28" customFormat="false" ht="32" hidden="false" customHeight="true" outlineLevel="0" collapsed="false">
      <c r="A28" s="53" t="str">
        <f aca="false">IF(Trends!$B$6&lt;&gt;"","",IF(COUNTIFS(VendorGroups[Source rank],21)=1,21,""))</f>
        <v/>
      </c>
      <c r="B28" s="54" t="str">
        <f aca="false">IF(Trends!$B$6&lt;&gt;"","",IF(COUNTIFS(VendorGroups[Source rank],21)=1,IF(INDEX(VendorGroups[Source URL],MATCH(21,VendorGroups[Source rank],0))="",INDEX(VendorGroups[Source name],MATCH(21,VendorGroups[Source rank],0)),HYPERLINK(INDEX(VendorGroups[Source URL],MATCH(21,VendorGroups[Source rank],0)),INDEX(VendorGroups[Source name],MATCH(21,VendorGroups[Source rank],0)))),""))</f>
        <v/>
      </c>
      <c r="C28" s="55" t="str">
        <f aca="false">IF(Trends!$B$6&lt;&gt;"","",IF(COUNTIFS(VendorGroups[Source rank],21)=1,IF(INDEX(VendorGroups[Source UEI],MATCH(21,VendorGroups[Source rank],0))="","Not supplied",INDEX(VendorGroups[Source UEI],MATCH(21,VendorGroups[Source rank],0))),""))</f>
        <v/>
      </c>
      <c r="D28" s="56" t="str">
        <f aca="false">IF(Trends!$B$6&lt;&gt;"","",IF(COUNTIFS(VendorGroups[Source rank],21)=1,INDEX(VendorGroups[Source net],MATCH(21,VendorGroups[Source rank],0)),""))</f>
        <v/>
      </c>
      <c r="E28" s="56" t="str">
        <f aca="false">IF(Trends!$B$6&lt;&gt;"","",IF(COUNTIFS(VendorGroups[Source rank],21)=1,INDEX(VendorGroups[Source deobligations],MATCH(21,VendorGroups[Source rank],0)),""))</f>
        <v/>
      </c>
      <c r="F28" s="57" t="str">
        <f aca="false">IF(Trends!$B$6&lt;&gt;"","",IF(COUNTIFS(VendorGroups[Source rank],21)=1,INDEX(VendorGroups[Source awards],MATCH(21,VendorGroups[Source rank],0)),""))</f>
        <v/>
      </c>
      <c r="G28" s="57" t="str">
        <f aca="false">IF(Trends!$B$6&lt;&gt;"","",IF(COUNTIFS(VendorGroups[Source rank],21)=1,INDEX(VendorGroups[Source actions],MATCH(21,VendorGroups[Source rank],0)),""))</f>
        <v/>
      </c>
      <c r="H28" s="58"/>
      <c r="I28" s="58"/>
      <c r="J28" s="58"/>
      <c r="K28" s="58"/>
      <c r="L28" s="57" t="str">
        <f aca="false">IF(H28="","",I28&amp;IF(J28="",""," ["&amp;J28&amp;"]"))</f>
        <v/>
      </c>
      <c r="M28" s="56" t="str">
        <f aca="false">IF(H28="","",SUMIFS(TransactionsData[Obligations],TransactionsData[Vendor ID],H28,TransactionsData[Selected],1))</f>
        <v/>
      </c>
      <c r="N28" s="56" t="str">
        <f aca="false">IF(H28="","",SUMIFS(TransactionsData[Deobligations],TransactionsData[Vendor ID],H28,TransactionsData[Selected],1))</f>
        <v/>
      </c>
      <c r="O28" s="57" t="str">
        <f aca="false">IF(H28="","",SUMIFS(TransactionsData[First vendor award],TransactionsData[Vendor ID],H28))</f>
        <v/>
      </c>
      <c r="P28" s="57" t="str">
        <f aca="false">IF(H28="","",COUNTIFS(TransactionsData[Vendor ID],H28,TransactionsData[Selected],1))</f>
        <v/>
      </c>
      <c r="Q28" s="57" t="str">
        <f aca="false">IF(OR(H28="",P28=0),"",COUNTIFS(VendorGroups[Source net],"&gt;"&amp;M28,VendorGroups[Source actions],"&gt;0")+COUNTIFS(VendorGroups[Source net],M28,VendorGroups[Record ID],"&lt;"&amp;H28,VendorGroups[Source actions],"&gt;0")+1)</f>
        <v/>
      </c>
      <c r="R28" s="57" t="str">
        <f aca="false">IF(H28="",IF(COUNTA(I28:K28)&gt;0,"Missing record ID",""),IF(COUNTIFS(VendorGroups[Record ID],H28)&lt;&gt;1,"Duplicate record ID",IF(I28="","Add name","")))</f>
        <v/>
      </c>
    </row>
    <row r="29" customFormat="false" ht="32" hidden="false" customHeight="true" outlineLevel="0" collapsed="false">
      <c r="A29" s="53" t="str">
        <f aca="false">IF(Trends!$B$6&lt;&gt;"","",IF(COUNTIFS(VendorGroups[Source rank],22)=1,22,""))</f>
        <v/>
      </c>
      <c r="B29" s="54" t="str">
        <f aca="false">IF(Trends!$B$6&lt;&gt;"","",IF(COUNTIFS(VendorGroups[Source rank],22)=1,IF(INDEX(VendorGroups[Source URL],MATCH(22,VendorGroups[Source rank],0))="",INDEX(VendorGroups[Source name],MATCH(22,VendorGroups[Source rank],0)),HYPERLINK(INDEX(VendorGroups[Source URL],MATCH(22,VendorGroups[Source rank],0)),INDEX(VendorGroups[Source name],MATCH(22,VendorGroups[Source rank],0)))),""))</f>
        <v/>
      </c>
      <c r="C29" s="55" t="str">
        <f aca="false">IF(Trends!$B$6&lt;&gt;"","",IF(COUNTIFS(VendorGroups[Source rank],22)=1,IF(INDEX(VendorGroups[Source UEI],MATCH(22,VendorGroups[Source rank],0))="","Not supplied",INDEX(VendorGroups[Source UEI],MATCH(22,VendorGroups[Source rank],0))),""))</f>
        <v/>
      </c>
      <c r="D29" s="56" t="str">
        <f aca="false">IF(Trends!$B$6&lt;&gt;"","",IF(COUNTIFS(VendorGroups[Source rank],22)=1,INDEX(VendorGroups[Source net],MATCH(22,VendorGroups[Source rank],0)),""))</f>
        <v/>
      </c>
      <c r="E29" s="56" t="str">
        <f aca="false">IF(Trends!$B$6&lt;&gt;"","",IF(COUNTIFS(VendorGroups[Source rank],22)=1,INDEX(VendorGroups[Source deobligations],MATCH(22,VendorGroups[Source rank],0)),""))</f>
        <v/>
      </c>
      <c r="F29" s="57" t="str">
        <f aca="false">IF(Trends!$B$6&lt;&gt;"","",IF(COUNTIFS(VendorGroups[Source rank],22)=1,INDEX(VendorGroups[Source awards],MATCH(22,VendorGroups[Source rank],0)),""))</f>
        <v/>
      </c>
      <c r="G29" s="57" t="str">
        <f aca="false">IF(Trends!$B$6&lt;&gt;"","",IF(COUNTIFS(VendorGroups[Source rank],22)=1,INDEX(VendorGroups[Source actions],MATCH(22,VendorGroups[Source rank],0)),""))</f>
        <v/>
      </c>
      <c r="H29" s="58"/>
      <c r="I29" s="58"/>
      <c r="J29" s="58"/>
      <c r="K29" s="58"/>
      <c r="L29" s="57" t="str">
        <f aca="false">IF(H29="","",I29&amp;IF(J29="",""," ["&amp;J29&amp;"]"))</f>
        <v/>
      </c>
      <c r="M29" s="56" t="str">
        <f aca="false">IF(H29="","",SUMIFS(TransactionsData[Obligations],TransactionsData[Vendor ID],H29,TransactionsData[Selected],1))</f>
        <v/>
      </c>
      <c r="N29" s="56" t="str">
        <f aca="false">IF(H29="","",SUMIFS(TransactionsData[Deobligations],TransactionsData[Vendor ID],H29,TransactionsData[Selected],1))</f>
        <v/>
      </c>
      <c r="O29" s="57" t="str">
        <f aca="false">IF(H29="","",SUMIFS(TransactionsData[First vendor award],TransactionsData[Vendor ID],H29))</f>
        <v/>
      </c>
      <c r="P29" s="57" t="str">
        <f aca="false">IF(H29="","",COUNTIFS(TransactionsData[Vendor ID],H29,TransactionsData[Selected],1))</f>
        <v/>
      </c>
      <c r="Q29" s="57" t="str">
        <f aca="false">IF(OR(H29="",P29=0),"",COUNTIFS(VendorGroups[Source net],"&gt;"&amp;M29,VendorGroups[Source actions],"&gt;0")+COUNTIFS(VendorGroups[Source net],M29,VendorGroups[Record ID],"&lt;"&amp;H29,VendorGroups[Source actions],"&gt;0")+1)</f>
        <v/>
      </c>
      <c r="R29" s="57" t="str">
        <f aca="false">IF(H29="",IF(COUNTA(I29:K29)&gt;0,"Missing record ID",""),IF(COUNTIFS(VendorGroups[Record ID],H29)&lt;&gt;1,"Duplicate record ID",IF(I29="","Add name","")))</f>
        <v/>
      </c>
    </row>
    <row r="30" customFormat="false" ht="32" hidden="false" customHeight="true" outlineLevel="0" collapsed="false">
      <c r="A30" s="53" t="str">
        <f aca="false">IF(Trends!$B$6&lt;&gt;"","",IF(COUNTIFS(VendorGroups[Source rank],23)=1,23,""))</f>
        <v/>
      </c>
      <c r="B30" s="54" t="str">
        <f aca="false">IF(Trends!$B$6&lt;&gt;"","",IF(COUNTIFS(VendorGroups[Source rank],23)=1,IF(INDEX(VendorGroups[Source URL],MATCH(23,VendorGroups[Source rank],0))="",INDEX(VendorGroups[Source name],MATCH(23,VendorGroups[Source rank],0)),HYPERLINK(INDEX(VendorGroups[Source URL],MATCH(23,VendorGroups[Source rank],0)),INDEX(VendorGroups[Source name],MATCH(23,VendorGroups[Source rank],0)))),""))</f>
        <v/>
      </c>
      <c r="C30" s="55" t="str">
        <f aca="false">IF(Trends!$B$6&lt;&gt;"","",IF(COUNTIFS(VendorGroups[Source rank],23)=1,IF(INDEX(VendorGroups[Source UEI],MATCH(23,VendorGroups[Source rank],0))="","Not supplied",INDEX(VendorGroups[Source UEI],MATCH(23,VendorGroups[Source rank],0))),""))</f>
        <v/>
      </c>
      <c r="D30" s="56" t="str">
        <f aca="false">IF(Trends!$B$6&lt;&gt;"","",IF(COUNTIFS(VendorGroups[Source rank],23)=1,INDEX(VendorGroups[Source net],MATCH(23,VendorGroups[Source rank],0)),""))</f>
        <v/>
      </c>
      <c r="E30" s="56" t="str">
        <f aca="false">IF(Trends!$B$6&lt;&gt;"","",IF(COUNTIFS(VendorGroups[Source rank],23)=1,INDEX(VendorGroups[Source deobligations],MATCH(23,VendorGroups[Source rank],0)),""))</f>
        <v/>
      </c>
      <c r="F30" s="57" t="str">
        <f aca="false">IF(Trends!$B$6&lt;&gt;"","",IF(COUNTIFS(VendorGroups[Source rank],23)=1,INDEX(VendorGroups[Source awards],MATCH(23,VendorGroups[Source rank],0)),""))</f>
        <v/>
      </c>
      <c r="G30" s="57" t="str">
        <f aca="false">IF(Trends!$B$6&lt;&gt;"","",IF(COUNTIFS(VendorGroups[Source rank],23)=1,INDEX(VendorGroups[Source actions],MATCH(23,VendorGroups[Source rank],0)),""))</f>
        <v/>
      </c>
      <c r="H30" s="58"/>
      <c r="I30" s="58"/>
      <c r="J30" s="58"/>
      <c r="K30" s="58"/>
      <c r="L30" s="57" t="str">
        <f aca="false">IF(H30="","",I30&amp;IF(J30="",""," ["&amp;J30&amp;"]"))</f>
        <v/>
      </c>
      <c r="M30" s="56" t="str">
        <f aca="false">IF(H30="","",SUMIFS(TransactionsData[Obligations],TransactionsData[Vendor ID],H30,TransactionsData[Selected],1))</f>
        <v/>
      </c>
      <c r="N30" s="56" t="str">
        <f aca="false">IF(H30="","",SUMIFS(TransactionsData[Deobligations],TransactionsData[Vendor ID],H30,TransactionsData[Selected],1))</f>
        <v/>
      </c>
      <c r="O30" s="57" t="str">
        <f aca="false">IF(H30="","",SUMIFS(TransactionsData[First vendor award],TransactionsData[Vendor ID],H30))</f>
        <v/>
      </c>
      <c r="P30" s="57" t="str">
        <f aca="false">IF(H30="","",COUNTIFS(TransactionsData[Vendor ID],H30,TransactionsData[Selected],1))</f>
        <v/>
      </c>
      <c r="Q30" s="57" t="str">
        <f aca="false">IF(OR(H30="",P30=0),"",COUNTIFS(VendorGroups[Source net],"&gt;"&amp;M30,VendorGroups[Source actions],"&gt;0")+COUNTIFS(VendorGroups[Source net],M30,VendorGroups[Record ID],"&lt;"&amp;H30,VendorGroups[Source actions],"&gt;0")+1)</f>
        <v/>
      </c>
      <c r="R30" s="57" t="str">
        <f aca="false">IF(H30="",IF(COUNTA(I30:K30)&gt;0,"Missing record ID",""),IF(COUNTIFS(VendorGroups[Record ID],H30)&lt;&gt;1,"Duplicate record ID",IF(I30="","Add name","")))</f>
        <v/>
      </c>
    </row>
    <row r="31" customFormat="false" ht="32" hidden="false" customHeight="true" outlineLevel="0" collapsed="false">
      <c r="A31" s="53" t="str">
        <f aca="false">IF(Trends!$B$6&lt;&gt;"","",IF(COUNTIFS(VendorGroups[Source rank],24)=1,24,""))</f>
        <v/>
      </c>
      <c r="B31" s="54" t="str">
        <f aca="false">IF(Trends!$B$6&lt;&gt;"","",IF(COUNTIFS(VendorGroups[Source rank],24)=1,IF(INDEX(VendorGroups[Source URL],MATCH(24,VendorGroups[Source rank],0))="",INDEX(VendorGroups[Source name],MATCH(24,VendorGroups[Source rank],0)),HYPERLINK(INDEX(VendorGroups[Source URL],MATCH(24,VendorGroups[Source rank],0)),INDEX(VendorGroups[Source name],MATCH(24,VendorGroups[Source rank],0)))),""))</f>
        <v/>
      </c>
      <c r="C31" s="55" t="str">
        <f aca="false">IF(Trends!$B$6&lt;&gt;"","",IF(COUNTIFS(VendorGroups[Source rank],24)=1,IF(INDEX(VendorGroups[Source UEI],MATCH(24,VendorGroups[Source rank],0))="","Not supplied",INDEX(VendorGroups[Source UEI],MATCH(24,VendorGroups[Source rank],0))),""))</f>
        <v/>
      </c>
      <c r="D31" s="56" t="str">
        <f aca="false">IF(Trends!$B$6&lt;&gt;"","",IF(COUNTIFS(VendorGroups[Source rank],24)=1,INDEX(VendorGroups[Source net],MATCH(24,VendorGroups[Source rank],0)),""))</f>
        <v/>
      </c>
      <c r="E31" s="56" t="str">
        <f aca="false">IF(Trends!$B$6&lt;&gt;"","",IF(COUNTIFS(VendorGroups[Source rank],24)=1,INDEX(VendorGroups[Source deobligations],MATCH(24,VendorGroups[Source rank],0)),""))</f>
        <v/>
      </c>
      <c r="F31" s="57" t="str">
        <f aca="false">IF(Trends!$B$6&lt;&gt;"","",IF(COUNTIFS(VendorGroups[Source rank],24)=1,INDEX(VendorGroups[Source awards],MATCH(24,VendorGroups[Source rank],0)),""))</f>
        <v/>
      </c>
      <c r="G31" s="57" t="str">
        <f aca="false">IF(Trends!$B$6&lt;&gt;"","",IF(COUNTIFS(VendorGroups[Source rank],24)=1,INDEX(VendorGroups[Source actions],MATCH(24,VendorGroups[Source rank],0)),""))</f>
        <v/>
      </c>
      <c r="H31" s="58"/>
      <c r="I31" s="58"/>
      <c r="J31" s="58"/>
      <c r="K31" s="58"/>
      <c r="L31" s="57" t="str">
        <f aca="false">IF(H31="","",I31&amp;IF(J31="",""," ["&amp;J31&amp;"]"))</f>
        <v/>
      </c>
      <c r="M31" s="56" t="str">
        <f aca="false">IF(H31="","",SUMIFS(TransactionsData[Obligations],TransactionsData[Vendor ID],H31,TransactionsData[Selected],1))</f>
        <v/>
      </c>
      <c r="N31" s="56" t="str">
        <f aca="false">IF(H31="","",SUMIFS(TransactionsData[Deobligations],TransactionsData[Vendor ID],H31,TransactionsData[Selected],1))</f>
        <v/>
      </c>
      <c r="O31" s="57" t="str">
        <f aca="false">IF(H31="","",SUMIFS(TransactionsData[First vendor award],TransactionsData[Vendor ID],H31))</f>
        <v/>
      </c>
      <c r="P31" s="57" t="str">
        <f aca="false">IF(H31="","",COUNTIFS(TransactionsData[Vendor ID],H31,TransactionsData[Selected],1))</f>
        <v/>
      </c>
      <c r="Q31" s="57" t="str">
        <f aca="false">IF(OR(H31="",P31=0),"",COUNTIFS(VendorGroups[Source net],"&gt;"&amp;M31,VendorGroups[Source actions],"&gt;0")+COUNTIFS(VendorGroups[Source net],M31,VendorGroups[Record ID],"&lt;"&amp;H31,VendorGroups[Source actions],"&gt;0")+1)</f>
        <v/>
      </c>
      <c r="R31" s="57" t="str">
        <f aca="false">IF(H31="",IF(COUNTA(I31:K31)&gt;0,"Missing record ID",""),IF(COUNTIFS(VendorGroups[Record ID],H31)&lt;&gt;1,"Duplicate record ID",IF(I31="","Add name","")))</f>
        <v/>
      </c>
    </row>
    <row r="32" customFormat="false" ht="32" hidden="false" customHeight="true" outlineLevel="0" collapsed="false">
      <c r="A32" s="53" t="str">
        <f aca="false">IF(Trends!$B$6&lt;&gt;"","",IF(COUNTIFS(VendorGroups[Source rank],25)=1,25,""))</f>
        <v/>
      </c>
      <c r="B32" s="54" t="str">
        <f aca="false">IF(Trends!$B$6&lt;&gt;"","",IF(COUNTIFS(VendorGroups[Source rank],25)=1,IF(INDEX(VendorGroups[Source URL],MATCH(25,VendorGroups[Source rank],0))="",INDEX(VendorGroups[Source name],MATCH(25,VendorGroups[Source rank],0)),HYPERLINK(INDEX(VendorGroups[Source URL],MATCH(25,VendorGroups[Source rank],0)),INDEX(VendorGroups[Source name],MATCH(25,VendorGroups[Source rank],0)))),""))</f>
        <v/>
      </c>
      <c r="C32" s="55" t="str">
        <f aca="false">IF(Trends!$B$6&lt;&gt;"","",IF(COUNTIFS(VendorGroups[Source rank],25)=1,IF(INDEX(VendorGroups[Source UEI],MATCH(25,VendorGroups[Source rank],0))="","Not supplied",INDEX(VendorGroups[Source UEI],MATCH(25,VendorGroups[Source rank],0))),""))</f>
        <v/>
      </c>
      <c r="D32" s="56" t="str">
        <f aca="false">IF(Trends!$B$6&lt;&gt;"","",IF(COUNTIFS(VendorGroups[Source rank],25)=1,INDEX(VendorGroups[Source net],MATCH(25,VendorGroups[Source rank],0)),""))</f>
        <v/>
      </c>
      <c r="E32" s="56" t="str">
        <f aca="false">IF(Trends!$B$6&lt;&gt;"","",IF(COUNTIFS(VendorGroups[Source rank],25)=1,INDEX(VendorGroups[Source deobligations],MATCH(25,VendorGroups[Source rank],0)),""))</f>
        <v/>
      </c>
      <c r="F32" s="57" t="str">
        <f aca="false">IF(Trends!$B$6&lt;&gt;"","",IF(COUNTIFS(VendorGroups[Source rank],25)=1,INDEX(VendorGroups[Source awards],MATCH(25,VendorGroups[Source rank],0)),""))</f>
        <v/>
      </c>
      <c r="G32" s="57" t="str">
        <f aca="false">IF(Trends!$B$6&lt;&gt;"","",IF(COUNTIFS(VendorGroups[Source rank],25)=1,INDEX(VendorGroups[Source actions],MATCH(25,VendorGroups[Source rank],0)),""))</f>
        <v/>
      </c>
      <c r="H32" s="58"/>
      <c r="I32" s="58"/>
      <c r="J32" s="58"/>
      <c r="K32" s="58"/>
      <c r="L32" s="57" t="str">
        <f aca="false">IF(H32="","",I32&amp;IF(J32="",""," ["&amp;J32&amp;"]"))</f>
        <v/>
      </c>
      <c r="M32" s="56" t="str">
        <f aca="false">IF(H32="","",SUMIFS(TransactionsData[Obligations],TransactionsData[Vendor ID],H32,TransactionsData[Selected],1))</f>
        <v/>
      </c>
      <c r="N32" s="56" t="str">
        <f aca="false">IF(H32="","",SUMIFS(TransactionsData[Deobligations],TransactionsData[Vendor ID],H32,TransactionsData[Selected],1))</f>
        <v/>
      </c>
      <c r="O32" s="57" t="str">
        <f aca="false">IF(H32="","",SUMIFS(TransactionsData[First vendor award],TransactionsData[Vendor ID],H32))</f>
        <v/>
      </c>
      <c r="P32" s="57" t="str">
        <f aca="false">IF(H32="","",COUNTIFS(TransactionsData[Vendor ID],H32,TransactionsData[Selected],1))</f>
        <v/>
      </c>
      <c r="Q32" s="57" t="str">
        <f aca="false">IF(OR(H32="",P32=0),"",COUNTIFS(VendorGroups[Source net],"&gt;"&amp;M32,VendorGroups[Source actions],"&gt;0")+COUNTIFS(VendorGroups[Source net],M32,VendorGroups[Record ID],"&lt;"&amp;H32,VendorGroups[Source actions],"&gt;0")+1)</f>
        <v/>
      </c>
      <c r="R32" s="57" t="str">
        <f aca="false">IF(H32="",IF(COUNTA(I32:K32)&gt;0,"Missing record ID",""),IF(COUNTIFS(VendorGroups[Record ID],H32)&lt;&gt;1,"Duplicate record ID",IF(I32="","Add name","")))</f>
        <v/>
      </c>
    </row>
    <row r="33" customFormat="false" ht="32" hidden="false" customHeight="true" outlineLevel="0" collapsed="false">
      <c r="A33" s="53" t="str">
        <f aca="false">IF(Trends!$B$6&lt;&gt;"","",IF(COUNTIFS(VendorGroups[Source rank],26)=1,26,""))</f>
        <v/>
      </c>
      <c r="B33" s="54" t="str">
        <f aca="false">IF(Trends!$B$6&lt;&gt;"","",IF(COUNTIFS(VendorGroups[Source rank],26)=1,IF(INDEX(VendorGroups[Source URL],MATCH(26,VendorGroups[Source rank],0))="",INDEX(VendorGroups[Source name],MATCH(26,VendorGroups[Source rank],0)),HYPERLINK(INDEX(VendorGroups[Source URL],MATCH(26,VendorGroups[Source rank],0)),INDEX(VendorGroups[Source name],MATCH(26,VendorGroups[Source rank],0)))),""))</f>
        <v/>
      </c>
      <c r="C33" s="55" t="str">
        <f aca="false">IF(Trends!$B$6&lt;&gt;"","",IF(COUNTIFS(VendorGroups[Source rank],26)=1,IF(INDEX(VendorGroups[Source UEI],MATCH(26,VendorGroups[Source rank],0))="","Not supplied",INDEX(VendorGroups[Source UEI],MATCH(26,VendorGroups[Source rank],0))),""))</f>
        <v/>
      </c>
      <c r="D33" s="56" t="str">
        <f aca="false">IF(Trends!$B$6&lt;&gt;"","",IF(COUNTIFS(VendorGroups[Source rank],26)=1,INDEX(VendorGroups[Source net],MATCH(26,VendorGroups[Source rank],0)),""))</f>
        <v/>
      </c>
      <c r="E33" s="56" t="str">
        <f aca="false">IF(Trends!$B$6&lt;&gt;"","",IF(COUNTIFS(VendorGroups[Source rank],26)=1,INDEX(VendorGroups[Source deobligations],MATCH(26,VendorGroups[Source rank],0)),""))</f>
        <v/>
      </c>
      <c r="F33" s="57" t="str">
        <f aca="false">IF(Trends!$B$6&lt;&gt;"","",IF(COUNTIFS(VendorGroups[Source rank],26)=1,INDEX(VendorGroups[Source awards],MATCH(26,VendorGroups[Source rank],0)),""))</f>
        <v/>
      </c>
      <c r="G33" s="57" t="str">
        <f aca="false">IF(Trends!$B$6&lt;&gt;"","",IF(COUNTIFS(VendorGroups[Source rank],26)=1,INDEX(VendorGroups[Source actions],MATCH(26,VendorGroups[Source rank],0)),""))</f>
        <v/>
      </c>
      <c r="H33" s="58"/>
      <c r="I33" s="58"/>
      <c r="J33" s="58"/>
      <c r="K33" s="58"/>
      <c r="L33" s="57" t="str">
        <f aca="false">IF(H33="","",I33&amp;IF(J33="",""," ["&amp;J33&amp;"]"))</f>
        <v/>
      </c>
      <c r="M33" s="56" t="str">
        <f aca="false">IF(H33="","",SUMIFS(TransactionsData[Obligations],TransactionsData[Vendor ID],H33,TransactionsData[Selected],1))</f>
        <v/>
      </c>
      <c r="N33" s="56" t="str">
        <f aca="false">IF(H33="","",SUMIFS(TransactionsData[Deobligations],TransactionsData[Vendor ID],H33,TransactionsData[Selected],1))</f>
        <v/>
      </c>
      <c r="O33" s="57" t="str">
        <f aca="false">IF(H33="","",SUMIFS(TransactionsData[First vendor award],TransactionsData[Vendor ID],H33))</f>
        <v/>
      </c>
      <c r="P33" s="57" t="str">
        <f aca="false">IF(H33="","",COUNTIFS(TransactionsData[Vendor ID],H33,TransactionsData[Selected],1))</f>
        <v/>
      </c>
      <c r="Q33" s="57" t="str">
        <f aca="false">IF(OR(H33="",P33=0),"",COUNTIFS(VendorGroups[Source net],"&gt;"&amp;M33,VendorGroups[Source actions],"&gt;0")+COUNTIFS(VendorGroups[Source net],M33,VendorGroups[Record ID],"&lt;"&amp;H33,VendorGroups[Source actions],"&gt;0")+1)</f>
        <v/>
      </c>
      <c r="R33" s="57" t="str">
        <f aca="false">IF(H33="",IF(COUNTA(I33:K33)&gt;0,"Missing record ID",""),IF(COUNTIFS(VendorGroups[Record ID],H33)&lt;&gt;1,"Duplicate record ID",IF(I33="","Add name","")))</f>
        <v/>
      </c>
    </row>
    <row r="34" customFormat="false" ht="32" hidden="false" customHeight="true" outlineLevel="0" collapsed="false">
      <c r="A34" s="53" t="str">
        <f aca="false">IF(Trends!$B$6&lt;&gt;"","",IF(COUNTIFS(VendorGroups[Source rank],27)=1,27,""))</f>
        <v/>
      </c>
      <c r="B34" s="54" t="str">
        <f aca="false">IF(Trends!$B$6&lt;&gt;"","",IF(COUNTIFS(VendorGroups[Source rank],27)=1,IF(INDEX(VendorGroups[Source URL],MATCH(27,VendorGroups[Source rank],0))="",INDEX(VendorGroups[Source name],MATCH(27,VendorGroups[Source rank],0)),HYPERLINK(INDEX(VendorGroups[Source URL],MATCH(27,VendorGroups[Source rank],0)),INDEX(VendorGroups[Source name],MATCH(27,VendorGroups[Source rank],0)))),""))</f>
        <v/>
      </c>
      <c r="C34" s="55" t="str">
        <f aca="false">IF(Trends!$B$6&lt;&gt;"","",IF(COUNTIFS(VendorGroups[Source rank],27)=1,IF(INDEX(VendorGroups[Source UEI],MATCH(27,VendorGroups[Source rank],0))="","Not supplied",INDEX(VendorGroups[Source UEI],MATCH(27,VendorGroups[Source rank],0))),""))</f>
        <v/>
      </c>
      <c r="D34" s="56" t="str">
        <f aca="false">IF(Trends!$B$6&lt;&gt;"","",IF(COUNTIFS(VendorGroups[Source rank],27)=1,INDEX(VendorGroups[Source net],MATCH(27,VendorGroups[Source rank],0)),""))</f>
        <v/>
      </c>
      <c r="E34" s="56" t="str">
        <f aca="false">IF(Trends!$B$6&lt;&gt;"","",IF(COUNTIFS(VendorGroups[Source rank],27)=1,INDEX(VendorGroups[Source deobligations],MATCH(27,VendorGroups[Source rank],0)),""))</f>
        <v/>
      </c>
      <c r="F34" s="57" t="str">
        <f aca="false">IF(Trends!$B$6&lt;&gt;"","",IF(COUNTIFS(VendorGroups[Source rank],27)=1,INDEX(VendorGroups[Source awards],MATCH(27,VendorGroups[Source rank],0)),""))</f>
        <v/>
      </c>
      <c r="G34" s="57" t="str">
        <f aca="false">IF(Trends!$B$6&lt;&gt;"","",IF(COUNTIFS(VendorGroups[Source rank],27)=1,INDEX(VendorGroups[Source actions],MATCH(27,VendorGroups[Source rank],0)),""))</f>
        <v/>
      </c>
      <c r="H34" s="58"/>
      <c r="I34" s="58"/>
      <c r="J34" s="58"/>
      <c r="K34" s="58"/>
      <c r="L34" s="57" t="str">
        <f aca="false">IF(H34="","",I34&amp;IF(J34="",""," ["&amp;J34&amp;"]"))</f>
        <v/>
      </c>
      <c r="M34" s="56" t="str">
        <f aca="false">IF(H34="","",SUMIFS(TransactionsData[Obligations],TransactionsData[Vendor ID],H34,TransactionsData[Selected],1))</f>
        <v/>
      </c>
      <c r="N34" s="56" t="str">
        <f aca="false">IF(H34="","",SUMIFS(TransactionsData[Deobligations],TransactionsData[Vendor ID],H34,TransactionsData[Selected],1))</f>
        <v/>
      </c>
      <c r="O34" s="57" t="str">
        <f aca="false">IF(H34="","",SUMIFS(TransactionsData[First vendor award],TransactionsData[Vendor ID],H34))</f>
        <v/>
      </c>
      <c r="P34" s="57" t="str">
        <f aca="false">IF(H34="","",COUNTIFS(TransactionsData[Vendor ID],H34,TransactionsData[Selected],1))</f>
        <v/>
      </c>
      <c r="Q34" s="57" t="str">
        <f aca="false">IF(OR(H34="",P34=0),"",COUNTIFS(VendorGroups[Source net],"&gt;"&amp;M34,VendorGroups[Source actions],"&gt;0")+COUNTIFS(VendorGroups[Source net],M34,VendorGroups[Record ID],"&lt;"&amp;H34,VendorGroups[Source actions],"&gt;0")+1)</f>
        <v/>
      </c>
      <c r="R34" s="57" t="str">
        <f aca="false">IF(H34="",IF(COUNTA(I34:K34)&gt;0,"Missing record ID",""),IF(COUNTIFS(VendorGroups[Record ID],H34)&lt;&gt;1,"Duplicate record ID",IF(I34="","Add name","")))</f>
        <v/>
      </c>
    </row>
    <row r="35" customFormat="false" ht="32" hidden="false" customHeight="true" outlineLevel="0" collapsed="false">
      <c r="A35" s="53" t="str">
        <f aca="false">IF(Trends!$B$6&lt;&gt;"","",IF(COUNTIFS(VendorGroups[Source rank],28)=1,28,""))</f>
        <v/>
      </c>
      <c r="B35" s="54" t="str">
        <f aca="false">IF(Trends!$B$6&lt;&gt;"","",IF(COUNTIFS(VendorGroups[Source rank],28)=1,IF(INDEX(VendorGroups[Source URL],MATCH(28,VendorGroups[Source rank],0))="",INDEX(VendorGroups[Source name],MATCH(28,VendorGroups[Source rank],0)),HYPERLINK(INDEX(VendorGroups[Source URL],MATCH(28,VendorGroups[Source rank],0)),INDEX(VendorGroups[Source name],MATCH(28,VendorGroups[Source rank],0)))),""))</f>
        <v/>
      </c>
      <c r="C35" s="55" t="str">
        <f aca="false">IF(Trends!$B$6&lt;&gt;"","",IF(COUNTIFS(VendorGroups[Source rank],28)=1,IF(INDEX(VendorGroups[Source UEI],MATCH(28,VendorGroups[Source rank],0))="","Not supplied",INDEX(VendorGroups[Source UEI],MATCH(28,VendorGroups[Source rank],0))),""))</f>
        <v/>
      </c>
      <c r="D35" s="56" t="str">
        <f aca="false">IF(Trends!$B$6&lt;&gt;"","",IF(COUNTIFS(VendorGroups[Source rank],28)=1,INDEX(VendorGroups[Source net],MATCH(28,VendorGroups[Source rank],0)),""))</f>
        <v/>
      </c>
      <c r="E35" s="56" t="str">
        <f aca="false">IF(Trends!$B$6&lt;&gt;"","",IF(COUNTIFS(VendorGroups[Source rank],28)=1,INDEX(VendorGroups[Source deobligations],MATCH(28,VendorGroups[Source rank],0)),""))</f>
        <v/>
      </c>
      <c r="F35" s="57" t="str">
        <f aca="false">IF(Trends!$B$6&lt;&gt;"","",IF(COUNTIFS(VendorGroups[Source rank],28)=1,INDEX(VendorGroups[Source awards],MATCH(28,VendorGroups[Source rank],0)),""))</f>
        <v/>
      </c>
      <c r="G35" s="57" t="str">
        <f aca="false">IF(Trends!$B$6&lt;&gt;"","",IF(COUNTIFS(VendorGroups[Source rank],28)=1,INDEX(VendorGroups[Source actions],MATCH(28,VendorGroups[Source rank],0)),""))</f>
        <v/>
      </c>
      <c r="H35" s="58"/>
      <c r="I35" s="58"/>
      <c r="J35" s="58"/>
      <c r="K35" s="58"/>
      <c r="L35" s="57" t="str">
        <f aca="false">IF(H35="","",I35&amp;IF(J35="",""," ["&amp;J35&amp;"]"))</f>
        <v/>
      </c>
      <c r="M35" s="56" t="str">
        <f aca="false">IF(H35="","",SUMIFS(TransactionsData[Obligations],TransactionsData[Vendor ID],H35,TransactionsData[Selected],1))</f>
        <v/>
      </c>
      <c r="N35" s="56" t="str">
        <f aca="false">IF(H35="","",SUMIFS(TransactionsData[Deobligations],TransactionsData[Vendor ID],H35,TransactionsData[Selected],1))</f>
        <v/>
      </c>
      <c r="O35" s="57" t="str">
        <f aca="false">IF(H35="","",SUMIFS(TransactionsData[First vendor award],TransactionsData[Vendor ID],H35))</f>
        <v/>
      </c>
      <c r="P35" s="57" t="str">
        <f aca="false">IF(H35="","",COUNTIFS(TransactionsData[Vendor ID],H35,TransactionsData[Selected],1))</f>
        <v/>
      </c>
      <c r="Q35" s="57" t="str">
        <f aca="false">IF(OR(H35="",P35=0),"",COUNTIFS(VendorGroups[Source net],"&gt;"&amp;M35,VendorGroups[Source actions],"&gt;0")+COUNTIFS(VendorGroups[Source net],M35,VendorGroups[Record ID],"&lt;"&amp;H35,VendorGroups[Source actions],"&gt;0")+1)</f>
        <v/>
      </c>
      <c r="R35" s="57" t="str">
        <f aca="false">IF(H35="",IF(COUNTA(I35:K35)&gt;0,"Missing record ID",""),IF(COUNTIFS(VendorGroups[Record ID],H35)&lt;&gt;1,"Duplicate record ID",IF(I35="","Add name","")))</f>
        <v/>
      </c>
    </row>
    <row r="36" customFormat="false" ht="32" hidden="false" customHeight="true" outlineLevel="0" collapsed="false">
      <c r="A36" s="5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customFormat="false" ht="32" hidden="false" customHeight="true" outlineLevel="0" collapsed="false">
      <c r="A37" s="51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customFormat="false" ht="32" hidden="false" customHeight="true" outlineLevel="0" collapsed="false">
      <c r="A38" s="5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customFormat="false" ht="32" hidden="false" customHeight="true" outlineLevel="0" collapsed="false">
      <c r="A39" s="51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customFormat="false" ht="36" hidden="false" customHeight="true" outlineLevel="0" collapsed="false">
      <c r="A40" s="47" t="s">
        <v>88</v>
      </c>
      <c r="B40" s="47" t="s">
        <v>28</v>
      </c>
      <c r="C40" s="47" t="s">
        <v>180</v>
      </c>
      <c r="D40" s="47" t="s">
        <v>19</v>
      </c>
      <c r="E40" s="47" t="s">
        <v>75</v>
      </c>
      <c r="F40" s="47" t="s">
        <v>22</v>
      </c>
      <c r="G40" s="47" t="s">
        <v>30</v>
      </c>
      <c r="H40" s="47" t="s">
        <v>90</v>
      </c>
      <c r="I40" s="47" t="s">
        <v>91</v>
      </c>
      <c r="J40" s="47" t="s">
        <v>92</v>
      </c>
      <c r="K40" s="47" t="s">
        <v>93</v>
      </c>
      <c r="L40" s="47" t="s">
        <v>94</v>
      </c>
      <c r="M40" s="47" t="s">
        <v>95</v>
      </c>
      <c r="N40" s="47" t="s">
        <v>96</v>
      </c>
      <c r="O40" s="47" t="s">
        <v>97</v>
      </c>
      <c r="P40" s="47" t="s">
        <v>98</v>
      </c>
      <c r="Q40" s="47" t="s">
        <v>99</v>
      </c>
      <c r="R40" s="47" t="s">
        <v>100</v>
      </c>
    </row>
    <row r="41" customFormat="false" ht="32" hidden="false" customHeight="true" outlineLevel="0" collapsed="false">
      <c r="A41" s="53" t="n">
        <f aca="false">IF(Trends!$B$6&lt;&gt;"","",IF(COUNTIFS(OfficeGroups[Source rank],1)=1,1,""))</f>
        <v>1</v>
      </c>
      <c r="B41" s="54" t="str">
        <f aca="false">IF(Trends!$B$6&lt;&gt;"","",IF(COUNTIFS(OfficeGroups[Source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f>
        <v>NSF — office not specified</v>
      </c>
      <c r="C41" s="57" t="str">
        <f aca="false">IF(Trends!$B$6&lt;&gt;"","",IF(COUNTIFS(OfficeGroups[Source rank],1)=1,IF(INDEX(OfficeGroups[Source UEI],MATCH(1,OfficeGroups[Source rank],0))="","Not supplied",INDEX(OfficeGroups[Source UEI],MATCH(1,OfficeGroups[Source rank],0))),""))</f>
        <v>4900-A</v>
      </c>
      <c r="D41" s="56" t="n">
        <f aca="false">IF(Trends!$B$6&lt;&gt;"","",IF(COUNTIFS(OfficeGroups[Source rank],1)=1,INDEX(OfficeGroups[Source net],MATCH(1,OfficeGroups[Source rank],0)),""))</f>
        <v>89345633.7</v>
      </c>
      <c r="E41" s="56" t="n">
        <f aca="false">IF(Trends!$B$6&lt;&gt;"","",IF(COUNTIFS(OfficeGroups[Source rank],1)=1,INDEX(OfficeGroups[Source deobligations],MATCH(1,OfficeGroups[Source rank],0)),""))</f>
        <v>-1128849.53</v>
      </c>
      <c r="F41" s="57" t="n">
        <f aca="false">IF(Trends!$B$6&lt;&gt;"","",IF(COUNTIFS(OfficeGroups[Source rank],1)=1,INDEX(OfficeGroups[Source awards],MATCH(1,OfficeGroups[Source rank],0)),""))</f>
        <v>19</v>
      </c>
      <c r="G41" s="57" t="n">
        <f aca="false">IF(Trends!$B$6&lt;&gt;"","",IF(COUNTIFS(OfficeGroups[Source rank],1)=1,INDEX(OfficeGroups[Source actions],MATCH(1,OfficeGroups[Source rank],0)),""))</f>
        <v>68</v>
      </c>
      <c r="H41" s="58" t="s">
        <v>181</v>
      </c>
      <c r="I41" s="58" t="s">
        <v>182</v>
      </c>
      <c r="J41" s="58" t="s">
        <v>183</v>
      </c>
      <c r="K41" s="58" t="s">
        <v>184</v>
      </c>
      <c r="L41" s="57" t="str">
        <f aca="false">IF(H41="","",I41&amp;IF(J41="",""," ["&amp;J41&amp;"]"))</f>
        <v>Directorate for Engineering [490700-A]</v>
      </c>
      <c r="M41" s="56" t="n">
        <f aca="false">IF(H41="","",SUMIFS(TransactionsData[Obligations],TransactionsData[Funding office ID],H41,TransactionsData[Selected],1))</f>
        <v>150188.63</v>
      </c>
      <c r="N41" s="56" t="n">
        <f aca="false">IF(H41="","",SUMIFS(TransactionsData[Deobligations],TransactionsData[Funding office ID],H41,TransactionsData[Selected],1))</f>
        <v>-77859</v>
      </c>
      <c r="O41" s="57" t="n">
        <f aca="false">IF(H41="","",SUMIFS(TransactionsData[First office award],TransactionsData[Funding office ID],H41))</f>
        <v>1</v>
      </c>
      <c r="P41" s="57" t="n">
        <f aca="false">IF(H41="","",COUNTIFS(TransactionsData[Funding office ID],H41,TransactionsData[Selected],1))</f>
        <v>2</v>
      </c>
      <c r="Q41" s="57" t="n">
        <f aca="false">IF(OR(H41="",P41=0),"",COUNTIFS(OfficeGroups[Source net],"&gt;"&amp;M41,OfficeGroups[Source actions],"&gt;0")+COUNTIFS(OfficeGroups[Source net],M41,OfficeGroups[Record ID],"&lt;"&amp;H41,OfficeGroups[Source actions],"&gt;0")+1)</f>
        <v>7</v>
      </c>
      <c r="R41" s="57" t="str">
        <f aca="false">IF(H41="",IF(COUNTA(I41:K41)&gt;0,"Missing record ID",""),IF(COUNTIFS(OfficeGroups[Record ID],H41)&lt;&gt;1,"Duplicate record ID",IF(I41="","Add name","")))</f>
        <v/>
      </c>
    </row>
    <row r="42" customFormat="false" ht="32" hidden="false" customHeight="true" outlineLevel="0" collapsed="false">
      <c r="A42" s="53" t="n">
        <f aca="false">IF(Trends!$B$6&lt;&gt;"","",IF(COUNTIFS(OfficeGroups[Source rank],2)=1,2,""))</f>
        <v>2</v>
      </c>
      <c r="B42" s="54" t="str">
        <f aca="false">IF(Trends!$B$6&lt;&gt;"","",IF(COUNTIFS(OfficeGroups[Source rank],2)=1,IF(INDEX(OfficeGroups[Source URL],MATCH(2,OfficeGroups[Source rank],0))="",INDEX(OfficeGroups[Source name],MATCH(2,OfficeGroups[Source rank],0)),HYPERLINK(INDEX(OfficeGroups[Source URL],MATCH(2,OfficeGroups[Source rank],0)),INDEX(OfficeGroups[Source name],MATCH(2,OfficeGroups[Source rank],0)))),""))</f>
        <v>Division of Information Systems</v>
      </c>
      <c r="C42" s="57" t="str">
        <f aca="false">IF(Trends!$B$6&lt;&gt;"","",IF(COUNTIFS(OfficeGroups[Source rank],2)=1,IF(INDEX(OfficeGroups[Source UEI],MATCH(2,OfficeGroups[Source rank],0))="","Not supplied",INDEX(OfficeGroups[Source UEI],MATCH(2,OfficeGroups[Source rank],0))),""))</f>
        <v>490209-A</v>
      </c>
      <c r="D42" s="56" t="n">
        <f aca="false">IF(Trends!$B$6&lt;&gt;"","",IF(COUNTIFS(OfficeGroups[Source rank],2)=1,INDEX(OfficeGroups[Source net],MATCH(2,OfficeGroups[Source rank],0)),""))</f>
        <v>26374874.04</v>
      </c>
      <c r="E42" s="56" t="n">
        <f aca="false">IF(Trends!$B$6&lt;&gt;"","",IF(COUNTIFS(OfficeGroups[Source rank],2)=1,INDEX(OfficeGroups[Source deobligations],MATCH(2,OfficeGroups[Source rank],0)),""))</f>
        <v>-80190</v>
      </c>
      <c r="F42" s="57" t="n">
        <f aca="false">IF(Trends!$B$6&lt;&gt;"","",IF(COUNTIFS(OfficeGroups[Source rank],2)=1,INDEX(OfficeGroups[Source awards],MATCH(2,OfficeGroups[Source rank],0)),""))</f>
        <v>10</v>
      </c>
      <c r="G42" s="57" t="n">
        <f aca="false">IF(Trends!$B$6&lt;&gt;"","",IF(COUNTIFS(OfficeGroups[Source rank],2)=1,INDEX(OfficeGroups[Source actions],MATCH(2,OfficeGroups[Source rank],0)),""))</f>
        <v>24</v>
      </c>
      <c r="H42" s="58" t="s">
        <v>185</v>
      </c>
      <c r="I42" s="58" t="s">
        <v>186</v>
      </c>
      <c r="J42" s="58" t="s">
        <v>187</v>
      </c>
      <c r="K42" s="58" t="s">
        <v>188</v>
      </c>
      <c r="L42" s="57" t="str">
        <f aca="false">IF(H42="","",I42&amp;IF(J42="",""," ["&amp;J42&amp;"]"))</f>
        <v>Directorate of Geosciences [490600-A]</v>
      </c>
      <c r="M42" s="56" t="n">
        <f aca="false">IF(H42="","",SUMIFS(TransactionsData[Obligations],TransactionsData[Funding office ID],H42,TransactionsData[Selected],1))</f>
        <v>495382.97</v>
      </c>
      <c r="N42" s="56" t="n">
        <f aca="false">IF(H42="","",SUMIFS(TransactionsData[Deobligations],TransactionsData[Funding office ID],H42,TransactionsData[Selected],1))</f>
        <v>-13437.43</v>
      </c>
      <c r="O42" s="57" t="n">
        <f aca="false">IF(H42="","",SUMIFS(TransactionsData[First office award],TransactionsData[Funding office ID],H42))</f>
        <v>1</v>
      </c>
      <c r="P42" s="57" t="n">
        <f aca="false">IF(H42="","",COUNTIFS(TransactionsData[Funding office ID],H42,TransactionsData[Selected],1))</f>
        <v>2</v>
      </c>
      <c r="Q42" s="57" t="n">
        <f aca="false">IF(OR(H42="",P42=0),"",COUNTIFS(OfficeGroups[Source net],"&gt;"&amp;M42,OfficeGroups[Source actions],"&gt;0")+COUNTIFS(OfficeGroups[Source net],M42,OfficeGroups[Record ID],"&lt;"&amp;H42,OfficeGroups[Source actions],"&gt;0")+1)</f>
        <v>5</v>
      </c>
      <c r="R42" s="57" t="str">
        <f aca="false">IF(H42="",IF(COUNTA(I42:K42)&gt;0,"Missing record ID",""),IF(COUNTIFS(OfficeGroups[Record ID],H42)&lt;&gt;1,"Duplicate record ID",IF(I42="","Add name","")))</f>
        <v/>
      </c>
    </row>
    <row r="43" customFormat="false" ht="32" hidden="false" customHeight="true" outlineLevel="0" collapsed="false">
      <c r="A43" s="53" t="n">
        <f aca="false">IF(Trends!$B$6&lt;&gt;"","",IF(COUNTIFS(OfficeGroups[Source rank],3)=1,3,""))</f>
        <v>3</v>
      </c>
      <c r="B43" s="54" t="str">
        <f aca="false">IF(Trends!$B$6&lt;&gt;"","",IF(COUNTIFS(OfficeGroups[Source rank],3)=1,IF(INDEX(OfficeGroups[Source URL],MATCH(3,OfficeGroups[Source rank],0))="",INDEX(OfficeGroups[Source name],MATCH(3,OfficeGroups[Source rank],0)),HYPERLINK(INDEX(OfficeGroups[Source URL],MATCH(3,OfficeGroups[Source rank],0)),INDEX(OfficeGroups[Source name],MATCH(3,OfficeGroups[Source rank],0)))),""))</f>
        <v>Division of Social and Economic Science</v>
      </c>
      <c r="C43" s="57" t="str">
        <f aca="false">IF(Trends!$B$6&lt;&gt;"","",IF(COUNTIFS(OfficeGroups[Source rank],3)=1,IF(INDEX(OfficeGroups[Source UEI],MATCH(3,OfficeGroups[Source rank],0))="","Not supplied",INDEX(OfficeGroups[Source UEI],MATCH(3,OfficeGroups[Source rank],0))),""))</f>
        <v>490405-A</v>
      </c>
      <c r="D43" s="56" t="n">
        <f aca="false">IF(Trends!$B$6&lt;&gt;"","",IF(COUNTIFS(OfficeGroups[Source rank],3)=1,INDEX(OfficeGroups[Source net],MATCH(3,OfficeGroups[Source rank],0)),""))</f>
        <v>2603796</v>
      </c>
      <c r="E43" s="56" t="n">
        <f aca="false">IF(Trends!$B$6&lt;&gt;"","",IF(COUNTIFS(OfficeGroups[Source rank],3)=1,INDEX(OfficeGroups[Source deobligations],MATCH(3,OfficeGroups[Source rank],0)),""))</f>
        <v>0</v>
      </c>
      <c r="F43" s="57" t="n">
        <f aca="false">IF(Trends!$B$6&lt;&gt;"","",IF(COUNTIFS(OfficeGroups[Source rank],3)=1,INDEX(OfficeGroups[Source awards],MATCH(3,OfficeGroups[Source rank],0)),""))</f>
        <v>1</v>
      </c>
      <c r="G43" s="57" t="n">
        <f aca="false">IF(Trends!$B$6&lt;&gt;"","",IF(COUNTIFS(OfficeGroups[Source rank],3)=1,INDEX(OfficeGroups[Source actions],MATCH(3,OfficeGroups[Source rank],0)),""))</f>
        <v>2</v>
      </c>
      <c r="H43" s="58" t="s">
        <v>189</v>
      </c>
      <c r="I43" s="58" t="s">
        <v>190</v>
      </c>
      <c r="J43" s="58" t="s">
        <v>191</v>
      </c>
      <c r="K43" s="58" t="s">
        <v>192</v>
      </c>
      <c r="L43" s="57" t="str">
        <f aca="false">IF(H43="","",I43&amp;IF(J43="",""," ["&amp;J43&amp;"]"))</f>
        <v>Division of Acquisition and Cooperative Support [491004-A]</v>
      </c>
      <c r="M43" s="56" t="n">
        <f aca="false">IF(H43="","",SUMIFS(TransactionsData[Obligations],TransactionsData[Funding office ID],H43,TransactionsData[Selected],1))</f>
        <v>0</v>
      </c>
      <c r="N43" s="56" t="n">
        <f aca="false">IF(H43="","",SUMIFS(TransactionsData[Deobligations],TransactionsData[Funding office ID],H43,TransactionsData[Selected],1))</f>
        <v>0</v>
      </c>
      <c r="O43" s="57" t="n">
        <f aca="false">IF(H43="","",SUMIFS(TransactionsData[First office award],TransactionsData[Funding office ID],H43))</f>
        <v>0</v>
      </c>
      <c r="P43" s="57" t="n">
        <f aca="false">IF(H43="","",COUNTIFS(TransactionsData[Funding office ID],H43,TransactionsData[Selected],1))</f>
        <v>0</v>
      </c>
      <c r="Q43" s="57" t="str">
        <f aca="false">IF(OR(H43="",P43=0),"",COUNTIFS(OfficeGroups[Source net],"&gt;"&amp;M43,OfficeGroups[Source actions],"&gt;0")+COUNTIFS(OfficeGroups[Source net],M43,OfficeGroups[Record ID],"&lt;"&amp;H43,OfficeGroups[Source actions],"&gt;0")+1)</f>
        <v/>
      </c>
      <c r="R43" s="57" t="str">
        <f aca="false">IF(H43="",IF(COUNTA(I43:K43)&gt;0,"Missing record ID",""),IF(COUNTIFS(OfficeGroups[Record ID],H43)&lt;&gt;1,"Duplicate record ID",IF(I43="","Add name","")))</f>
        <v/>
      </c>
    </row>
    <row r="44" customFormat="false" ht="32" hidden="false" customHeight="true" outlineLevel="0" collapsed="false">
      <c r="A44" s="53" t="n">
        <f aca="false">IF(Trends!$B$6&lt;&gt;"","",IF(COUNTIFS(OfficeGroups[Source rank],4)=1,4,""))</f>
        <v>4</v>
      </c>
      <c r="B44" s="54" t="str">
        <f aca="false">IF(Trends!$B$6&lt;&gt;"","",IF(COUNTIFS(OfficeGroups[Source rank],4)=1,IF(INDEX(OfficeGroups[Source URL],MATCH(4,OfficeGroups[Source rank],0))="",INDEX(OfficeGroups[Source name],MATCH(4,OfficeGroups[Source rank],0)),HYPERLINK(INDEX(OfficeGroups[Source URL],MATCH(4,OfficeGroups[Source rank],0)),INDEX(OfficeGroups[Source name],MATCH(4,OfficeGroups[Source rank],0)))),""))</f>
        <v>National Center for Science and Engineering Statistics</v>
      </c>
      <c r="C44" s="57" t="str">
        <f aca="false">IF(Trends!$B$6&lt;&gt;"","",IF(COUNTIFS(OfficeGroups[Source rank],4)=1,IF(INDEX(OfficeGroups[Source UEI],MATCH(4,OfficeGroups[Source rank],0))="","Not supplied",INDEX(OfficeGroups[Source UEI],MATCH(4,OfficeGroups[Source rank],0))),""))</f>
        <v>490403-A</v>
      </c>
      <c r="D44" s="56" t="n">
        <f aca="false">IF(Trends!$B$6&lt;&gt;"","",IF(COUNTIFS(OfficeGroups[Source rank],4)=1,INDEX(OfficeGroups[Source net],MATCH(4,OfficeGroups[Source rank],0)),""))</f>
        <v>840658.87</v>
      </c>
      <c r="E44" s="56" t="n">
        <f aca="false">IF(Trends!$B$6&lt;&gt;"","",IF(COUNTIFS(OfficeGroups[Source rank],4)=1,INDEX(OfficeGroups[Source deobligations],MATCH(4,OfficeGroups[Source rank],0)),""))</f>
        <v>0</v>
      </c>
      <c r="F44" s="57" t="n">
        <f aca="false">IF(Trends!$B$6&lt;&gt;"","",IF(COUNTIFS(OfficeGroups[Source rank],4)=1,INDEX(OfficeGroups[Source awards],MATCH(4,OfficeGroups[Source rank],0)),""))</f>
        <v>1</v>
      </c>
      <c r="G44" s="57" t="n">
        <f aca="false">IF(Trends!$B$6&lt;&gt;"","",IF(COUNTIFS(OfficeGroups[Source rank],4)=1,INDEX(OfficeGroups[Source actions],MATCH(4,OfficeGroups[Source rank],0)),""))</f>
        <v>3</v>
      </c>
      <c r="H44" s="58" t="s">
        <v>193</v>
      </c>
      <c r="I44" s="58" t="s">
        <v>194</v>
      </c>
      <c r="J44" s="58" t="s">
        <v>195</v>
      </c>
      <c r="K44" s="58" t="s">
        <v>196</v>
      </c>
      <c r="L44" s="57" t="str">
        <f aca="false">IF(H44="","",I44&amp;IF(J44="",""," ["&amp;J44&amp;"]"))</f>
        <v>Division of Industrial Innovation [490707-A]</v>
      </c>
      <c r="M44" s="56" t="n">
        <f aca="false">IF(H44="","",SUMIFS(TransactionsData[Obligations],TransactionsData[Funding office ID],H44,TransactionsData[Selected],1))</f>
        <v>-90.35</v>
      </c>
      <c r="N44" s="56" t="n">
        <f aca="false">IF(H44="","",SUMIFS(TransactionsData[Deobligations],TransactionsData[Funding office ID],H44,TransactionsData[Selected],1))</f>
        <v>-90.35</v>
      </c>
      <c r="O44" s="57" t="n">
        <f aca="false">IF(H44="","",SUMIFS(TransactionsData[First office award],TransactionsData[Funding office ID],H44))</f>
        <v>1</v>
      </c>
      <c r="P44" s="57" t="n">
        <f aca="false">IF(H44="","",COUNTIFS(TransactionsData[Funding office ID],H44,TransactionsData[Selected],1))</f>
        <v>1</v>
      </c>
      <c r="Q44" s="57" t="n">
        <f aca="false">IF(OR(H44="",P44=0),"",COUNTIFS(OfficeGroups[Source net],"&gt;"&amp;M44,OfficeGroups[Source actions],"&gt;0")+COUNTIFS(OfficeGroups[Source net],M44,OfficeGroups[Record ID],"&lt;"&amp;H44,OfficeGroups[Source actions],"&gt;0")+1)</f>
        <v>10</v>
      </c>
      <c r="R44" s="57" t="str">
        <f aca="false">IF(H44="",IF(COUNTA(I44:K44)&gt;0,"Missing record ID",""),IF(COUNTIFS(OfficeGroups[Record ID],H44)&lt;&gt;1,"Duplicate record ID",IF(I44="","Add name","")))</f>
        <v/>
      </c>
    </row>
    <row r="45" customFormat="false" ht="32" hidden="false" customHeight="true" outlineLevel="0" collapsed="false">
      <c r="A45" s="53" t="n">
        <f aca="false">IF(Trends!$B$6&lt;&gt;"","",IF(COUNTIFS(OfficeGroups[Source rank],5)=1,5,""))</f>
        <v>5</v>
      </c>
      <c r="B45" s="54" t="str">
        <f aca="false">IF(Trends!$B$6&lt;&gt;"","",IF(COUNTIFS(OfficeGroups[Source rank],5)=1,IF(INDEX(OfficeGroups[Source URL],MATCH(5,OfficeGroups[Source rank],0))="",INDEX(OfficeGroups[Source name],MATCH(5,OfficeGroups[Source rank],0)),HYPERLINK(INDEX(OfficeGroups[Source URL],MATCH(5,OfficeGroups[Source rank],0)),INDEX(OfficeGroups[Source name],MATCH(5,OfficeGroups[Source rank],0)))),""))</f>
        <v>Directorate of Geosciences</v>
      </c>
      <c r="C45" s="57" t="str">
        <f aca="false">IF(Trends!$B$6&lt;&gt;"","",IF(COUNTIFS(OfficeGroups[Source rank],5)=1,IF(INDEX(OfficeGroups[Source UEI],MATCH(5,OfficeGroups[Source rank],0))="","Not supplied",INDEX(OfficeGroups[Source UEI],MATCH(5,OfficeGroups[Source rank],0))),""))</f>
        <v>490600-A</v>
      </c>
      <c r="D45" s="56" t="n">
        <f aca="false">IF(Trends!$B$6&lt;&gt;"","",IF(COUNTIFS(OfficeGroups[Source rank],5)=1,INDEX(OfficeGroups[Source net],MATCH(5,OfficeGroups[Source rank],0)),""))</f>
        <v>495382.97</v>
      </c>
      <c r="E45" s="56" t="n">
        <f aca="false">IF(Trends!$B$6&lt;&gt;"","",IF(COUNTIFS(OfficeGroups[Source rank],5)=1,INDEX(OfficeGroups[Source deobligations],MATCH(5,OfficeGroups[Source rank],0)),""))</f>
        <v>-13437.43</v>
      </c>
      <c r="F45" s="57" t="n">
        <f aca="false">IF(Trends!$B$6&lt;&gt;"","",IF(COUNTIFS(OfficeGroups[Source rank],5)=1,INDEX(OfficeGroups[Source awards],MATCH(5,OfficeGroups[Source rank],0)),""))</f>
        <v>1</v>
      </c>
      <c r="G45" s="57" t="n">
        <f aca="false">IF(Trends!$B$6&lt;&gt;"","",IF(COUNTIFS(OfficeGroups[Source rank],5)=1,INDEX(OfficeGroups[Source actions],MATCH(5,OfficeGroups[Source rank],0)),""))</f>
        <v>2</v>
      </c>
      <c r="H45" s="58" t="s">
        <v>197</v>
      </c>
      <c r="I45" s="58" t="s">
        <v>198</v>
      </c>
      <c r="J45" s="58" t="s">
        <v>199</v>
      </c>
      <c r="K45" s="58" t="s">
        <v>200</v>
      </c>
      <c r="L45" s="57" t="str">
        <f aca="false">IF(H45="","",I45&amp;IF(J45="",""," ["&amp;J45&amp;"]"))</f>
        <v>Division of Information Systems [490209-A]</v>
      </c>
      <c r="M45" s="56" t="n">
        <f aca="false">IF(H45="","",SUMIFS(TransactionsData[Obligations],TransactionsData[Funding office ID],H45,TransactionsData[Selected],1))</f>
        <v>26374874.04</v>
      </c>
      <c r="N45" s="56" t="n">
        <f aca="false">IF(H45="","",SUMIFS(TransactionsData[Deobligations],TransactionsData[Funding office ID],H45,TransactionsData[Selected],1))</f>
        <v>-80190</v>
      </c>
      <c r="O45" s="57" t="n">
        <f aca="false">IF(H45="","",SUMIFS(TransactionsData[First office award],TransactionsData[Funding office ID],H45))</f>
        <v>10</v>
      </c>
      <c r="P45" s="57" t="n">
        <f aca="false">IF(H45="","",COUNTIFS(TransactionsData[Funding office ID],H45,TransactionsData[Selected],1))</f>
        <v>24</v>
      </c>
      <c r="Q45" s="57" t="n">
        <f aca="false">IF(OR(H45="",P45=0),"",COUNTIFS(OfficeGroups[Source net],"&gt;"&amp;M45,OfficeGroups[Source actions],"&gt;0")+COUNTIFS(OfficeGroups[Source net],M45,OfficeGroups[Record ID],"&lt;"&amp;H45,OfficeGroups[Source actions],"&gt;0")+1)</f>
        <v>2</v>
      </c>
      <c r="R45" s="57" t="str">
        <f aca="false">IF(H45="",IF(COUNTA(I45:K45)&gt;0,"Missing record ID",""),IF(COUNTIFS(OfficeGroups[Record ID],H45)&lt;&gt;1,"Duplicate record ID",IF(I45="","Add name","")))</f>
        <v/>
      </c>
    </row>
    <row r="46" customFormat="false" ht="32" hidden="false" customHeight="true" outlineLevel="0" collapsed="false">
      <c r="A46" s="53" t="n">
        <f aca="false">IF(Trends!$B$6&lt;&gt;"","",IF(COUNTIFS(OfficeGroups[Source rank],6)=1,6,""))</f>
        <v>6</v>
      </c>
      <c r="B46" s="54" t="str">
        <f aca="false">IF(Trends!$B$6&lt;&gt;"","",IF(COUNTIFS(OfficeGroups[Source rank],6)=1,IF(INDEX(OfficeGroups[Source URL],MATCH(6,OfficeGroups[Source rank],0))="",INDEX(OfficeGroups[Source name],MATCH(6,OfficeGroups[Source rank],0)),HYPERLINK(INDEX(OfficeGroups[Source URL],MATCH(6,OfficeGroups[Source rank],0)),INDEX(OfficeGroups[Source name],MATCH(6,OfficeGroups[Source rank],0)))),""))</f>
        <v>Office of the Inspector General</v>
      </c>
      <c r="C46" s="57" t="str">
        <f aca="false">IF(Trends!$B$6&lt;&gt;"","",IF(COUNTIFS(OfficeGroups[Source rank],6)=1,IF(INDEX(OfficeGroups[Source UEI],MATCH(6,OfficeGroups[Source rank],0))="","Not supplied",INDEX(OfficeGroups[Source UEI],MATCH(6,OfficeGroups[Source rank],0))),""))</f>
        <v>490002-A</v>
      </c>
      <c r="D46" s="56" t="n">
        <f aca="false">IF(Trends!$B$6&lt;&gt;"","",IF(COUNTIFS(OfficeGroups[Source rank],6)=1,INDEX(OfficeGroups[Source net],MATCH(6,OfficeGroups[Source rank],0)),""))</f>
        <v>489791.72</v>
      </c>
      <c r="E46" s="56" t="n">
        <f aca="false">IF(Trends!$B$6&lt;&gt;"","",IF(COUNTIFS(OfficeGroups[Source rank],6)=1,INDEX(OfficeGroups[Source deobligations],MATCH(6,OfficeGroups[Source rank],0)),""))</f>
        <v>0</v>
      </c>
      <c r="F46" s="57" t="n">
        <f aca="false">IF(Trends!$B$6&lt;&gt;"","",IF(COUNTIFS(OfficeGroups[Source rank],6)=1,INDEX(OfficeGroups[Source awards],MATCH(6,OfficeGroups[Source rank],0)),""))</f>
        <v>1</v>
      </c>
      <c r="G46" s="57" t="n">
        <f aca="false">IF(Trends!$B$6&lt;&gt;"","",IF(COUNTIFS(OfficeGroups[Source rank],6)=1,INDEX(OfficeGroups[Source actions],MATCH(6,OfficeGroups[Source rank],0)),""))</f>
        <v>1</v>
      </c>
      <c r="H46" s="58" t="s">
        <v>201</v>
      </c>
      <c r="I46" s="58" t="s">
        <v>202</v>
      </c>
      <c r="J46" s="58" t="s">
        <v>203</v>
      </c>
      <c r="K46" s="58" t="s">
        <v>204</v>
      </c>
      <c r="L46" s="57" t="str">
        <f aca="false">IF(H46="","",I46&amp;IF(J46="",""," ["&amp;J46&amp;"]"))</f>
        <v>Division of Social and Economic Science [490405-A]</v>
      </c>
      <c r="M46" s="56" t="n">
        <f aca="false">IF(H46="","",SUMIFS(TransactionsData[Obligations],TransactionsData[Funding office ID],H46,TransactionsData[Selected],1))</f>
        <v>2603796</v>
      </c>
      <c r="N46" s="56" t="n">
        <f aca="false">IF(H46="","",SUMIFS(TransactionsData[Deobligations],TransactionsData[Funding office ID],H46,TransactionsData[Selected],1))</f>
        <v>0</v>
      </c>
      <c r="O46" s="57" t="n">
        <f aca="false">IF(H46="","",SUMIFS(TransactionsData[First office award],TransactionsData[Funding office ID],H46))</f>
        <v>1</v>
      </c>
      <c r="P46" s="57" t="n">
        <f aca="false">IF(H46="","",COUNTIFS(TransactionsData[Funding office ID],H46,TransactionsData[Selected],1))</f>
        <v>2</v>
      </c>
      <c r="Q46" s="57" t="n">
        <f aca="false">IF(OR(H46="",P46=0),"",COUNTIFS(OfficeGroups[Source net],"&gt;"&amp;M46,OfficeGroups[Source actions],"&gt;0")+COUNTIFS(OfficeGroups[Source net],M46,OfficeGroups[Record ID],"&lt;"&amp;H46,OfficeGroups[Source actions],"&gt;0")+1)</f>
        <v>3</v>
      </c>
      <c r="R46" s="57" t="str">
        <f aca="false">IF(H46="",IF(COUNTA(I46:K46)&gt;0,"Missing record ID",""),IF(COUNTIFS(OfficeGroups[Record ID],H46)&lt;&gt;1,"Duplicate record ID",IF(I46="","Add name","")))</f>
        <v/>
      </c>
    </row>
    <row r="47" customFormat="false" ht="32" hidden="false" customHeight="true" outlineLevel="0" collapsed="false">
      <c r="A47" s="53" t="n">
        <f aca="false">IF(Trends!$B$6&lt;&gt;"","",IF(COUNTIFS(OfficeGroups[Source rank],7)=1,7,""))</f>
        <v>7</v>
      </c>
      <c r="B47" s="54" t="str">
        <f aca="false">IF(Trends!$B$6&lt;&gt;"","",IF(COUNTIFS(OfficeGroups[Source rank],7)=1,IF(INDEX(OfficeGroups[Source URL],MATCH(7,OfficeGroups[Source rank],0))="",INDEX(OfficeGroups[Source name],MATCH(7,OfficeGroups[Source rank],0)),HYPERLINK(INDEX(OfficeGroups[Source URL],MATCH(7,OfficeGroups[Source rank],0)),INDEX(OfficeGroups[Source name],MATCH(7,OfficeGroups[Source rank],0)))),""))</f>
        <v>Directorate for Engineering</v>
      </c>
      <c r="C47" s="57" t="str">
        <f aca="false">IF(Trends!$B$6&lt;&gt;"","",IF(COUNTIFS(OfficeGroups[Source rank],7)=1,IF(INDEX(OfficeGroups[Source UEI],MATCH(7,OfficeGroups[Source rank],0))="","Not supplied",INDEX(OfficeGroups[Source UEI],MATCH(7,OfficeGroups[Source rank],0))),""))</f>
        <v>490700-A</v>
      </c>
      <c r="D47" s="56" t="n">
        <f aca="false">IF(Trends!$B$6&lt;&gt;"","",IF(COUNTIFS(OfficeGroups[Source rank],7)=1,INDEX(OfficeGroups[Source net],MATCH(7,OfficeGroups[Source rank],0)),""))</f>
        <v>150188.63</v>
      </c>
      <c r="E47" s="56" t="n">
        <f aca="false">IF(Trends!$B$6&lt;&gt;"","",IF(COUNTIFS(OfficeGroups[Source rank],7)=1,INDEX(OfficeGroups[Source deobligations],MATCH(7,OfficeGroups[Source rank],0)),""))</f>
        <v>-77859</v>
      </c>
      <c r="F47" s="57" t="n">
        <f aca="false">IF(Trends!$B$6&lt;&gt;"","",IF(COUNTIFS(OfficeGroups[Source rank],7)=1,INDEX(OfficeGroups[Source awards],MATCH(7,OfficeGroups[Source rank],0)),""))</f>
        <v>1</v>
      </c>
      <c r="G47" s="57" t="n">
        <f aca="false">IF(Trends!$B$6&lt;&gt;"","",IF(COUNTIFS(OfficeGroups[Source rank],7)=1,INDEX(OfficeGroups[Source actions],MATCH(7,OfficeGroups[Source rank],0)),""))</f>
        <v>2</v>
      </c>
      <c r="H47" s="58" t="s">
        <v>205</v>
      </c>
      <c r="I47" s="58" t="s">
        <v>206</v>
      </c>
      <c r="J47" s="58" t="s">
        <v>207</v>
      </c>
      <c r="K47" s="58" t="s">
        <v>208</v>
      </c>
      <c r="L47" s="57" t="str">
        <f aca="false">IF(H47="","",I47&amp;IF(J47="",""," ["&amp;J47&amp;"]"))</f>
        <v>National Center for Science and Engineering Statistics [490403-A]</v>
      </c>
      <c r="M47" s="56" t="n">
        <f aca="false">IF(H47="","",SUMIFS(TransactionsData[Obligations],TransactionsData[Funding office ID],H47,TransactionsData[Selected],1))</f>
        <v>840658.87</v>
      </c>
      <c r="N47" s="56" t="n">
        <f aca="false">IF(H47="","",SUMIFS(TransactionsData[Deobligations],TransactionsData[Funding office ID],H47,TransactionsData[Selected],1))</f>
        <v>0</v>
      </c>
      <c r="O47" s="57" t="n">
        <f aca="false">IF(H47="","",SUMIFS(TransactionsData[First office award],TransactionsData[Funding office ID],H47))</f>
        <v>1</v>
      </c>
      <c r="P47" s="57" t="n">
        <f aca="false">IF(H47="","",COUNTIFS(TransactionsData[Funding office ID],H47,TransactionsData[Selected],1))</f>
        <v>3</v>
      </c>
      <c r="Q47" s="57" t="n">
        <f aca="false">IF(OR(H47="",P47=0),"",COUNTIFS(OfficeGroups[Source net],"&gt;"&amp;M47,OfficeGroups[Source actions],"&gt;0")+COUNTIFS(OfficeGroups[Source net],M47,OfficeGroups[Record ID],"&lt;"&amp;H47,OfficeGroups[Source actions],"&gt;0")+1)</f>
        <v>4</v>
      </c>
      <c r="R47" s="57" t="str">
        <f aca="false">IF(H47="",IF(COUNTA(I47:K47)&gt;0,"Missing record ID",""),IF(COUNTIFS(OfficeGroups[Record ID],H47)&lt;&gt;1,"Duplicate record ID",IF(I47="","Add name","")))</f>
        <v/>
      </c>
    </row>
    <row r="48" customFormat="false" ht="32" hidden="false" customHeight="true" outlineLevel="0" collapsed="false">
      <c r="A48" s="53" t="n">
        <f aca="false">IF(Trends!$B$6&lt;&gt;"","",IF(COUNTIFS(OfficeGroups[Source rank],8)=1,8,""))</f>
        <v>8</v>
      </c>
      <c r="B48" s="54" t="str">
        <f aca="false">IF(Trends!$B$6&lt;&gt;"","",IF(COUNTIFS(OfficeGroups[Source rank],8)=1,IF(INDEX(OfficeGroups[Source URL],MATCH(8,OfficeGroups[Source rank],0))="",INDEX(OfficeGroups[Source name],MATCH(8,OfficeGroups[Source rank],0)),HYPERLINK(INDEX(OfficeGroups[Source URL],MATCH(8,OfficeGroups[Source rank],0)),INDEX(OfficeGroups[Source name],MATCH(8,OfficeGroups[Source rank],0)))),""))</f>
        <v>National Science Board</v>
      </c>
      <c r="C48" s="57" t="str">
        <f aca="false">IF(Trends!$B$6&lt;&gt;"","",IF(COUNTIFS(OfficeGroups[Source rank],8)=1,IF(INDEX(OfficeGroups[Source UEI],MATCH(8,OfficeGroups[Source rank],0))="","Not supplied",INDEX(OfficeGroups[Source UEI],MATCH(8,OfficeGroups[Source rank],0))),""))</f>
        <v>490001-A</v>
      </c>
      <c r="D48" s="56" t="n">
        <f aca="false">IF(Trends!$B$6&lt;&gt;"","",IF(COUNTIFS(OfficeGroups[Source rank],8)=1,INDEX(OfficeGroups[Source net],MATCH(8,OfficeGroups[Source rank],0)),""))</f>
        <v>16430.4</v>
      </c>
      <c r="E48" s="56" t="n">
        <f aca="false">IF(Trends!$B$6&lt;&gt;"","",IF(COUNTIFS(OfficeGroups[Source rank],8)=1,INDEX(OfficeGroups[Source deobligations],MATCH(8,OfficeGroups[Source rank],0)),""))</f>
        <v>0</v>
      </c>
      <c r="F48" s="57" t="n">
        <f aca="false">IF(Trends!$B$6&lt;&gt;"","",IF(COUNTIFS(OfficeGroups[Source rank],8)=1,INDEX(OfficeGroups[Source awards],MATCH(8,OfficeGroups[Source rank],0)),""))</f>
        <v>1</v>
      </c>
      <c r="G48" s="57" t="n">
        <f aca="false">IF(Trends!$B$6&lt;&gt;"","",IF(COUNTIFS(OfficeGroups[Source rank],8)=1,INDEX(OfficeGroups[Source actions],MATCH(8,OfficeGroups[Source rank],0)),""))</f>
        <v>2</v>
      </c>
      <c r="H48" s="58" t="s">
        <v>209</v>
      </c>
      <c r="I48" s="58" t="s">
        <v>210</v>
      </c>
      <c r="J48" s="58" t="s">
        <v>211</v>
      </c>
      <c r="K48" s="58" t="s">
        <v>212</v>
      </c>
      <c r="L48" s="57" t="str">
        <f aca="false">IF(H48="","",I48&amp;IF(J48="",""," ["&amp;J48&amp;"]"))</f>
        <v>National Science Board [490001-A]</v>
      </c>
      <c r="M48" s="56" t="n">
        <f aca="false">IF(H48="","",SUMIFS(TransactionsData[Obligations],TransactionsData[Funding office ID],H48,TransactionsData[Selected],1))</f>
        <v>16430.4</v>
      </c>
      <c r="N48" s="56" t="n">
        <f aca="false">IF(H48="","",SUMIFS(TransactionsData[Deobligations],TransactionsData[Funding office ID],H48,TransactionsData[Selected],1))</f>
        <v>0</v>
      </c>
      <c r="O48" s="57" t="n">
        <f aca="false">IF(H48="","",SUMIFS(TransactionsData[First office award],TransactionsData[Funding office ID],H48))</f>
        <v>1</v>
      </c>
      <c r="P48" s="57" t="n">
        <f aca="false">IF(H48="","",COUNTIFS(TransactionsData[Funding office ID],H48,TransactionsData[Selected],1))</f>
        <v>2</v>
      </c>
      <c r="Q48" s="57" t="n">
        <f aca="false">IF(OR(H48="",P48=0),"",COUNTIFS(OfficeGroups[Source net],"&gt;"&amp;M48,OfficeGroups[Source actions],"&gt;0")+COUNTIFS(OfficeGroups[Source net],M48,OfficeGroups[Record ID],"&lt;"&amp;H48,OfficeGroups[Source actions],"&gt;0")+1)</f>
        <v>8</v>
      </c>
      <c r="R48" s="57" t="str">
        <f aca="false">IF(H48="",IF(COUNTA(I48:K48)&gt;0,"Missing record ID",""),IF(COUNTIFS(OfficeGroups[Record ID],H48)&lt;&gt;1,"Duplicate record ID",IF(I48="","Add name","")))</f>
        <v/>
      </c>
    </row>
    <row r="49" customFormat="false" ht="32" hidden="false" customHeight="true" outlineLevel="0" collapsed="false">
      <c r="A49" s="53" t="n">
        <f aca="false">IF(Trends!$B$6&lt;&gt;"","",IF(COUNTIFS(OfficeGroups[Source rank],9)=1,9,""))</f>
        <v>9</v>
      </c>
      <c r="B49" s="54" t="str">
        <f aca="false">IF(Trends!$B$6&lt;&gt;"","",IF(COUNTIFS(OfficeGroups[Source rank],9)=1,IF(INDEX(OfficeGroups[Source URL],MATCH(9,OfficeGroups[Source rank],0))="",INDEX(OfficeGroups[Source name],MATCH(9,OfficeGroups[Source rank],0)),HYPERLINK(INDEX(OfficeGroups[Source URL],MATCH(9,OfficeGroups[Source rank],0)),INDEX(OfficeGroups[Source name],MATCH(9,OfficeGroups[Source rank],0)))),""))</f>
        <v>Office of Budget Finance and Award Management</v>
      </c>
      <c r="C49" s="57" t="str">
        <f aca="false">IF(Trends!$B$6&lt;&gt;"","",IF(COUNTIFS(OfficeGroups[Source rank],9)=1,IF(INDEX(OfficeGroups[Source UEI],MATCH(9,OfficeGroups[Source rank],0))="","Not supplied",INDEX(OfficeGroups[Source UEI],MATCH(9,OfficeGroups[Source rank],0))),""))</f>
        <v>491000-A</v>
      </c>
      <c r="D49" s="56" t="n">
        <f aca="false">IF(Trends!$B$6&lt;&gt;"","",IF(COUNTIFS(OfficeGroups[Source rank],9)=1,INDEX(OfficeGroups[Source net],MATCH(9,OfficeGroups[Source rank],0)),""))</f>
        <v>0</v>
      </c>
      <c r="E49" s="56" t="n">
        <f aca="false">IF(Trends!$B$6&lt;&gt;"","",IF(COUNTIFS(OfficeGroups[Source rank],9)=1,INDEX(OfficeGroups[Source deobligations],MATCH(9,OfficeGroups[Source rank],0)),""))</f>
        <v>0</v>
      </c>
      <c r="F49" s="57" t="n">
        <f aca="false">IF(Trends!$B$6&lt;&gt;"","",IF(COUNTIFS(OfficeGroups[Source rank],9)=1,INDEX(OfficeGroups[Source awards],MATCH(9,OfficeGroups[Source rank],0)),""))</f>
        <v>0</v>
      </c>
      <c r="G49" s="57" t="n">
        <f aca="false">IF(Trends!$B$6&lt;&gt;"","",IF(COUNTIFS(OfficeGroups[Source rank],9)=1,INDEX(OfficeGroups[Source actions],MATCH(9,OfficeGroups[Source rank],0)),""))</f>
        <v>1</v>
      </c>
      <c r="H49" s="58" t="s">
        <v>213</v>
      </c>
      <c r="I49" s="58" t="s">
        <v>214</v>
      </c>
      <c r="J49" s="58" t="s">
        <v>213</v>
      </c>
      <c r="K49" s="58" t="s">
        <v>215</v>
      </c>
      <c r="L49" s="57" t="str">
        <f aca="false">IF(H49="","",I49&amp;IF(J49="",""," ["&amp;J49&amp;"]"))</f>
        <v>NSF — office not specified [4900-A]</v>
      </c>
      <c r="M49" s="56" t="n">
        <f aca="false">IF(H49="","",SUMIFS(TransactionsData[Obligations],TransactionsData[Funding office ID],H49,TransactionsData[Selected],1))</f>
        <v>89345633.7</v>
      </c>
      <c r="N49" s="56" t="n">
        <f aca="false">IF(H49="","",SUMIFS(TransactionsData[Deobligations],TransactionsData[Funding office ID],H49,TransactionsData[Selected],1))</f>
        <v>-1128849.53</v>
      </c>
      <c r="O49" s="57" t="n">
        <f aca="false">IF(H49="","",SUMIFS(TransactionsData[First office award],TransactionsData[Funding office ID],H49))</f>
        <v>19</v>
      </c>
      <c r="P49" s="57" t="n">
        <f aca="false">IF(H49="","",COUNTIFS(TransactionsData[Funding office ID],H49,TransactionsData[Selected],1))</f>
        <v>68</v>
      </c>
      <c r="Q49" s="57" t="n">
        <f aca="false">IF(OR(H49="",P49=0),"",COUNTIFS(OfficeGroups[Source net],"&gt;"&amp;M49,OfficeGroups[Source actions],"&gt;0")+COUNTIFS(OfficeGroups[Source net],M49,OfficeGroups[Record ID],"&lt;"&amp;H49,OfficeGroups[Source actions],"&gt;0")+1)</f>
        <v>1</v>
      </c>
      <c r="R49" s="57" t="str">
        <f aca="false">IF(H49="",IF(COUNTA(I49:K49)&gt;0,"Missing record ID",""),IF(COUNTIFS(OfficeGroups[Record ID],H49)&lt;&gt;1,"Duplicate record ID",IF(I49="","Add name","")))</f>
        <v/>
      </c>
    </row>
    <row r="50" customFormat="false" ht="32" hidden="false" customHeight="true" outlineLevel="0" collapsed="false">
      <c r="A50" s="53" t="n">
        <f aca="false">IF(Trends!$B$6&lt;&gt;"","",IF(COUNTIFS(OfficeGroups[Source rank],10)=1,10,""))</f>
        <v>10</v>
      </c>
      <c r="B50" s="54" t="str">
        <f aca="false">IF(Trends!$B$6&lt;&gt;"","",IF(COUNTIFS(OfficeGroups[Source rank],10)=1,IF(INDEX(OfficeGroups[Source URL],MATCH(10,OfficeGroups[Source rank],0))="",INDEX(OfficeGroups[Source name],MATCH(10,OfficeGroups[Source rank],0)),HYPERLINK(INDEX(OfficeGroups[Source URL],MATCH(10,OfficeGroups[Source rank],0)),INDEX(OfficeGroups[Source name],MATCH(10,OfficeGroups[Source rank],0)))),""))</f>
        <v>Division of Industrial Innovation</v>
      </c>
      <c r="C50" s="57" t="str">
        <f aca="false">IF(Trends!$B$6&lt;&gt;"","",IF(COUNTIFS(OfficeGroups[Source rank],10)=1,IF(INDEX(OfficeGroups[Source UEI],MATCH(10,OfficeGroups[Source rank],0))="","Not supplied",INDEX(OfficeGroups[Source UEI],MATCH(10,OfficeGroups[Source rank],0))),""))</f>
        <v>490707-A</v>
      </c>
      <c r="D50" s="56" t="n">
        <f aca="false">IF(Trends!$B$6&lt;&gt;"","",IF(COUNTIFS(OfficeGroups[Source rank],10)=1,INDEX(OfficeGroups[Source net],MATCH(10,OfficeGroups[Source rank],0)),""))</f>
        <v>-90.35</v>
      </c>
      <c r="E50" s="56" t="n">
        <f aca="false">IF(Trends!$B$6&lt;&gt;"","",IF(COUNTIFS(OfficeGroups[Source rank],10)=1,INDEX(OfficeGroups[Source deobligations],MATCH(10,OfficeGroups[Source rank],0)),""))</f>
        <v>-90.35</v>
      </c>
      <c r="F50" s="57" t="n">
        <f aca="false">IF(Trends!$B$6&lt;&gt;"","",IF(COUNTIFS(OfficeGroups[Source rank],10)=1,INDEX(OfficeGroups[Source awards],MATCH(10,OfficeGroups[Source rank],0)),""))</f>
        <v>1</v>
      </c>
      <c r="G50" s="57" t="n">
        <f aca="false">IF(Trends!$B$6&lt;&gt;"","",IF(COUNTIFS(OfficeGroups[Source rank],10)=1,INDEX(OfficeGroups[Source actions],MATCH(10,OfficeGroups[Source rank],0)),""))</f>
        <v>1</v>
      </c>
      <c r="H50" s="58" t="s">
        <v>216</v>
      </c>
      <c r="I50" s="58" t="s">
        <v>217</v>
      </c>
      <c r="J50" s="58" t="s">
        <v>218</v>
      </c>
      <c r="K50" s="58" t="s">
        <v>219</v>
      </c>
      <c r="L50" s="57" t="str">
        <f aca="false">IF(H50="","",I50&amp;IF(J50="",""," ["&amp;J50&amp;"]"))</f>
        <v>Office of Budget Finance and Award Management [491000-A]</v>
      </c>
      <c r="M50" s="56" t="n">
        <f aca="false">IF(H50="","",SUMIFS(TransactionsData[Obligations],TransactionsData[Funding office ID],H50,TransactionsData[Selected],1))</f>
        <v>0</v>
      </c>
      <c r="N50" s="56" t="n">
        <f aca="false">IF(H50="","",SUMIFS(TransactionsData[Deobligations],TransactionsData[Funding office ID],H50,TransactionsData[Selected],1))</f>
        <v>0</v>
      </c>
      <c r="O50" s="57" t="n">
        <f aca="false">IF(H50="","",SUMIFS(TransactionsData[First office award],TransactionsData[Funding office ID],H50))</f>
        <v>0</v>
      </c>
      <c r="P50" s="57" t="n">
        <f aca="false">IF(H50="","",COUNTIFS(TransactionsData[Funding office ID],H50,TransactionsData[Selected],1))</f>
        <v>1</v>
      </c>
      <c r="Q50" s="57" t="n">
        <f aca="false">IF(OR(H50="",P50=0),"",COUNTIFS(OfficeGroups[Source net],"&gt;"&amp;M50,OfficeGroups[Source actions],"&gt;0")+COUNTIFS(OfficeGroups[Source net],M50,OfficeGroups[Record ID],"&lt;"&amp;H50,OfficeGroups[Source actions],"&gt;0")+1)</f>
        <v>9</v>
      </c>
      <c r="R50" s="57" t="str">
        <f aca="false">IF(H50="",IF(COUNTA(I50:K50)&gt;0,"Missing record ID",""),IF(COUNTIFS(OfficeGroups[Record ID],H50)&lt;&gt;1,"Duplicate record ID",IF(I50="","Add name","")))</f>
        <v/>
      </c>
    </row>
    <row r="51" customFormat="false" ht="32" hidden="false" customHeight="true" outlineLevel="0" collapsed="false">
      <c r="A51" s="53" t="str">
        <f aca="false">IF(Trends!$B$6&lt;&gt;"","",IF(COUNTIFS(OfficeGroups[Source rank],11)=1,11,""))</f>
        <v/>
      </c>
      <c r="B51" s="54" t="str">
        <f aca="false">IF(Trends!$B$6&lt;&gt;"","",IF(COUNTIFS(OfficeGroups[Source rank],11)=1,IF(INDEX(OfficeGroups[Source URL],MATCH(11,OfficeGroups[Source rank],0))="",INDEX(OfficeGroups[Source name],MATCH(11,OfficeGroups[Source rank],0)),HYPERLINK(INDEX(OfficeGroups[Source URL],MATCH(11,OfficeGroups[Source rank],0)),INDEX(OfficeGroups[Source name],MATCH(11,OfficeGroups[Source rank],0)))),""))</f>
        <v/>
      </c>
      <c r="C51" s="57" t="str">
        <f aca="false">IF(Trends!$B$6&lt;&gt;"","",IF(COUNTIFS(OfficeGroups[Source rank],11)=1,IF(INDEX(OfficeGroups[Source UEI],MATCH(11,OfficeGroups[Source rank],0))="","Not supplied",INDEX(OfficeGroups[Source UEI],MATCH(11,OfficeGroups[Source rank],0))),""))</f>
        <v/>
      </c>
      <c r="D51" s="56" t="str">
        <f aca="false">IF(Trends!$B$6&lt;&gt;"","",IF(COUNTIFS(OfficeGroups[Source rank],11)=1,INDEX(OfficeGroups[Source net],MATCH(11,OfficeGroups[Source rank],0)),""))</f>
        <v/>
      </c>
      <c r="E51" s="56" t="str">
        <f aca="false">IF(Trends!$B$6&lt;&gt;"","",IF(COUNTIFS(OfficeGroups[Source rank],11)=1,INDEX(OfficeGroups[Source deobligations],MATCH(11,OfficeGroups[Source rank],0)),""))</f>
        <v/>
      </c>
      <c r="F51" s="57" t="str">
        <f aca="false">IF(Trends!$B$6&lt;&gt;"","",IF(COUNTIFS(OfficeGroups[Source rank],11)=1,INDEX(OfficeGroups[Source awards],MATCH(11,OfficeGroups[Source rank],0)),""))</f>
        <v/>
      </c>
      <c r="G51" s="57" t="str">
        <f aca="false">IF(Trends!$B$6&lt;&gt;"","",IF(COUNTIFS(OfficeGroups[Source rank],11)=1,INDEX(OfficeGroups[Source actions],MATCH(11,OfficeGroups[Source rank],0)),""))</f>
        <v/>
      </c>
      <c r="H51" s="58" t="s">
        <v>220</v>
      </c>
      <c r="I51" s="58" t="s">
        <v>221</v>
      </c>
      <c r="J51" s="58" t="s">
        <v>222</v>
      </c>
      <c r="K51" s="58" t="s">
        <v>223</v>
      </c>
      <c r="L51" s="57" t="str">
        <f aca="false">IF(H51="","",I51&amp;IF(J51="",""," ["&amp;J51&amp;"]"))</f>
        <v>Office of Information Resource Management [490200-A]</v>
      </c>
      <c r="M51" s="56" t="n">
        <f aca="false">IF(H51="","",SUMIFS(TransactionsData[Obligations],TransactionsData[Funding office ID],H51,TransactionsData[Selected],1))</f>
        <v>0</v>
      </c>
      <c r="N51" s="56" t="n">
        <f aca="false">IF(H51="","",SUMIFS(TransactionsData[Deobligations],TransactionsData[Funding office ID],H51,TransactionsData[Selected],1))</f>
        <v>0</v>
      </c>
      <c r="O51" s="57" t="n">
        <f aca="false">IF(H51="","",SUMIFS(TransactionsData[First office award],TransactionsData[Funding office ID],H51))</f>
        <v>0</v>
      </c>
      <c r="P51" s="57" t="n">
        <f aca="false">IF(H51="","",COUNTIFS(TransactionsData[Funding office ID],H51,TransactionsData[Selected],1))</f>
        <v>0</v>
      </c>
      <c r="Q51" s="57" t="str">
        <f aca="false">IF(OR(H51="",P51=0),"",COUNTIFS(OfficeGroups[Source net],"&gt;"&amp;M51,OfficeGroups[Source actions],"&gt;0")+COUNTIFS(OfficeGroups[Source net],M51,OfficeGroups[Record ID],"&lt;"&amp;H51,OfficeGroups[Source actions],"&gt;0")+1)</f>
        <v/>
      </c>
      <c r="R51" s="57" t="str">
        <f aca="false">IF(H51="",IF(COUNTA(I51:K51)&gt;0,"Missing record ID",""),IF(COUNTIFS(OfficeGroups[Record ID],H51)&lt;&gt;1,"Duplicate record ID",IF(I51="","Add name","")))</f>
        <v/>
      </c>
    </row>
    <row r="52" customFormat="false" ht="32" hidden="false" customHeight="true" outlineLevel="0" collapsed="false">
      <c r="A52" s="53" t="str">
        <f aca="false">IF(Trends!$B$6&lt;&gt;"","",IF(COUNTIFS(OfficeGroups[Source rank],12)=1,12,""))</f>
        <v/>
      </c>
      <c r="B52" s="54" t="str">
        <f aca="false">IF(Trends!$B$6&lt;&gt;"","",IF(COUNTIFS(OfficeGroups[Source rank],12)=1,IF(INDEX(OfficeGroups[Source URL],MATCH(12,OfficeGroups[Source rank],0))="",INDEX(OfficeGroups[Source name],MATCH(12,OfficeGroups[Source rank],0)),HYPERLINK(INDEX(OfficeGroups[Source URL],MATCH(12,OfficeGroups[Source rank],0)),INDEX(OfficeGroups[Source name],MATCH(12,OfficeGroups[Source rank],0)))),""))</f>
        <v/>
      </c>
      <c r="C52" s="57" t="str">
        <f aca="false">IF(Trends!$B$6&lt;&gt;"","",IF(COUNTIFS(OfficeGroups[Source rank],12)=1,IF(INDEX(OfficeGroups[Source UEI],MATCH(12,OfficeGroups[Source rank],0))="","Not supplied",INDEX(OfficeGroups[Source UEI],MATCH(12,OfficeGroups[Source rank],0))),""))</f>
        <v/>
      </c>
      <c r="D52" s="56" t="str">
        <f aca="false">IF(Trends!$B$6&lt;&gt;"","",IF(COUNTIFS(OfficeGroups[Source rank],12)=1,INDEX(OfficeGroups[Source net],MATCH(12,OfficeGroups[Source rank],0)),""))</f>
        <v/>
      </c>
      <c r="E52" s="56" t="str">
        <f aca="false">IF(Trends!$B$6&lt;&gt;"","",IF(COUNTIFS(OfficeGroups[Source rank],12)=1,INDEX(OfficeGroups[Source deobligations],MATCH(12,OfficeGroups[Source rank],0)),""))</f>
        <v/>
      </c>
      <c r="F52" s="57" t="str">
        <f aca="false">IF(Trends!$B$6&lt;&gt;"","",IF(COUNTIFS(OfficeGroups[Source rank],12)=1,INDEX(OfficeGroups[Source awards],MATCH(12,OfficeGroups[Source rank],0)),""))</f>
        <v/>
      </c>
      <c r="G52" s="57" t="str">
        <f aca="false">IF(Trends!$B$6&lt;&gt;"","",IF(COUNTIFS(OfficeGroups[Source rank],12)=1,INDEX(OfficeGroups[Source actions],MATCH(12,OfficeGroups[Source rank],0)),""))</f>
        <v/>
      </c>
      <c r="H52" s="58" t="s">
        <v>224</v>
      </c>
      <c r="I52" s="58" t="s">
        <v>225</v>
      </c>
      <c r="J52" s="58" t="s">
        <v>226</v>
      </c>
      <c r="K52" s="58" t="s">
        <v>227</v>
      </c>
      <c r="L52" s="57" t="str">
        <f aca="false">IF(H52="","",I52&amp;IF(J52="",""," ["&amp;J52&amp;"]"))</f>
        <v>Office of the Inspector General [490002-A]</v>
      </c>
      <c r="M52" s="56" t="n">
        <f aca="false">IF(H52="","",SUMIFS(TransactionsData[Obligations],TransactionsData[Funding office ID],H52,TransactionsData[Selected],1))</f>
        <v>489791.72</v>
      </c>
      <c r="N52" s="56" t="n">
        <f aca="false">IF(H52="","",SUMIFS(TransactionsData[Deobligations],TransactionsData[Funding office ID],H52,TransactionsData[Selected],1))</f>
        <v>0</v>
      </c>
      <c r="O52" s="57" t="n">
        <f aca="false">IF(H52="","",SUMIFS(TransactionsData[First office award],TransactionsData[Funding office ID],H52))</f>
        <v>1</v>
      </c>
      <c r="P52" s="57" t="n">
        <f aca="false">IF(H52="","",COUNTIFS(TransactionsData[Funding office ID],H52,TransactionsData[Selected],1))</f>
        <v>1</v>
      </c>
      <c r="Q52" s="57" t="n">
        <f aca="false">IF(OR(H52="",P52=0),"",COUNTIFS(OfficeGroups[Source net],"&gt;"&amp;M52,OfficeGroups[Source actions],"&gt;0")+COUNTIFS(OfficeGroups[Source net],M52,OfficeGroups[Record ID],"&lt;"&amp;H52,OfficeGroups[Source actions],"&gt;0")+1)</f>
        <v>6</v>
      </c>
      <c r="R52" s="57" t="str">
        <f aca="false">IF(H52="",IF(COUNTA(I52:K52)&gt;0,"Missing record ID",""),IF(COUNTIFS(OfficeGroups[Record ID],H52)&lt;&gt;1,"Duplicate record ID",IF(I52="","Add name","")))</f>
        <v/>
      </c>
    </row>
    <row r="53" customFormat="false" ht="32" hidden="false" customHeight="true" outlineLevel="0" collapsed="false">
      <c r="A53" s="53" t="str">
        <f aca="false">IF(Trends!$B$6&lt;&gt;"","",IF(COUNTIFS(OfficeGroups[Source rank],13)=1,13,""))</f>
        <v/>
      </c>
      <c r="B53" s="54" t="str">
        <f aca="false">IF(Trends!$B$6&lt;&gt;"","",IF(COUNTIFS(OfficeGroups[Source rank],13)=1,IF(INDEX(OfficeGroups[Source URL],MATCH(13,OfficeGroups[Source rank],0))="",INDEX(OfficeGroups[Source name],MATCH(13,OfficeGroups[Source rank],0)),HYPERLINK(INDEX(OfficeGroups[Source URL],MATCH(13,OfficeGroups[Source rank],0)),INDEX(OfficeGroups[Source name],MATCH(13,OfficeGroups[Source rank],0)))),""))</f>
        <v/>
      </c>
      <c r="C53" s="57" t="str">
        <f aca="false">IF(Trends!$B$6&lt;&gt;"","",IF(COUNTIFS(OfficeGroups[Source rank],13)=1,IF(INDEX(OfficeGroups[Source UEI],MATCH(13,OfficeGroups[Source rank],0))="","Not supplied",INDEX(OfficeGroups[Source UEI],MATCH(13,OfficeGroups[Source rank],0))),""))</f>
        <v/>
      </c>
      <c r="D53" s="56" t="str">
        <f aca="false">IF(Trends!$B$6&lt;&gt;"","",IF(COUNTIFS(OfficeGroups[Source rank],13)=1,INDEX(OfficeGroups[Source net],MATCH(13,OfficeGroups[Source rank],0)),""))</f>
        <v/>
      </c>
      <c r="E53" s="56" t="str">
        <f aca="false">IF(Trends!$B$6&lt;&gt;"","",IF(COUNTIFS(OfficeGroups[Source rank],13)=1,INDEX(OfficeGroups[Source deobligations],MATCH(13,OfficeGroups[Source rank],0)),""))</f>
        <v/>
      </c>
      <c r="F53" s="57" t="str">
        <f aca="false">IF(Trends!$B$6&lt;&gt;"","",IF(COUNTIFS(OfficeGroups[Source rank],13)=1,INDEX(OfficeGroups[Source awards],MATCH(13,OfficeGroups[Source rank],0)),""))</f>
        <v/>
      </c>
      <c r="G53" s="57" t="str">
        <f aca="false">IF(Trends!$B$6&lt;&gt;"","",IF(COUNTIFS(OfficeGroups[Source rank],13)=1,INDEX(OfficeGroups[Source actions],MATCH(13,OfficeGroups[Source rank],0)),""))</f>
        <v/>
      </c>
      <c r="H53" s="58"/>
      <c r="I53" s="58"/>
      <c r="J53" s="58"/>
      <c r="K53" s="58"/>
      <c r="L53" s="57" t="str">
        <f aca="false">IF(H53="","",I53&amp;IF(J53="",""," ["&amp;J53&amp;"]"))</f>
        <v/>
      </c>
      <c r="M53" s="56" t="str">
        <f aca="false">IF(H53="","",SUMIFS(TransactionsData[Obligations],TransactionsData[Funding office ID],H53,TransactionsData[Selected],1))</f>
        <v/>
      </c>
      <c r="N53" s="56" t="str">
        <f aca="false">IF(H53="","",SUMIFS(TransactionsData[Deobligations],TransactionsData[Funding office ID],H53,TransactionsData[Selected],1))</f>
        <v/>
      </c>
      <c r="O53" s="57" t="str">
        <f aca="false">IF(H53="","",SUMIFS(TransactionsData[First office award],TransactionsData[Funding office ID],H53))</f>
        <v/>
      </c>
      <c r="P53" s="57" t="str">
        <f aca="false">IF(H53="","",COUNTIFS(TransactionsData[Funding office ID],H53,TransactionsData[Selected],1))</f>
        <v/>
      </c>
      <c r="Q53" s="57" t="str">
        <f aca="false">IF(OR(H53="",P53=0),"",COUNTIFS(OfficeGroups[Source net],"&gt;"&amp;M53,OfficeGroups[Source actions],"&gt;0")+COUNTIFS(OfficeGroups[Source net],M53,OfficeGroups[Record ID],"&lt;"&amp;H53,OfficeGroups[Source actions],"&gt;0")+1)</f>
        <v/>
      </c>
      <c r="R53" s="57" t="str">
        <f aca="false">IF(H53="",IF(COUNTA(I53:K53)&gt;0,"Missing record ID",""),IF(COUNTIFS(OfficeGroups[Record ID],H53)&lt;&gt;1,"Duplicate record ID",IF(I53="","Add name","")))</f>
        <v/>
      </c>
    </row>
    <row r="54" customFormat="false" ht="32" hidden="false" customHeight="true" outlineLevel="0" collapsed="false">
      <c r="A54" s="53" t="str">
        <f aca="false">IF(Trends!$B$6&lt;&gt;"","",IF(COUNTIFS(OfficeGroups[Source rank],14)=1,14,""))</f>
        <v/>
      </c>
      <c r="B54" s="54" t="str">
        <f aca="false">IF(Trends!$B$6&lt;&gt;"","",IF(COUNTIFS(OfficeGroups[Source rank],14)=1,IF(INDEX(OfficeGroups[Source URL],MATCH(14,OfficeGroups[Source rank],0))="",INDEX(OfficeGroups[Source name],MATCH(14,OfficeGroups[Source rank],0)),HYPERLINK(INDEX(OfficeGroups[Source URL],MATCH(14,OfficeGroups[Source rank],0)),INDEX(OfficeGroups[Source name],MATCH(14,OfficeGroups[Source rank],0)))),""))</f>
        <v/>
      </c>
      <c r="C54" s="57" t="str">
        <f aca="false">IF(Trends!$B$6&lt;&gt;"","",IF(COUNTIFS(OfficeGroups[Source rank],14)=1,IF(INDEX(OfficeGroups[Source UEI],MATCH(14,OfficeGroups[Source rank],0))="","Not supplied",INDEX(OfficeGroups[Source UEI],MATCH(14,OfficeGroups[Source rank],0))),""))</f>
        <v/>
      </c>
      <c r="D54" s="56" t="str">
        <f aca="false">IF(Trends!$B$6&lt;&gt;"","",IF(COUNTIFS(OfficeGroups[Source rank],14)=1,INDEX(OfficeGroups[Source net],MATCH(14,OfficeGroups[Source rank],0)),""))</f>
        <v/>
      </c>
      <c r="E54" s="56" t="str">
        <f aca="false">IF(Trends!$B$6&lt;&gt;"","",IF(COUNTIFS(OfficeGroups[Source rank],14)=1,INDEX(OfficeGroups[Source deobligations],MATCH(14,OfficeGroups[Source rank],0)),""))</f>
        <v/>
      </c>
      <c r="F54" s="57" t="str">
        <f aca="false">IF(Trends!$B$6&lt;&gt;"","",IF(COUNTIFS(OfficeGroups[Source rank],14)=1,INDEX(OfficeGroups[Source awards],MATCH(14,OfficeGroups[Source rank],0)),""))</f>
        <v/>
      </c>
      <c r="G54" s="57" t="str">
        <f aca="false">IF(Trends!$B$6&lt;&gt;"","",IF(COUNTIFS(OfficeGroups[Source rank],14)=1,INDEX(OfficeGroups[Source actions],MATCH(14,OfficeGroups[Source rank],0)),""))</f>
        <v/>
      </c>
      <c r="H54" s="58"/>
      <c r="I54" s="58"/>
      <c r="J54" s="58"/>
      <c r="K54" s="58"/>
      <c r="L54" s="57" t="str">
        <f aca="false">IF(H54="","",I54&amp;IF(J54="",""," ["&amp;J54&amp;"]"))</f>
        <v/>
      </c>
      <c r="M54" s="56" t="str">
        <f aca="false">IF(H54="","",SUMIFS(TransactionsData[Obligations],TransactionsData[Funding office ID],H54,TransactionsData[Selected],1))</f>
        <v/>
      </c>
      <c r="N54" s="56" t="str">
        <f aca="false">IF(H54="","",SUMIFS(TransactionsData[Deobligations],TransactionsData[Funding office ID],H54,TransactionsData[Selected],1))</f>
        <v/>
      </c>
      <c r="O54" s="57" t="str">
        <f aca="false">IF(H54="","",SUMIFS(TransactionsData[First office award],TransactionsData[Funding office ID],H54))</f>
        <v/>
      </c>
      <c r="P54" s="57" t="str">
        <f aca="false">IF(H54="","",COUNTIFS(TransactionsData[Funding office ID],H54,TransactionsData[Selected],1))</f>
        <v/>
      </c>
      <c r="Q54" s="57" t="str">
        <f aca="false">IF(OR(H54="",P54=0),"",COUNTIFS(OfficeGroups[Source net],"&gt;"&amp;M54,OfficeGroups[Source actions],"&gt;0")+COUNTIFS(OfficeGroups[Source net],M54,OfficeGroups[Record ID],"&lt;"&amp;H54,OfficeGroups[Source actions],"&gt;0")+1)</f>
        <v/>
      </c>
      <c r="R54" s="57" t="str">
        <f aca="false">IF(H54="",IF(COUNTA(I54:K54)&gt;0,"Missing record ID",""),IF(COUNTIFS(OfficeGroups[Record ID],H54)&lt;&gt;1,"Duplicate record ID",IF(I54="","Add name","")))</f>
        <v/>
      </c>
    </row>
    <row r="55" customFormat="false" ht="32" hidden="false" customHeight="true" outlineLevel="0" collapsed="false">
      <c r="A55" s="53" t="str">
        <f aca="false">IF(Trends!$B$6&lt;&gt;"","",IF(COUNTIFS(OfficeGroups[Source rank],15)=1,15,""))</f>
        <v/>
      </c>
      <c r="B55" s="54" t="str">
        <f aca="false">IF(Trends!$B$6&lt;&gt;"","",IF(COUNTIFS(OfficeGroups[Source rank],15)=1,IF(INDEX(OfficeGroups[Source URL],MATCH(15,OfficeGroups[Source rank],0))="",INDEX(OfficeGroups[Source name],MATCH(15,OfficeGroups[Source rank],0)),HYPERLINK(INDEX(OfficeGroups[Source URL],MATCH(15,OfficeGroups[Source rank],0)),INDEX(OfficeGroups[Source name],MATCH(15,OfficeGroups[Source rank],0)))),""))</f>
        <v/>
      </c>
      <c r="C55" s="57" t="str">
        <f aca="false">IF(Trends!$B$6&lt;&gt;"","",IF(COUNTIFS(OfficeGroups[Source rank],15)=1,IF(INDEX(OfficeGroups[Source UEI],MATCH(15,OfficeGroups[Source rank],0))="","Not supplied",INDEX(OfficeGroups[Source UEI],MATCH(15,OfficeGroups[Source rank],0))),""))</f>
        <v/>
      </c>
      <c r="D55" s="56" t="str">
        <f aca="false">IF(Trends!$B$6&lt;&gt;"","",IF(COUNTIFS(OfficeGroups[Source rank],15)=1,INDEX(OfficeGroups[Source net],MATCH(15,OfficeGroups[Source rank],0)),""))</f>
        <v/>
      </c>
      <c r="E55" s="56" t="str">
        <f aca="false">IF(Trends!$B$6&lt;&gt;"","",IF(COUNTIFS(OfficeGroups[Source rank],15)=1,INDEX(OfficeGroups[Source deobligations],MATCH(15,OfficeGroups[Source rank],0)),""))</f>
        <v/>
      </c>
      <c r="F55" s="57" t="str">
        <f aca="false">IF(Trends!$B$6&lt;&gt;"","",IF(COUNTIFS(OfficeGroups[Source rank],15)=1,INDEX(OfficeGroups[Source awards],MATCH(15,OfficeGroups[Source rank],0)),""))</f>
        <v/>
      </c>
      <c r="G55" s="57" t="str">
        <f aca="false">IF(Trends!$B$6&lt;&gt;"","",IF(COUNTIFS(OfficeGroups[Source rank],15)=1,INDEX(OfficeGroups[Source actions],MATCH(15,OfficeGroups[Source rank],0)),""))</f>
        <v/>
      </c>
      <c r="H55" s="58"/>
      <c r="I55" s="58"/>
      <c r="J55" s="58"/>
      <c r="K55" s="58"/>
      <c r="L55" s="57" t="str">
        <f aca="false">IF(H55="","",I55&amp;IF(J55="",""," ["&amp;J55&amp;"]"))</f>
        <v/>
      </c>
      <c r="M55" s="56" t="str">
        <f aca="false">IF(H55="","",SUMIFS(TransactionsData[Obligations],TransactionsData[Funding office ID],H55,TransactionsData[Selected],1))</f>
        <v/>
      </c>
      <c r="N55" s="56" t="str">
        <f aca="false">IF(H55="","",SUMIFS(TransactionsData[Deobligations],TransactionsData[Funding office ID],H55,TransactionsData[Selected],1))</f>
        <v/>
      </c>
      <c r="O55" s="57" t="str">
        <f aca="false">IF(H55="","",SUMIFS(TransactionsData[First office award],TransactionsData[Funding office ID],H55))</f>
        <v/>
      </c>
      <c r="P55" s="57" t="str">
        <f aca="false">IF(H55="","",COUNTIFS(TransactionsData[Funding office ID],H55,TransactionsData[Selected],1))</f>
        <v/>
      </c>
      <c r="Q55" s="57" t="str">
        <f aca="false">IF(OR(H55="",P55=0),"",COUNTIFS(OfficeGroups[Source net],"&gt;"&amp;M55,OfficeGroups[Source actions],"&gt;0")+COUNTIFS(OfficeGroups[Source net],M55,OfficeGroups[Record ID],"&lt;"&amp;H55,OfficeGroups[Source actions],"&gt;0")+1)</f>
        <v/>
      </c>
      <c r="R55" s="57" t="str">
        <f aca="false">IF(H55="",IF(COUNTA(I55:K55)&gt;0,"Missing record ID",""),IF(COUNTIFS(OfficeGroups[Record ID],H55)&lt;&gt;1,"Duplicate record ID",IF(I55="","Add name","")))</f>
        <v/>
      </c>
    </row>
    <row r="56" customFormat="false" ht="32" hidden="false" customHeight="true" outlineLevel="0" collapsed="false">
      <c r="A56" s="53" t="str">
        <f aca="false">IF(Trends!$B$6&lt;&gt;"","",IF(COUNTIFS(OfficeGroups[Source rank],16)=1,16,""))</f>
        <v/>
      </c>
      <c r="B56" s="54" t="str">
        <f aca="false">IF(Trends!$B$6&lt;&gt;"","",IF(COUNTIFS(OfficeGroups[Source rank],16)=1,IF(INDEX(OfficeGroups[Source URL],MATCH(16,OfficeGroups[Source rank],0))="",INDEX(OfficeGroups[Source name],MATCH(16,OfficeGroups[Source rank],0)),HYPERLINK(INDEX(OfficeGroups[Source URL],MATCH(16,OfficeGroups[Source rank],0)),INDEX(OfficeGroups[Source name],MATCH(16,OfficeGroups[Source rank],0)))),""))</f>
        <v/>
      </c>
      <c r="C56" s="57" t="str">
        <f aca="false">IF(Trends!$B$6&lt;&gt;"","",IF(COUNTIFS(OfficeGroups[Source rank],16)=1,IF(INDEX(OfficeGroups[Source UEI],MATCH(16,OfficeGroups[Source rank],0))="","Not supplied",INDEX(OfficeGroups[Source UEI],MATCH(16,OfficeGroups[Source rank],0))),""))</f>
        <v/>
      </c>
      <c r="D56" s="56" t="str">
        <f aca="false">IF(Trends!$B$6&lt;&gt;"","",IF(COUNTIFS(OfficeGroups[Source rank],16)=1,INDEX(OfficeGroups[Source net],MATCH(16,OfficeGroups[Source rank],0)),""))</f>
        <v/>
      </c>
      <c r="E56" s="56" t="str">
        <f aca="false">IF(Trends!$B$6&lt;&gt;"","",IF(COUNTIFS(OfficeGroups[Source rank],16)=1,INDEX(OfficeGroups[Source deobligations],MATCH(16,OfficeGroups[Source rank],0)),""))</f>
        <v/>
      </c>
      <c r="F56" s="57" t="str">
        <f aca="false">IF(Trends!$B$6&lt;&gt;"","",IF(COUNTIFS(OfficeGroups[Source rank],16)=1,INDEX(OfficeGroups[Source awards],MATCH(16,OfficeGroups[Source rank],0)),""))</f>
        <v/>
      </c>
      <c r="G56" s="57" t="str">
        <f aca="false">IF(Trends!$B$6&lt;&gt;"","",IF(COUNTIFS(OfficeGroups[Source rank],16)=1,INDEX(OfficeGroups[Source actions],MATCH(16,OfficeGroups[Source rank],0)),""))</f>
        <v/>
      </c>
      <c r="H56" s="58"/>
      <c r="I56" s="58"/>
      <c r="J56" s="58"/>
      <c r="K56" s="58"/>
      <c r="L56" s="57" t="str">
        <f aca="false">IF(H56="","",I56&amp;IF(J56="",""," ["&amp;J56&amp;"]"))</f>
        <v/>
      </c>
      <c r="M56" s="56" t="str">
        <f aca="false">IF(H56="","",SUMIFS(TransactionsData[Obligations],TransactionsData[Funding office ID],H56,TransactionsData[Selected],1))</f>
        <v/>
      </c>
      <c r="N56" s="56" t="str">
        <f aca="false">IF(H56="","",SUMIFS(TransactionsData[Deobligations],TransactionsData[Funding office ID],H56,TransactionsData[Selected],1))</f>
        <v/>
      </c>
      <c r="O56" s="57" t="str">
        <f aca="false">IF(H56="","",SUMIFS(TransactionsData[First office award],TransactionsData[Funding office ID],H56))</f>
        <v/>
      </c>
      <c r="P56" s="57" t="str">
        <f aca="false">IF(H56="","",COUNTIFS(TransactionsData[Funding office ID],H56,TransactionsData[Selected],1))</f>
        <v/>
      </c>
      <c r="Q56" s="57" t="str">
        <f aca="false">IF(OR(H56="",P56=0),"",COUNTIFS(OfficeGroups[Source net],"&gt;"&amp;M56,OfficeGroups[Source actions],"&gt;0")+COUNTIFS(OfficeGroups[Source net],M56,OfficeGroups[Record ID],"&lt;"&amp;H56,OfficeGroups[Source actions],"&gt;0")+1)</f>
        <v/>
      </c>
      <c r="R56" s="57" t="str">
        <f aca="false">IF(H56="",IF(COUNTA(I56:K56)&gt;0,"Missing record ID",""),IF(COUNTIFS(OfficeGroups[Record ID],H56)&lt;&gt;1,"Duplicate record ID",IF(I56="","Add name","")))</f>
        <v/>
      </c>
    </row>
    <row r="57" customFormat="false" ht="32" hidden="false" customHeight="true" outlineLevel="0" collapsed="false">
      <c r="A57" s="53" t="str">
        <f aca="false">IF(Trends!$B$6&lt;&gt;"","",IF(COUNTIFS(OfficeGroups[Source rank],17)=1,17,""))</f>
        <v/>
      </c>
      <c r="B57" s="54" t="str">
        <f aca="false">IF(Trends!$B$6&lt;&gt;"","",IF(COUNTIFS(OfficeGroups[Source rank],17)=1,IF(INDEX(OfficeGroups[Source URL],MATCH(17,OfficeGroups[Source rank],0))="",INDEX(OfficeGroups[Source name],MATCH(17,OfficeGroups[Source rank],0)),HYPERLINK(INDEX(OfficeGroups[Source URL],MATCH(17,OfficeGroups[Source rank],0)),INDEX(OfficeGroups[Source name],MATCH(17,OfficeGroups[Source rank],0)))),""))</f>
        <v/>
      </c>
      <c r="C57" s="57" t="str">
        <f aca="false">IF(Trends!$B$6&lt;&gt;"","",IF(COUNTIFS(OfficeGroups[Source rank],17)=1,IF(INDEX(OfficeGroups[Source UEI],MATCH(17,OfficeGroups[Source rank],0))="","Not supplied",INDEX(OfficeGroups[Source UEI],MATCH(17,OfficeGroups[Source rank],0))),""))</f>
        <v/>
      </c>
      <c r="D57" s="56" t="str">
        <f aca="false">IF(Trends!$B$6&lt;&gt;"","",IF(COUNTIFS(OfficeGroups[Source rank],17)=1,INDEX(OfficeGroups[Source net],MATCH(17,OfficeGroups[Source rank],0)),""))</f>
        <v/>
      </c>
      <c r="E57" s="56" t="str">
        <f aca="false">IF(Trends!$B$6&lt;&gt;"","",IF(COUNTIFS(OfficeGroups[Source rank],17)=1,INDEX(OfficeGroups[Source deobligations],MATCH(17,OfficeGroups[Source rank],0)),""))</f>
        <v/>
      </c>
      <c r="F57" s="57" t="str">
        <f aca="false">IF(Trends!$B$6&lt;&gt;"","",IF(COUNTIFS(OfficeGroups[Source rank],17)=1,INDEX(OfficeGroups[Source awards],MATCH(17,OfficeGroups[Source rank],0)),""))</f>
        <v/>
      </c>
      <c r="G57" s="57" t="str">
        <f aca="false">IF(Trends!$B$6&lt;&gt;"","",IF(COUNTIFS(OfficeGroups[Source rank],17)=1,INDEX(OfficeGroups[Source actions],MATCH(17,OfficeGroups[Source rank],0)),""))</f>
        <v/>
      </c>
      <c r="H57" s="58"/>
      <c r="I57" s="58"/>
      <c r="J57" s="58"/>
      <c r="K57" s="58"/>
      <c r="L57" s="57" t="str">
        <f aca="false">IF(H57="","",I57&amp;IF(J57="",""," ["&amp;J57&amp;"]"))</f>
        <v/>
      </c>
      <c r="M57" s="56" t="str">
        <f aca="false">IF(H57="","",SUMIFS(TransactionsData[Obligations],TransactionsData[Funding office ID],H57,TransactionsData[Selected],1))</f>
        <v/>
      </c>
      <c r="N57" s="56" t="str">
        <f aca="false">IF(H57="","",SUMIFS(TransactionsData[Deobligations],TransactionsData[Funding office ID],H57,TransactionsData[Selected],1))</f>
        <v/>
      </c>
      <c r="O57" s="57" t="str">
        <f aca="false">IF(H57="","",SUMIFS(TransactionsData[First office award],TransactionsData[Funding office ID],H57))</f>
        <v/>
      </c>
      <c r="P57" s="57" t="str">
        <f aca="false">IF(H57="","",COUNTIFS(TransactionsData[Funding office ID],H57,TransactionsData[Selected],1))</f>
        <v/>
      </c>
      <c r="Q57" s="57" t="str">
        <f aca="false">IF(OR(H57="",P57=0),"",COUNTIFS(OfficeGroups[Source net],"&gt;"&amp;M57,OfficeGroups[Source actions],"&gt;0")+COUNTIFS(OfficeGroups[Source net],M57,OfficeGroups[Record ID],"&lt;"&amp;H57,OfficeGroups[Source actions],"&gt;0")+1)</f>
        <v/>
      </c>
      <c r="R57" s="57" t="str">
        <f aca="false">IF(H57="",IF(COUNTA(I57:K57)&gt;0,"Missing record ID",""),IF(COUNTIFS(OfficeGroups[Record ID],H57)&lt;&gt;1,"Duplicate record ID",IF(I57="","Add name","")))</f>
        <v/>
      </c>
    </row>
    <row r="58" customFormat="false" ht="32" hidden="false" customHeight="true" outlineLevel="0" collapsed="false">
      <c r="A58" s="53" t="str">
        <f aca="false">IF(Trends!$B$6&lt;&gt;"","",IF(COUNTIFS(OfficeGroups[Source rank],18)=1,18,""))</f>
        <v/>
      </c>
      <c r="B58" s="54" t="str">
        <f aca="false">IF(Trends!$B$6&lt;&gt;"","",IF(COUNTIFS(OfficeGroups[Source rank],18)=1,IF(INDEX(OfficeGroups[Source URL],MATCH(18,OfficeGroups[Source rank],0))="",INDEX(OfficeGroups[Source name],MATCH(18,OfficeGroups[Source rank],0)),HYPERLINK(INDEX(OfficeGroups[Source URL],MATCH(18,OfficeGroups[Source rank],0)),INDEX(OfficeGroups[Source name],MATCH(18,OfficeGroups[Source rank],0)))),""))</f>
        <v/>
      </c>
      <c r="C58" s="57" t="str">
        <f aca="false">IF(Trends!$B$6&lt;&gt;"","",IF(COUNTIFS(OfficeGroups[Source rank],18)=1,IF(INDEX(OfficeGroups[Source UEI],MATCH(18,OfficeGroups[Source rank],0))="","Not supplied",INDEX(OfficeGroups[Source UEI],MATCH(18,OfficeGroups[Source rank],0))),""))</f>
        <v/>
      </c>
      <c r="D58" s="56" t="str">
        <f aca="false">IF(Trends!$B$6&lt;&gt;"","",IF(COUNTIFS(OfficeGroups[Source rank],18)=1,INDEX(OfficeGroups[Source net],MATCH(18,OfficeGroups[Source rank],0)),""))</f>
        <v/>
      </c>
      <c r="E58" s="56" t="str">
        <f aca="false">IF(Trends!$B$6&lt;&gt;"","",IF(COUNTIFS(OfficeGroups[Source rank],18)=1,INDEX(OfficeGroups[Source deobligations],MATCH(18,OfficeGroups[Source rank],0)),""))</f>
        <v/>
      </c>
      <c r="F58" s="57" t="str">
        <f aca="false">IF(Trends!$B$6&lt;&gt;"","",IF(COUNTIFS(OfficeGroups[Source rank],18)=1,INDEX(OfficeGroups[Source awards],MATCH(18,OfficeGroups[Source rank],0)),""))</f>
        <v/>
      </c>
      <c r="G58" s="57" t="str">
        <f aca="false">IF(Trends!$B$6&lt;&gt;"","",IF(COUNTIFS(OfficeGroups[Source rank],18)=1,INDEX(OfficeGroups[Source actions],MATCH(18,OfficeGroups[Source rank],0)),""))</f>
        <v/>
      </c>
      <c r="H58" s="58"/>
      <c r="I58" s="58"/>
      <c r="J58" s="58"/>
      <c r="K58" s="58"/>
      <c r="L58" s="57" t="str">
        <f aca="false">IF(H58="","",I58&amp;IF(J58="",""," ["&amp;J58&amp;"]"))</f>
        <v/>
      </c>
      <c r="M58" s="56" t="str">
        <f aca="false">IF(H58="","",SUMIFS(TransactionsData[Obligations],TransactionsData[Funding office ID],H58,TransactionsData[Selected],1))</f>
        <v/>
      </c>
      <c r="N58" s="56" t="str">
        <f aca="false">IF(H58="","",SUMIFS(TransactionsData[Deobligations],TransactionsData[Funding office ID],H58,TransactionsData[Selected],1))</f>
        <v/>
      </c>
      <c r="O58" s="57" t="str">
        <f aca="false">IF(H58="","",SUMIFS(TransactionsData[First office award],TransactionsData[Funding office ID],H58))</f>
        <v/>
      </c>
      <c r="P58" s="57" t="str">
        <f aca="false">IF(H58="","",COUNTIFS(TransactionsData[Funding office ID],H58,TransactionsData[Selected],1))</f>
        <v/>
      </c>
      <c r="Q58" s="57" t="str">
        <f aca="false">IF(OR(H58="",P58=0),"",COUNTIFS(OfficeGroups[Source net],"&gt;"&amp;M58,OfficeGroups[Source actions],"&gt;0")+COUNTIFS(OfficeGroups[Source net],M58,OfficeGroups[Record ID],"&lt;"&amp;H58,OfficeGroups[Source actions],"&gt;0")+1)</f>
        <v/>
      </c>
      <c r="R58" s="57" t="str">
        <f aca="false">IF(H58="",IF(COUNTA(I58:K58)&gt;0,"Missing record ID",""),IF(COUNTIFS(OfficeGroups[Record ID],H58)&lt;&gt;1,"Duplicate record ID",IF(I58="","Add name","")))</f>
        <v/>
      </c>
    </row>
    <row r="59" customFormat="false" ht="32" hidden="false" customHeight="true" outlineLevel="0" collapsed="false">
      <c r="A59" s="53" t="str">
        <f aca="false">IF(Trends!$B$6&lt;&gt;"","",IF(COUNTIFS(OfficeGroups[Source rank],19)=1,19,""))</f>
        <v/>
      </c>
      <c r="B59" s="54" t="str">
        <f aca="false">IF(Trends!$B$6&lt;&gt;"","",IF(COUNTIFS(OfficeGroups[Source rank],19)=1,IF(INDEX(OfficeGroups[Source URL],MATCH(19,OfficeGroups[Source rank],0))="",INDEX(OfficeGroups[Source name],MATCH(19,OfficeGroups[Source rank],0)),HYPERLINK(INDEX(OfficeGroups[Source URL],MATCH(19,OfficeGroups[Source rank],0)),INDEX(OfficeGroups[Source name],MATCH(19,OfficeGroups[Source rank],0)))),""))</f>
        <v/>
      </c>
      <c r="C59" s="57" t="str">
        <f aca="false">IF(Trends!$B$6&lt;&gt;"","",IF(COUNTIFS(OfficeGroups[Source rank],19)=1,IF(INDEX(OfficeGroups[Source UEI],MATCH(19,OfficeGroups[Source rank],0))="","Not supplied",INDEX(OfficeGroups[Source UEI],MATCH(19,OfficeGroups[Source rank],0))),""))</f>
        <v/>
      </c>
      <c r="D59" s="56" t="str">
        <f aca="false">IF(Trends!$B$6&lt;&gt;"","",IF(COUNTIFS(OfficeGroups[Source rank],19)=1,INDEX(OfficeGroups[Source net],MATCH(19,OfficeGroups[Source rank],0)),""))</f>
        <v/>
      </c>
      <c r="E59" s="56" t="str">
        <f aca="false">IF(Trends!$B$6&lt;&gt;"","",IF(COUNTIFS(OfficeGroups[Source rank],19)=1,INDEX(OfficeGroups[Source deobligations],MATCH(19,OfficeGroups[Source rank],0)),""))</f>
        <v/>
      </c>
      <c r="F59" s="57" t="str">
        <f aca="false">IF(Trends!$B$6&lt;&gt;"","",IF(COUNTIFS(OfficeGroups[Source rank],19)=1,INDEX(OfficeGroups[Source awards],MATCH(19,OfficeGroups[Source rank],0)),""))</f>
        <v/>
      </c>
      <c r="G59" s="57" t="str">
        <f aca="false">IF(Trends!$B$6&lt;&gt;"","",IF(COUNTIFS(OfficeGroups[Source rank],19)=1,INDEX(OfficeGroups[Source actions],MATCH(19,OfficeGroups[Source rank],0)),""))</f>
        <v/>
      </c>
      <c r="H59" s="58"/>
      <c r="I59" s="58"/>
      <c r="J59" s="58"/>
      <c r="K59" s="58"/>
      <c r="L59" s="57" t="str">
        <f aca="false">IF(H59="","",I59&amp;IF(J59="",""," ["&amp;J59&amp;"]"))</f>
        <v/>
      </c>
      <c r="M59" s="56" t="str">
        <f aca="false">IF(H59="","",SUMIFS(TransactionsData[Obligations],TransactionsData[Funding office ID],H59,TransactionsData[Selected],1))</f>
        <v/>
      </c>
      <c r="N59" s="56" t="str">
        <f aca="false">IF(H59="","",SUMIFS(TransactionsData[Deobligations],TransactionsData[Funding office ID],H59,TransactionsData[Selected],1))</f>
        <v/>
      </c>
      <c r="O59" s="57" t="str">
        <f aca="false">IF(H59="","",SUMIFS(TransactionsData[First office award],TransactionsData[Funding office ID],H59))</f>
        <v/>
      </c>
      <c r="P59" s="57" t="str">
        <f aca="false">IF(H59="","",COUNTIFS(TransactionsData[Funding office ID],H59,TransactionsData[Selected],1))</f>
        <v/>
      </c>
      <c r="Q59" s="57" t="str">
        <f aca="false">IF(OR(H59="",P59=0),"",COUNTIFS(OfficeGroups[Source net],"&gt;"&amp;M59,OfficeGroups[Source actions],"&gt;0")+COUNTIFS(OfficeGroups[Source net],M59,OfficeGroups[Record ID],"&lt;"&amp;H59,OfficeGroups[Source actions],"&gt;0")+1)</f>
        <v/>
      </c>
      <c r="R59" s="57" t="str">
        <f aca="false">IF(H59="",IF(COUNTA(I59:K59)&gt;0,"Missing record ID",""),IF(COUNTIFS(OfficeGroups[Record ID],H59)&lt;&gt;1,"Duplicate record ID",IF(I59="","Add name","")))</f>
        <v/>
      </c>
    </row>
    <row r="60" customFormat="false" ht="32" hidden="false" customHeight="true" outlineLevel="0" collapsed="false">
      <c r="A60" s="53" t="str">
        <f aca="false">IF(Trends!$B$6&lt;&gt;"","",IF(COUNTIFS(OfficeGroups[Source rank],20)=1,20,""))</f>
        <v/>
      </c>
      <c r="B60" s="54" t="str">
        <f aca="false">IF(Trends!$B$6&lt;&gt;"","",IF(COUNTIFS(OfficeGroups[Source rank],20)=1,IF(INDEX(OfficeGroups[Source URL],MATCH(20,OfficeGroups[Source rank],0))="",INDEX(OfficeGroups[Source name],MATCH(20,OfficeGroups[Source rank],0)),HYPERLINK(INDEX(OfficeGroups[Source URL],MATCH(20,OfficeGroups[Source rank],0)),INDEX(OfficeGroups[Source name],MATCH(20,OfficeGroups[Source rank],0)))),""))</f>
        <v/>
      </c>
      <c r="C60" s="57" t="str">
        <f aca="false">IF(Trends!$B$6&lt;&gt;"","",IF(COUNTIFS(OfficeGroups[Source rank],20)=1,IF(INDEX(OfficeGroups[Source UEI],MATCH(20,OfficeGroups[Source rank],0))="","Not supplied",INDEX(OfficeGroups[Source UEI],MATCH(20,OfficeGroups[Source rank],0))),""))</f>
        <v/>
      </c>
      <c r="D60" s="56" t="str">
        <f aca="false">IF(Trends!$B$6&lt;&gt;"","",IF(COUNTIFS(OfficeGroups[Source rank],20)=1,INDEX(OfficeGroups[Source net],MATCH(20,OfficeGroups[Source rank],0)),""))</f>
        <v/>
      </c>
      <c r="E60" s="56" t="str">
        <f aca="false">IF(Trends!$B$6&lt;&gt;"","",IF(COUNTIFS(OfficeGroups[Source rank],20)=1,INDEX(OfficeGroups[Source deobligations],MATCH(20,OfficeGroups[Source rank],0)),""))</f>
        <v/>
      </c>
      <c r="F60" s="57" t="str">
        <f aca="false">IF(Trends!$B$6&lt;&gt;"","",IF(COUNTIFS(OfficeGroups[Source rank],20)=1,INDEX(OfficeGroups[Source awards],MATCH(20,OfficeGroups[Source rank],0)),""))</f>
        <v/>
      </c>
      <c r="G60" s="57" t="str">
        <f aca="false">IF(Trends!$B$6&lt;&gt;"","",IF(COUNTIFS(OfficeGroups[Source rank],20)=1,INDEX(OfficeGroups[Source actions],MATCH(20,OfficeGroups[Source rank],0)),""))</f>
        <v/>
      </c>
      <c r="H60" s="58"/>
      <c r="I60" s="58"/>
      <c r="J60" s="58"/>
      <c r="K60" s="58"/>
      <c r="L60" s="57" t="str">
        <f aca="false">IF(H60="","",I60&amp;IF(J60="",""," ["&amp;J60&amp;"]"))</f>
        <v/>
      </c>
      <c r="M60" s="56" t="str">
        <f aca="false">IF(H60="","",SUMIFS(TransactionsData[Obligations],TransactionsData[Funding office ID],H60,TransactionsData[Selected],1))</f>
        <v/>
      </c>
      <c r="N60" s="56" t="str">
        <f aca="false">IF(H60="","",SUMIFS(TransactionsData[Deobligations],TransactionsData[Funding office ID],H60,TransactionsData[Selected],1))</f>
        <v/>
      </c>
      <c r="O60" s="57" t="str">
        <f aca="false">IF(H60="","",SUMIFS(TransactionsData[First office award],TransactionsData[Funding office ID],H60))</f>
        <v/>
      </c>
      <c r="P60" s="57" t="str">
        <f aca="false">IF(H60="","",COUNTIFS(TransactionsData[Funding office ID],H60,TransactionsData[Selected],1))</f>
        <v/>
      </c>
      <c r="Q60" s="57" t="str">
        <f aca="false">IF(OR(H60="",P60=0),"",COUNTIFS(OfficeGroups[Source net],"&gt;"&amp;M60,OfficeGroups[Source actions],"&gt;0")+COUNTIFS(OfficeGroups[Source net],M60,OfficeGroups[Record ID],"&lt;"&amp;H60,OfficeGroups[Source actions],"&gt;0")+1)</f>
        <v/>
      </c>
      <c r="R60" s="57" t="str">
        <f aca="false">IF(H60="",IF(COUNTA(I60:K60)&gt;0,"Missing record ID",""),IF(COUNTIFS(OfficeGroups[Record ID],H60)&lt;&gt;1,"Duplicate record ID",IF(I60="","Add name","")))</f>
        <v/>
      </c>
    </row>
  </sheetData>
  <mergeCells count="5">
    <mergeCell ref="A2:E2"/>
    <mergeCell ref="A3:G3"/>
    <mergeCell ref="A4:G4"/>
    <mergeCell ref="A5:G5"/>
    <mergeCell ref="A6:G6"/>
  </mergeCells>
  <conditionalFormatting sqref="R8:R35">
    <cfRule type="expression" priority="2" aboveAverage="0" equalAverage="0" bottom="0" percent="0" rank="0" text="" dxfId="7">
      <formula>LEN(R8)&gt;0</formula>
    </cfRule>
  </conditionalFormatting>
  <conditionalFormatting sqref="R41:R60">
    <cfRule type="expression" priority="3" aboveAverage="0" equalAverage="0" bottom="0" percent="0" rank="0" text="" dxfId="8">
      <formula>LEN(R41)&gt;0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&amp;L&amp;"Arial,Bold"&amp;11Vendors &amp; Buyers</oddHeader>
    <oddFooter>&amp;LVendors &amp; Buyers&amp;RPage &amp;P of &amp;N</oddFooter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Y68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6.11"/>
    <col customWidth="true" max="2" min="2" style="0" width="26.11"/>
    <col customWidth="true" max="3" min="3" style="0" width="20"/>
    <col customWidth="true" max="4" min="4" style="0" width="16.67"/>
    <col customWidth="true" max="5" min="5" style="0" width="16.67"/>
    <col customWidth="true" max="6" min="6" style="0" width="18.89"/>
    <col customWidth="true" max="7" min="7" style="0" width="22.78"/>
    <col customWidth="true" max="8" min="8" style="0" width="15.56"/>
    <col customWidth="true" max="9" min="9" style="0" width="17.78"/>
    <col customWidth="true" max="10" min="10" style="0" width="17.78"/>
    <col customWidth="true" max="11" min="11" style="0" width="12.22"/>
    <col customWidth="true" max="12" min="12" style="0" width="13.34"/>
    <col customWidth="true" max="13" min="13" style="0" width="28.89"/>
    <col customWidth="true" max="14" min="14" style="0" width="28.89"/>
    <col customWidth="true" max="15" min="15" style="0" width="8.89"/>
    <col customWidth="true" max="16" min="16" style="0" width="10"/>
    <col customWidth="true" max="17" min="17" style="0" width="11.67"/>
    <col customWidth="true" max="18" min="18" style="0" width="31.11" hidden="1" outlineLevel="1"/>
    <col customWidth="true" max="19" min="19" style="0" width="28.89" hidden="1" outlineLevel="1"/>
    <col customWidth="true" max="20" min="20" style="0" width="27.22" hidden="1" outlineLevel="1"/>
    <col customWidth="true" max="21" min="21" style="0" width="48.89" hidden="1" outlineLevel="1"/>
    <col customWidth="true" max="22" min="22" style="0" width="46.67" hidden="1" outlineLevel="1"/>
    <col customWidth="true" max="23" min="23" style="0" width="30"/>
    <col customWidth="true" max="24" min="24" style="0" width="10.56" hidden="1" outlineLevel="1"/>
    <col customWidth="true" max="25" min="25" style="0" width="11.11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customFormat="false" ht="32" hidden="false" customHeight="true" outlineLevel="0" collapsed="false">
      <c r="A2" s="44" t="s">
        <v>228</v>
      </c>
      <c r="B2" s="44"/>
      <c r="C2" s="44"/>
      <c r="D2" s="44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customFormat="false" ht="34" hidden="false" customHeight="true" outlineLevel="0" collapsed="false">
      <c r="A3" s="43"/>
      <c r="B3" s="45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National Science Foundation  |  Amount period: FY2025  |  Award-type filter: All</v>
      </c>
      <c r="C3" s="45"/>
      <c r="D3" s="45"/>
      <c r="E3" s="45"/>
      <c r="F3" s="45"/>
      <c r="G3" s="45"/>
      <c r="H3" s="45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National Science Foundation  |  Amount period: FY2025  |  Award-type filter: All</v>
      </c>
      <c r="I3" s="45"/>
      <c r="J3" s="45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customFormat="false" ht="28" hidden="false" customHeight="true" outlineLevel="0" collapsed="false">
      <c r="A4" s="59"/>
      <c r="B4" s="45" t="str">
        <f aca="false">"Amount filter — vendor: "&amp;Dashboard!H7</f>
        <v>Amount filter — vendor: All</v>
      </c>
      <c r="C4" s="45"/>
      <c r="D4" s="45"/>
      <c r="E4" s="45"/>
      <c r="F4" s="45"/>
      <c r="G4" s="45"/>
      <c r="H4" s="45" t="str">
        <f aca="false">"Amount filter — vendor: "&amp;Dashboard!H7</f>
        <v>Amount filter — vendor: All</v>
      </c>
      <c r="I4" s="45"/>
      <c r="J4" s="45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customFormat="false" ht="28" hidden="false" customHeight="true" outlineLevel="0" collapsed="false">
      <c r="A5" s="45"/>
      <c r="B5" s="45" t="str">
        <f aca="false">"Amount filter — funding office: "&amp;Dashboard!B10</f>
        <v>Amount filter — funding office: All</v>
      </c>
      <c r="C5" s="45"/>
      <c r="D5" s="45"/>
      <c r="E5" s="45"/>
      <c r="F5" s="45"/>
      <c r="G5" s="45"/>
      <c r="H5" s="45" t="str">
        <f aca="false">"Amount filter — funding office: "&amp;Dashboard!B10</f>
        <v>Amount filter — funding office: All</v>
      </c>
      <c r="I5" s="45"/>
      <c r="J5" s="45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customFormat="false" ht="30" hidden="false" customHeight="true" outlineLevel="0" collapsed="false">
      <c r="A6" s="43"/>
      <c r="B6" s="45" t="s">
        <v>229</v>
      </c>
      <c r="C6" s="45"/>
      <c r="D6" s="45"/>
      <c r="E6" s="45"/>
      <c r="F6" s="45"/>
      <c r="G6" s="45"/>
      <c r="H6" s="45" t="str">
        <f aca="false">"All source awards are listed. Current snapshots are unfiltered; retrieved "&amp;IF(Transactions!G4="","Not supplied",TEXT(Transactions!G4,"mmm d, yyyy"))</f>
        <v>All source awards are listed. Current snapshots are unfiltered; retrieved Sep 14, 2026</v>
      </c>
      <c r="I6" s="45"/>
      <c r="J6" s="45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customFormat="false" ht="36" hidden="false" customHeight="true" outlineLevel="0" collapsed="false">
      <c r="A7" s="47" t="s">
        <v>230</v>
      </c>
      <c r="B7" s="47" t="s">
        <v>18</v>
      </c>
      <c r="C7" s="47" t="s">
        <v>89</v>
      </c>
      <c r="D7" s="47" t="s">
        <v>231</v>
      </c>
      <c r="E7" s="47" t="s">
        <v>232</v>
      </c>
      <c r="F7" s="47" t="s">
        <v>29</v>
      </c>
      <c r="G7" s="47" t="s">
        <v>233</v>
      </c>
      <c r="H7" s="47" t="s">
        <v>234</v>
      </c>
      <c r="I7" s="47" t="s">
        <v>235</v>
      </c>
      <c r="J7" s="47" t="s">
        <v>236</v>
      </c>
      <c r="K7" s="47" t="s">
        <v>237</v>
      </c>
      <c r="L7" s="47" t="s">
        <v>238</v>
      </c>
      <c r="M7" s="47" t="s">
        <v>239</v>
      </c>
      <c r="N7" s="47" t="s">
        <v>240</v>
      </c>
      <c r="O7" s="47" t="s">
        <v>241</v>
      </c>
      <c r="P7" s="47" t="s">
        <v>242</v>
      </c>
      <c r="Q7" s="47" t="s">
        <v>243</v>
      </c>
      <c r="R7" s="47" t="s">
        <v>244</v>
      </c>
      <c r="S7" s="47" t="s">
        <v>245</v>
      </c>
      <c r="T7" s="47" t="s">
        <v>246</v>
      </c>
      <c r="U7" s="47" t="s">
        <v>93</v>
      </c>
      <c r="V7" s="47" t="s">
        <v>247</v>
      </c>
      <c r="W7" s="47" t="s">
        <v>100</v>
      </c>
      <c r="X7" s="47" t="s">
        <v>248</v>
      </c>
      <c r="Y7" s="47" t="s">
        <v>249</v>
      </c>
    </row>
    <row r="8" customFormat="false" ht="38" hidden="false" customHeight="true" outlineLevel="0" collapsed="false">
      <c r="A8" s="54" t="str">
        <f aca="false">IF(S8="","",IF(U8="",S8,HYPERLINK(U8,S8)))</f>
        <v>47QTCA18D008L-49100425F0010</v>
      </c>
      <c r="B8" s="54" t="str">
        <f aca="false">IF(T8="","",IF(V8="",T8,HYPERLINK(V8,T8)))</f>
        <v>Gartner, Inc.</v>
      </c>
      <c r="C8" s="60" t="s">
        <v>131</v>
      </c>
      <c r="D8" s="56" t="n">
        <f aca="false">IF(R8="","",IF(Trends!$B$6&lt;&gt;"","",SUMIFS(TransactionsData[Obligations],TransactionsData[Award ID],R8,TransactionsData[Selected],1)))</f>
        <v>589968</v>
      </c>
      <c r="E8" s="56" t="n">
        <f aca="false">IF(R8="","",IF(Trends!$B$6&lt;&gt;"","",SUMIFS(TransactionsData[Obligations],TransactionsData[Award ID],R8,TransactionsData[Dimension match],1)))</f>
        <v>589968</v>
      </c>
      <c r="F8" s="61" t="s">
        <v>12</v>
      </c>
      <c r="G8" s="61" t="s">
        <v>59</v>
      </c>
      <c r="H8" s="58" t="s">
        <v>58</v>
      </c>
      <c r="I8" s="62" t="n">
        <v>589968</v>
      </c>
      <c r="J8" s="62" t="n">
        <v>589968</v>
      </c>
      <c r="K8" s="63" t="n">
        <v>45663</v>
      </c>
      <c r="L8" s="63" t="n">
        <v>45929</v>
      </c>
      <c r="M8" s="58" t="s">
        <v>250</v>
      </c>
      <c r="N8" s="58" t="s">
        <v>251</v>
      </c>
      <c r="O8" s="58" t="s">
        <v>252</v>
      </c>
      <c r="P8" s="58" t="s">
        <v>253</v>
      </c>
      <c r="Q8" s="63" t="n">
        <v>46279</v>
      </c>
      <c r="R8" s="58" t="s">
        <v>254</v>
      </c>
      <c r="S8" s="58" t="s">
        <v>255</v>
      </c>
      <c r="T8" s="58" t="s">
        <v>130</v>
      </c>
      <c r="U8" s="58" t="s">
        <v>256</v>
      </c>
      <c r="V8" s="58" t="s">
        <v>132</v>
      </c>
      <c r="W8" s="57" t="str">
        <f aca="false"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f>
        <v/>
      </c>
      <c r="X8" s="57" t="n">
        <f aca="false">IF(R8="","",COUNTIFS(TransactionsData[Award ID],R8,TransactionsData[Selected],1))</f>
        <v>3</v>
      </c>
      <c r="Y8" s="57" t="n">
        <f aca="false">IF(R8="","",COUNTIFS(TransactionsData[Award ID],R8,TransactionsData[Dimension match],1))</f>
        <v>3</v>
      </c>
    </row>
    <row r="9" customFormat="false" ht="38" hidden="false" customHeight="true" outlineLevel="0" collapsed="false">
      <c r="A9" s="54" t="str">
        <f aca="false">IF(S9="","",IF(U9="",S9,HYPERLINK(U9,S9)))</f>
        <v>47QTCA19D00GN-49100421F0206</v>
      </c>
      <c r="B9" s="54" t="str">
        <f aca="false">IF(T9="","",IF(V9="",T9,HYPERLINK(V9,T9)))</f>
        <v>Lynker Corporation</v>
      </c>
      <c r="C9" s="60" t="s">
        <v>147</v>
      </c>
      <c r="D9" s="56" t="n">
        <f aca="false">IF(R9="","",IF(Trends!$B$6&lt;&gt;"","",SUMIFS(TransactionsData[Obligations],TransactionsData[Award ID],R9,TransactionsData[Selected],1)))</f>
        <v>2603796</v>
      </c>
      <c r="E9" s="56" t="n">
        <f aca="false">IF(R9="","",IF(Trends!$B$6&lt;&gt;"","",SUMIFS(TransactionsData[Obligations],TransactionsData[Award ID],R9,TransactionsData[Dimension match],1)))</f>
        <v>11767038</v>
      </c>
      <c r="F9" s="61" t="s">
        <v>12</v>
      </c>
      <c r="G9" s="61" t="s">
        <v>59</v>
      </c>
      <c r="H9" s="58" t="s">
        <v>58</v>
      </c>
      <c r="I9" s="62" t="n">
        <v>21463883.5</v>
      </c>
      <c r="J9" s="62" t="n">
        <v>24021677.82</v>
      </c>
      <c r="K9" s="63" t="n">
        <v>44510</v>
      </c>
      <c r="L9" s="63" t="n">
        <v>46350</v>
      </c>
      <c r="M9" s="58" t="s">
        <v>257</v>
      </c>
      <c r="N9" s="58" t="s">
        <v>258</v>
      </c>
      <c r="O9" s="58" t="s">
        <v>252</v>
      </c>
      <c r="P9" s="58" t="s">
        <v>259</v>
      </c>
      <c r="Q9" s="63" t="n">
        <v>46279</v>
      </c>
      <c r="R9" s="58" t="s">
        <v>260</v>
      </c>
      <c r="S9" s="58" t="s">
        <v>261</v>
      </c>
      <c r="T9" s="58" t="s">
        <v>146</v>
      </c>
      <c r="U9" s="58" t="s">
        <v>262</v>
      </c>
      <c r="V9" s="58" t="s">
        <v>148</v>
      </c>
      <c r="W9" s="57" t="str">
        <f aca="false">IF(R9="",IF(COUNTA(C9,F9:V9)&gt;0,"Missing award ID",""),IF(COUNTIFS(AwardsData[Award ID],R9)&lt;&gt;1,"Duplicate award ID",IF(OR(S9="",T9="",F9=""),"Add reference, vendor and award type",IF(OR(AND(I9&lt;&gt;"",NOT(ISNUMBER(I9))),AND(J9&lt;&gt;"",NOT(ISNUMBER(J9)))),"Use numeric snapshot amounts",IF(OR(COUNTIF(AwardTypeCategories,F9)&lt;&gt;1,COUNTIF(SetAsideCategories,G9)&lt;&gt;1,COUNTIF(PerformanceStateCategories,H9)&lt;&gt;1),"New category: refresh report","")))))</f>
        <v/>
      </c>
      <c r="X9" s="57" t="n">
        <f aca="false">IF(R9="","",COUNTIFS(TransactionsData[Award ID],R9,TransactionsData[Selected],1))</f>
        <v>2</v>
      </c>
      <c r="Y9" s="57" t="n">
        <f aca="false">IF(R9="","",COUNTIFS(TransactionsData[Award ID],R9,TransactionsData[Dimension match],1))</f>
        <v>9</v>
      </c>
    </row>
    <row r="10" customFormat="false" ht="38" hidden="false" customHeight="true" outlineLevel="0" collapsed="false">
      <c r="A10" s="54" t="str">
        <f aca="false">IF(S10="","",IF(U10="",S10,HYPERLINK(U10,S10)))</f>
        <v>47QTCA23D0037-49100424F0196</v>
      </c>
      <c r="B10" s="54" t="str">
        <f aca="false">IF(T10="","",IF(V10="",T10,HYPERLINK(V10,T10)))</f>
        <v>Criterion Systems, L.L.C.</v>
      </c>
      <c r="C10" s="60" t="s">
        <v>119</v>
      </c>
      <c r="D10" s="56" t="n">
        <f aca="false">IF(R10="","",IF(Trends!$B$6&lt;&gt;"","",SUMIFS(TransactionsData[Obligations],TransactionsData[Award ID],R10,TransactionsData[Selected],1)))</f>
        <v>4033263.98</v>
      </c>
      <c r="E10" s="56" t="n">
        <f aca="false">IF(R10="","",IF(Trends!$B$6&lt;&gt;"","",SUMIFS(TransactionsData[Obligations],TransactionsData[Award ID],R10,TransactionsData[Dimension match],1)))</f>
        <v>5442892.88</v>
      </c>
      <c r="F10" s="61" t="s">
        <v>12</v>
      </c>
      <c r="G10" s="61" t="s">
        <v>59</v>
      </c>
      <c r="H10" s="58" t="s">
        <v>58</v>
      </c>
      <c r="I10" s="62" t="n">
        <v>5322165.25</v>
      </c>
      <c r="J10" s="62" t="n">
        <v>5442892.88</v>
      </c>
      <c r="K10" s="63" t="n">
        <v>45536</v>
      </c>
      <c r="L10" s="63" t="n">
        <v>45900</v>
      </c>
      <c r="M10" s="58" t="s">
        <v>250</v>
      </c>
      <c r="N10" s="58" t="s">
        <v>263</v>
      </c>
      <c r="O10" s="58" t="s">
        <v>252</v>
      </c>
      <c r="P10" s="58" t="s">
        <v>253</v>
      </c>
      <c r="Q10" s="63" t="n">
        <v>46279</v>
      </c>
      <c r="R10" s="58" t="s">
        <v>264</v>
      </c>
      <c r="S10" s="58" t="s">
        <v>265</v>
      </c>
      <c r="T10" s="58" t="s">
        <v>118</v>
      </c>
      <c r="U10" s="58" t="s">
        <v>266</v>
      </c>
      <c r="V10" s="58" t="s">
        <v>120</v>
      </c>
      <c r="W10" s="57" t="str">
        <f aca="false">IF(R10="",IF(COUNTA(C10,F10:V10)&gt;0,"Missing award ID",""),IF(COUNTIFS(AwardsData[Award ID],R10)&lt;&gt;1,"Duplicate award ID",IF(OR(S10="",T10="",F10=""),"Add reference, vendor and award type",IF(OR(AND(I10&lt;&gt;"",NOT(ISNUMBER(I10))),AND(J10&lt;&gt;"",NOT(ISNUMBER(J10)))),"Use numeric snapshot amounts",IF(OR(COUNTIF(AwardTypeCategories,F10)&lt;&gt;1,COUNTIF(SetAsideCategories,G10)&lt;&gt;1,COUNTIF(PerformanceStateCategories,H10)&lt;&gt;1),"New category: refresh report","")))))</f>
        <v/>
      </c>
      <c r="X10" s="57" t="n">
        <f aca="false">IF(R10="","",COUNTIFS(TransactionsData[Award ID],R10,TransactionsData[Selected],1))</f>
        <v>5</v>
      </c>
      <c r="Y10" s="57" t="n">
        <f aca="false">IF(R10="","",COUNTIFS(TransactionsData[Award ID],R10,TransactionsData[Dimension match],1))</f>
        <v>6</v>
      </c>
    </row>
    <row r="11" customFormat="false" ht="38" hidden="false" customHeight="true" outlineLevel="0" collapsed="false">
      <c r="A11" s="54" t="str">
        <f aca="false">IF(S11="","",IF(U11="",S11,HYPERLINK(U11,S11)))</f>
        <v>47QTCA23D0037-49100425F0092</v>
      </c>
      <c r="B11" s="54" t="str">
        <f aca="false">IF(T11="","",IF(V11="",T11,HYPERLINK(V11,T11)))</f>
        <v>Criterion Systems, L.L.C.</v>
      </c>
      <c r="C11" s="60" t="s">
        <v>119</v>
      </c>
      <c r="D11" s="56" t="n">
        <f aca="false">IF(R11="","",IF(Trends!$B$6&lt;&gt;"","",SUMIFS(TransactionsData[Obligations],TransactionsData[Award ID],R11,TransactionsData[Selected],1)))</f>
        <v>1000000</v>
      </c>
      <c r="E11" s="56" t="n">
        <f aca="false">IF(R11="","",IF(Trends!$B$6&lt;&gt;"","",SUMIFS(TransactionsData[Obligations],TransactionsData[Award ID],R11,TransactionsData[Dimension match],1)))</f>
        <v>1000000</v>
      </c>
      <c r="F11" s="61" t="s">
        <v>12</v>
      </c>
      <c r="G11" s="61" t="s">
        <v>59</v>
      </c>
      <c r="H11" s="58" t="s">
        <v>58</v>
      </c>
      <c r="I11" s="62" t="n">
        <v>2828000</v>
      </c>
      <c r="J11" s="62" t="n">
        <v>2958704.96</v>
      </c>
      <c r="K11" s="63" t="n">
        <v>45901</v>
      </c>
      <c r="L11" s="63" t="n">
        <v>46081</v>
      </c>
      <c r="M11" s="58" t="s">
        <v>250</v>
      </c>
      <c r="N11" s="58" t="s">
        <v>263</v>
      </c>
      <c r="O11" s="58" t="s">
        <v>252</v>
      </c>
      <c r="P11" s="58" t="s">
        <v>253</v>
      </c>
      <c r="Q11" s="63" t="n">
        <v>46279</v>
      </c>
      <c r="R11" s="58" t="s">
        <v>267</v>
      </c>
      <c r="S11" s="58" t="s">
        <v>268</v>
      </c>
      <c r="T11" s="58" t="s">
        <v>118</v>
      </c>
      <c r="U11" s="58" t="s">
        <v>269</v>
      </c>
      <c r="V11" s="58" t="s">
        <v>120</v>
      </c>
      <c r="W11" s="57" t="str">
        <f aca="false">IF(R11="",IF(COUNTA(C11,F11:V11)&gt;0,"Missing award ID",""),IF(COUNTIFS(AwardsData[Award ID],R11)&lt;&gt;1,"Duplicate award ID",IF(OR(S11="",T11="",F11=""),"Add reference, vendor and award type",IF(OR(AND(I11&lt;&gt;"",NOT(ISNUMBER(I11))),AND(J11&lt;&gt;"",NOT(ISNUMBER(J11)))),"Use numeric snapshot amounts",IF(OR(COUNTIF(AwardTypeCategories,F11)&lt;&gt;1,COUNTIF(SetAsideCategories,G11)&lt;&gt;1,COUNTIF(PerformanceStateCategories,H11)&lt;&gt;1),"New category: refresh report","")))))</f>
        <v/>
      </c>
      <c r="X11" s="57" t="n">
        <f aca="false">IF(R11="","",COUNTIFS(TransactionsData[Award ID],R11,TransactionsData[Selected],1))</f>
        <v>1</v>
      </c>
      <c r="Y11" s="57" t="n">
        <f aca="false">IF(R11="","",COUNTIFS(TransactionsData[Award ID],R11,TransactionsData[Dimension match],1))</f>
        <v>1</v>
      </c>
    </row>
    <row r="12" customFormat="false" ht="38" hidden="false" customHeight="true" outlineLevel="0" collapsed="false">
      <c r="A12" s="54" t="str">
        <f aca="false">IF(S12="","",IF(U12="",S12,HYPERLINK(U12,S12)))</f>
        <v>47QTCB21D0005-49100422F0014</v>
      </c>
      <c r="B12" s="54" t="str">
        <f aca="false">IF(T12="","",IF(V12="",T12,HYPERLINK(V12,T12)))</f>
        <v>GBS Solutions Corp</v>
      </c>
      <c r="C12" s="60" t="s">
        <v>139</v>
      </c>
      <c r="D12" s="56" t="n">
        <f aca="false">IF(R12="","",IF(Trends!$B$6&lt;&gt;"","",SUMIFS(TransactionsData[Obligations],TransactionsData[Award ID],R12,TransactionsData[Selected],1)))</f>
        <v>16430.4</v>
      </c>
      <c r="E12" s="56" t="n">
        <f aca="false">IF(R12="","",IF(Trends!$B$6&lt;&gt;"","",SUMIFS(TransactionsData[Obligations],TransactionsData[Award ID],R12,TransactionsData[Dimension match],1)))</f>
        <v>189283.8</v>
      </c>
      <c r="F12" s="61" t="s">
        <v>12</v>
      </c>
      <c r="G12" s="61" t="s">
        <v>59</v>
      </c>
      <c r="H12" s="58" t="s">
        <v>58</v>
      </c>
      <c r="I12" s="62" t="n">
        <v>340482.41</v>
      </c>
      <c r="J12" s="62" t="n">
        <v>372893.57</v>
      </c>
      <c r="K12" s="63" t="n">
        <v>44593</v>
      </c>
      <c r="L12" s="63" t="n">
        <v>46053</v>
      </c>
      <c r="M12" s="58" t="s">
        <v>250</v>
      </c>
      <c r="N12" s="58" t="s">
        <v>270</v>
      </c>
      <c r="O12" s="58" t="s">
        <v>252</v>
      </c>
      <c r="P12" s="58" t="s">
        <v>271</v>
      </c>
      <c r="Q12" s="63" t="n">
        <v>46279</v>
      </c>
      <c r="R12" s="58" t="s">
        <v>272</v>
      </c>
      <c r="S12" s="58" t="s">
        <v>273</v>
      </c>
      <c r="T12" s="58" t="s">
        <v>138</v>
      </c>
      <c r="U12" s="58" t="s">
        <v>274</v>
      </c>
      <c r="V12" s="58" t="s">
        <v>140</v>
      </c>
      <c r="W12" s="57" t="str">
        <f aca="false">IF(R12="",IF(COUNTA(C12,F12:V12)&gt;0,"Missing award ID",""),IF(COUNTIFS(AwardsData[Award ID],R12)&lt;&gt;1,"Duplicate award ID",IF(OR(S12="",T12="",F12=""),"Add reference, vendor and award type",IF(OR(AND(I12&lt;&gt;"",NOT(ISNUMBER(I12))),AND(J12&lt;&gt;"",NOT(ISNUMBER(J12)))),"Use numeric snapshot amounts",IF(OR(COUNTIF(AwardTypeCategories,F12)&lt;&gt;1,COUNTIF(SetAsideCategories,G12)&lt;&gt;1,COUNTIF(PerformanceStateCategories,H12)&lt;&gt;1),"New category: refresh report","")))))</f>
        <v/>
      </c>
      <c r="X12" s="57" t="n">
        <f aca="false">IF(R12="","",COUNTIFS(TransactionsData[Award ID],R12,TransactionsData[Selected],1))</f>
        <v>2</v>
      </c>
      <c r="Y12" s="57" t="n">
        <f aca="false">IF(R12="","",COUNTIFS(TransactionsData[Award ID],R12,TransactionsData[Dimension match],1))</f>
        <v>4</v>
      </c>
    </row>
    <row r="13" customFormat="false" ht="38" hidden="false" customHeight="true" outlineLevel="0" collapsed="false">
      <c r="A13" s="54" t="str">
        <f aca="false">IF(S13="","",IF(U13="",S13,HYPERLINK(U13,S13)))</f>
        <v>47QTCB21D0005-49100422F0104</v>
      </c>
      <c r="B13" s="54" t="str">
        <f aca="false">IF(T13="","",IF(V13="",T13,HYPERLINK(V13,T13)))</f>
        <v>GBS Solutions Corp</v>
      </c>
      <c r="C13" s="60" t="s">
        <v>139</v>
      </c>
      <c r="D13" s="56" t="n">
        <f aca="false">IF(R13="","",IF(Trends!$B$6&lt;&gt;"","",SUMIFS(TransactionsData[Obligations],TransactionsData[Award ID],R13,TransactionsData[Selected],1)))</f>
        <v>174095.68</v>
      </c>
      <c r="E13" s="56" t="n">
        <f aca="false">IF(R13="","",IF(Trends!$B$6&lt;&gt;"","",SUMIFS(TransactionsData[Obligations],TransactionsData[Award ID],R13,TransactionsData[Dimension match],1)))</f>
        <v>3343911.55</v>
      </c>
      <c r="F13" s="61" t="s">
        <v>12</v>
      </c>
      <c r="G13" s="61" t="s">
        <v>61</v>
      </c>
      <c r="H13" s="58" t="s">
        <v>60</v>
      </c>
      <c r="I13" s="62" t="n">
        <v>1490088.35</v>
      </c>
      <c r="J13" s="62" t="n">
        <v>4674057.4</v>
      </c>
      <c r="K13" s="63" t="n">
        <v>44743</v>
      </c>
      <c r="L13" s="63" t="n">
        <v>45838</v>
      </c>
      <c r="M13" s="58" t="s">
        <v>275</v>
      </c>
      <c r="N13" s="58" t="s">
        <v>270</v>
      </c>
      <c r="O13" s="58" t="s">
        <v>252</v>
      </c>
      <c r="P13" s="58" t="s">
        <v>271</v>
      </c>
      <c r="Q13" s="63" t="n">
        <v>46279</v>
      </c>
      <c r="R13" s="58" t="s">
        <v>276</v>
      </c>
      <c r="S13" s="58" t="s">
        <v>277</v>
      </c>
      <c r="T13" s="58" t="s">
        <v>138</v>
      </c>
      <c r="U13" s="58" t="s">
        <v>278</v>
      </c>
      <c r="V13" s="58" t="s">
        <v>140</v>
      </c>
      <c r="W13" s="57" t="str">
        <f aca="false">IF(R13="",IF(COUNTA(C13,F13:V13)&gt;0,"Missing award ID",""),IF(COUNTIFS(AwardsData[Award ID],R13)&lt;&gt;1,"Duplicate award ID",IF(OR(S13="",T13="",F13=""),"Add reference, vendor and award type",IF(OR(AND(I13&lt;&gt;"",NOT(ISNUMBER(I13))),AND(J13&lt;&gt;"",NOT(ISNUMBER(J13)))),"Use numeric snapshot amounts",IF(OR(COUNTIF(AwardTypeCategories,F13)&lt;&gt;1,COUNTIF(SetAsideCategories,G13)&lt;&gt;1,COUNTIF(PerformanceStateCategories,H13)&lt;&gt;1),"New category: refresh report","")))))</f>
        <v/>
      </c>
      <c r="X13" s="57" t="n">
        <f aca="false">IF(R13="","",COUNTIFS(TransactionsData[Award ID],R13,TransactionsData[Selected],1))</f>
        <v>2</v>
      </c>
      <c r="Y13" s="57" t="n">
        <f aca="false">IF(R13="","",COUNTIFS(TransactionsData[Award ID],R13,TransactionsData[Dimension match],1))</f>
        <v>6</v>
      </c>
    </row>
    <row r="14" customFormat="false" ht="38" hidden="false" customHeight="true" outlineLevel="0" collapsed="false">
      <c r="A14" s="54" t="str">
        <f aca="false">IF(S14="","",IF(U14="",S14,HYPERLINK(U14,S14)))</f>
        <v>47QTCB21D0005-49100423F0061</v>
      </c>
      <c r="B14" s="54" t="str">
        <f aca="false">IF(T14="","",IF(V14="",T14,HYPERLINK(V14,T14)))</f>
        <v>GBS Solutions Corp</v>
      </c>
      <c r="C14" s="60" t="s">
        <v>139</v>
      </c>
      <c r="D14" s="56" t="n">
        <f aca="false">IF(R14="","",IF(Trends!$B$6&lt;&gt;"","",SUMIFS(TransactionsData[Obligations],TransactionsData[Award ID],R14,TransactionsData[Selected],1)))</f>
        <v>-112336.2</v>
      </c>
      <c r="E14" s="56" t="n">
        <f aca="false">IF(R14="","",IF(Trends!$B$6&lt;&gt;"","",SUMIFS(TransactionsData[Obligations],TransactionsData[Award ID],R14,TransactionsData[Dimension match],1)))</f>
        <v>386256.6</v>
      </c>
      <c r="F14" s="61" t="s">
        <v>12</v>
      </c>
      <c r="G14" s="61" t="s">
        <v>59</v>
      </c>
      <c r="H14" s="58" t="s">
        <v>60</v>
      </c>
      <c r="I14" s="62" t="n">
        <v>386256.6</v>
      </c>
      <c r="J14" s="62" t="n">
        <v>498592.8</v>
      </c>
      <c r="K14" s="63" t="n">
        <v>45026</v>
      </c>
      <c r="L14" s="63" t="n">
        <v>45291</v>
      </c>
      <c r="M14" s="58" t="s">
        <v>275</v>
      </c>
      <c r="N14" s="58" t="s">
        <v>270</v>
      </c>
      <c r="O14" s="58" t="s">
        <v>252</v>
      </c>
      <c r="P14" s="58" t="s">
        <v>271</v>
      </c>
      <c r="Q14" s="63" t="n">
        <v>46279</v>
      </c>
      <c r="R14" s="58" t="s">
        <v>279</v>
      </c>
      <c r="S14" s="58" t="s">
        <v>280</v>
      </c>
      <c r="T14" s="58" t="s">
        <v>138</v>
      </c>
      <c r="U14" s="58" t="s">
        <v>281</v>
      </c>
      <c r="V14" s="58" t="s">
        <v>140</v>
      </c>
      <c r="W14" s="57" t="str">
        <f aca="false">IF(R14="",IF(COUNTA(C14,F14:V14)&gt;0,"Missing award ID",""),IF(COUNTIFS(AwardsData[Award ID],R14)&lt;&gt;1,"Duplicate award ID",IF(OR(S14="",T14="",F14=""),"Add reference, vendor and award type",IF(OR(AND(I14&lt;&gt;"",NOT(ISNUMBER(I14))),AND(J14&lt;&gt;"",NOT(ISNUMBER(J14)))),"Use numeric snapshot amounts",IF(OR(COUNTIF(AwardTypeCategories,F14)&lt;&gt;1,COUNTIF(SetAsideCategories,G14)&lt;&gt;1,COUNTIF(PerformanceStateCategories,H14)&lt;&gt;1),"New category: refresh report","")))))</f>
        <v/>
      </c>
      <c r="X14" s="57" t="n">
        <f aca="false">IF(R14="","",COUNTIFS(TransactionsData[Award ID],R14,TransactionsData[Selected],1))</f>
        <v>1</v>
      </c>
      <c r="Y14" s="57" t="n">
        <f aca="false">IF(R14="","",COUNTIFS(TransactionsData[Award ID],R14,TransactionsData[Dimension match],1))</f>
        <v>2</v>
      </c>
    </row>
    <row r="15" customFormat="false" ht="38" hidden="false" customHeight="true" outlineLevel="0" collapsed="false">
      <c r="A15" s="54" t="str">
        <f aca="false">IF(S15="","",IF(U15="",S15,HYPERLINK(U15,S15)))</f>
        <v>47QTCB21D0016-49100424F0029</v>
      </c>
      <c r="B15" s="54" t="str">
        <f aca="false">IF(T15="","",IF(V15="",T15,HYPERLINK(V15,T15)))</f>
        <v>Professional Management Consulting Services LLC</v>
      </c>
      <c r="C15" s="60" t="s">
        <v>154</v>
      </c>
      <c r="D15" s="56" t="n">
        <f aca="false">IF(R15="","",IF(Trends!$B$6&lt;&gt;"","",SUMIFS(TransactionsData[Obligations],TransactionsData[Award ID],R15,TransactionsData[Selected],1)))</f>
        <v>495382.97</v>
      </c>
      <c r="E15" s="56" t="n">
        <f aca="false">IF(R15="","",IF(Trends!$B$6&lt;&gt;"","",SUMIFS(TransactionsData[Obligations],TransactionsData[Award ID],R15,TransactionsData[Dimension match],1)))</f>
        <v>1024335.11</v>
      </c>
      <c r="F15" s="61" t="s">
        <v>12</v>
      </c>
      <c r="G15" s="61" t="s">
        <v>63</v>
      </c>
      <c r="H15" s="58" t="s">
        <v>65</v>
      </c>
      <c r="I15" s="62" t="n">
        <v>1024335.11</v>
      </c>
      <c r="J15" s="62" t="n">
        <v>2611752.07</v>
      </c>
      <c r="K15" s="63" t="n">
        <v>45362</v>
      </c>
      <c r="L15" s="63" t="n">
        <v>46022</v>
      </c>
      <c r="M15" s="58" t="s">
        <v>282</v>
      </c>
      <c r="N15" s="58" t="s">
        <v>283</v>
      </c>
      <c r="O15" s="58" t="s">
        <v>252</v>
      </c>
      <c r="P15" s="58" t="s">
        <v>271</v>
      </c>
      <c r="Q15" s="63" t="n">
        <v>46279</v>
      </c>
      <c r="R15" s="58" t="s">
        <v>284</v>
      </c>
      <c r="S15" s="58" t="s">
        <v>285</v>
      </c>
      <c r="T15" s="58" t="s">
        <v>153</v>
      </c>
      <c r="U15" s="58" t="s">
        <v>286</v>
      </c>
      <c r="V15" s="58" t="s">
        <v>155</v>
      </c>
      <c r="W15" s="57" t="str">
        <f aca="false">IF(R15="",IF(COUNTA(C15,F15:V15)&gt;0,"Missing award ID",""),IF(COUNTIFS(AwardsData[Award ID],R15)&lt;&gt;1,"Duplicate award ID",IF(OR(S15="",T15="",F15=""),"Add reference, vendor and award type",IF(OR(AND(I15&lt;&gt;"",NOT(ISNUMBER(I15))),AND(J15&lt;&gt;"",NOT(ISNUMBER(J15)))),"Use numeric snapshot amounts",IF(OR(COUNTIF(AwardTypeCategories,F15)&lt;&gt;1,COUNTIF(SetAsideCategories,G15)&lt;&gt;1,COUNTIF(PerformanceStateCategories,H15)&lt;&gt;1),"New category: refresh report","")))))</f>
        <v/>
      </c>
      <c r="X15" s="57" t="n">
        <f aca="false">IF(R15="","",COUNTIFS(TransactionsData[Award ID],R15,TransactionsData[Selected],1))</f>
        <v>2</v>
      </c>
      <c r="Y15" s="57" t="n">
        <f aca="false">IF(R15="","",COUNTIFS(TransactionsData[Award ID],R15,TransactionsData[Dimension match],1))</f>
        <v>3</v>
      </c>
    </row>
    <row r="16" customFormat="false" ht="38" hidden="false" customHeight="true" outlineLevel="0" collapsed="false">
      <c r="A16" s="54" t="str">
        <f aca="false">IF(S16="","",IF(U16="",S16,HYPERLINK(U16,S16)))</f>
        <v>47QTCB21D0271-49100424F0075</v>
      </c>
      <c r="B16" s="54" t="str">
        <f aca="false">IF(T16="","",IF(V16="",T16,HYPERLINK(V16,T16)))</f>
        <v>Expediteinfotech, Inc.</v>
      </c>
      <c r="C16" s="60" t="s">
        <v>127</v>
      </c>
      <c r="D16" s="56" t="n">
        <f aca="false">IF(R16="","",IF(Trends!$B$6&lt;&gt;"","",SUMIFS(TransactionsData[Obligations],TransactionsData[Award ID],R16,TransactionsData[Selected],1)))</f>
        <v>150188.63</v>
      </c>
      <c r="E16" s="56" t="n">
        <f aca="false">IF(R16="","",IF(Trends!$B$6&lt;&gt;"","",SUMIFS(TransactionsData[Obligations],TransactionsData[Award ID],R16,TransactionsData[Dimension match],1)))</f>
        <v>401509.51</v>
      </c>
      <c r="F16" s="61" t="s">
        <v>12</v>
      </c>
      <c r="G16" s="61" t="s">
        <v>61</v>
      </c>
      <c r="H16" s="58" t="s">
        <v>62</v>
      </c>
      <c r="I16" s="62" t="n">
        <v>401509.51</v>
      </c>
      <c r="J16" s="62" t="n">
        <v>401509.51</v>
      </c>
      <c r="K16" s="63" t="n">
        <v>45393</v>
      </c>
      <c r="L16" s="63" t="n">
        <v>46122</v>
      </c>
      <c r="M16" s="58" t="s">
        <v>287</v>
      </c>
      <c r="N16" s="58" t="s">
        <v>288</v>
      </c>
      <c r="O16" s="58" t="s">
        <v>252</v>
      </c>
      <c r="P16" s="58" t="s">
        <v>271</v>
      </c>
      <c r="Q16" s="63" t="n">
        <v>46279</v>
      </c>
      <c r="R16" s="58" t="s">
        <v>289</v>
      </c>
      <c r="S16" s="58" t="s">
        <v>290</v>
      </c>
      <c r="T16" s="58" t="s">
        <v>126</v>
      </c>
      <c r="U16" s="58" t="s">
        <v>291</v>
      </c>
      <c r="V16" s="58" t="s">
        <v>128</v>
      </c>
      <c r="W16" s="57" t="str">
        <f aca="false">IF(R16="",IF(COUNTA(C16,F16:V16)&gt;0,"Missing award ID",""),IF(COUNTIFS(AwardsData[Award ID],R16)&lt;&gt;1,"Duplicate award ID",IF(OR(S16="",T16="",F16=""),"Add reference, vendor and award type",IF(OR(AND(I16&lt;&gt;"",NOT(ISNUMBER(I16))),AND(J16&lt;&gt;"",NOT(ISNUMBER(J16)))),"Use numeric snapshot amounts",IF(OR(COUNTIF(AwardTypeCategories,F16)&lt;&gt;1,COUNTIF(SetAsideCategories,G16)&lt;&gt;1,COUNTIF(PerformanceStateCategories,H16)&lt;&gt;1),"New category: refresh report","")))))</f>
        <v/>
      </c>
      <c r="X16" s="57" t="n">
        <f aca="false">IF(R16="","",COUNTIFS(TransactionsData[Award ID],R16,TransactionsData[Selected],1))</f>
        <v>2</v>
      </c>
      <c r="Y16" s="57" t="n">
        <f aca="false">IF(R16="","",COUNTIFS(TransactionsData[Award ID],R16,TransactionsData[Dimension match],1))</f>
        <v>3</v>
      </c>
    </row>
    <row r="17" customFormat="false" ht="38" hidden="false" customHeight="true" outlineLevel="0" collapsed="false">
      <c r="A17" s="54" t="str">
        <f aca="false">IF(S17="","",IF(U17="",S17,HYPERLINK(U17,S17)))</f>
        <v>47QTCB22D0076-49100423F0221</v>
      </c>
      <c r="B17" s="54" t="str">
        <f aca="false">IF(T17="","",IF(V17="",T17,HYPERLINK(V17,T17)))</f>
        <v>Ibex It Business Experts LLC</v>
      </c>
      <c r="C17" s="60" t="s">
        <v>143</v>
      </c>
      <c r="D17" s="56" t="n">
        <f aca="false">IF(R17="","",IF(Trends!$B$6&lt;&gt;"","",SUMIFS(TransactionsData[Obligations],TransactionsData[Award ID],R17,TransactionsData[Selected],1)))</f>
        <v>0</v>
      </c>
      <c r="E17" s="56" t="n">
        <f aca="false">IF(R17="","",IF(Trends!$B$6&lt;&gt;"","",SUMIFS(TransactionsData[Obligations],TransactionsData[Award ID],R17,TransactionsData[Dimension match],1)))</f>
        <v>232001.07</v>
      </c>
      <c r="F17" s="61" t="s">
        <v>12</v>
      </c>
      <c r="G17" s="61" t="s">
        <v>59</v>
      </c>
      <c r="H17" s="58" t="s">
        <v>58</v>
      </c>
      <c r="I17" s="62" t="n">
        <v>232001.07</v>
      </c>
      <c r="J17" s="62" t="n">
        <v>292897.87</v>
      </c>
      <c r="K17" s="63" t="n">
        <v>45180</v>
      </c>
      <c r="L17" s="63" t="n">
        <v>45910</v>
      </c>
      <c r="M17" s="58" t="s">
        <v>250</v>
      </c>
      <c r="N17" s="58" t="s">
        <v>292</v>
      </c>
      <c r="O17" s="58" t="s">
        <v>252</v>
      </c>
      <c r="P17" s="58" t="s">
        <v>271</v>
      </c>
      <c r="Q17" s="63" t="n">
        <v>46279</v>
      </c>
      <c r="R17" s="58" t="s">
        <v>293</v>
      </c>
      <c r="S17" s="58" t="s">
        <v>294</v>
      </c>
      <c r="T17" s="58" t="s">
        <v>142</v>
      </c>
      <c r="U17" s="58" t="s">
        <v>295</v>
      </c>
      <c r="V17" s="58" t="s">
        <v>144</v>
      </c>
      <c r="W17" s="57" t="str">
        <f aca="false">IF(R17="",IF(COUNTA(C17,F17:V17)&gt;0,"Missing award ID",""),IF(COUNTIFS(AwardsData[Award ID],R17)&lt;&gt;1,"Duplicate award ID",IF(OR(S17="",T17="",F17=""),"Add reference, vendor and award type",IF(OR(AND(I17&lt;&gt;"",NOT(ISNUMBER(I17))),AND(J17&lt;&gt;"",NOT(ISNUMBER(J17)))),"Use numeric snapshot amounts",IF(OR(COUNTIF(AwardTypeCategories,F17)&lt;&gt;1,COUNTIF(SetAsideCategories,G17)&lt;&gt;1,COUNTIF(PerformanceStateCategories,H17)&lt;&gt;1),"New category: refresh report","")))))</f>
        <v/>
      </c>
      <c r="X17" s="57" t="n">
        <f aca="false">IF(R17="","",COUNTIFS(TransactionsData[Award ID],R17,TransactionsData[Selected],1))</f>
        <v>0</v>
      </c>
      <c r="Y17" s="57" t="n">
        <f aca="false">IF(R17="","",COUNTIFS(TransactionsData[Award ID],R17,TransactionsData[Dimension match],1))</f>
        <v>2</v>
      </c>
    </row>
    <row r="18" customFormat="false" ht="38" hidden="false" customHeight="true" outlineLevel="0" collapsed="false">
      <c r="A18" s="54" t="str">
        <f aca="false">IF(S18="","",IF(U18="",S18,HYPERLINK(U18,S18)))</f>
        <v>47QTCK18D0004-49100424F0001</v>
      </c>
      <c r="B18" s="54" t="str">
        <f aca="false">IF(T18="","",IF(V18="",T18,HYPERLINK(V18,T18)))</f>
        <v>Booz Allen Hamilton Inc.</v>
      </c>
      <c r="C18" s="60" t="s">
        <v>111</v>
      </c>
      <c r="D18" s="56" t="n">
        <f aca="false">IF(R18="","",IF(Trends!$B$6&lt;&gt;"","",SUMIFS(TransactionsData[Obligations],TransactionsData[Award ID],R18,TransactionsData[Selected],1)))</f>
        <v>53165050.72</v>
      </c>
      <c r="E18" s="56" t="n">
        <f aca="false">IF(R18="","",IF(Trends!$B$6&lt;&gt;"","",SUMIFS(TransactionsData[Obligations],TransactionsData[Award ID],R18,TransactionsData[Dimension match],1)))</f>
        <v>101003334.72</v>
      </c>
      <c r="F18" s="61" t="s">
        <v>12</v>
      </c>
      <c r="G18" s="61" t="s">
        <v>59</v>
      </c>
      <c r="H18" s="58" t="s">
        <v>58</v>
      </c>
      <c r="I18" s="62" t="n">
        <v>149176534.72</v>
      </c>
      <c r="J18" s="62" t="n">
        <v>419341814.4</v>
      </c>
      <c r="K18" s="63" t="n">
        <v>45292</v>
      </c>
      <c r="L18" s="63" t="n">
        <v>46387</v>
      </c>
      <c r="M18" s="58" t="s">
        <v>250</v>
      </c>
      <c r="N18" s="58" t="s">
        <v>296</v>
      </c>
      <c r="O18" s="58" t="s">
        <v>252</v>
      </c>
      <c r="P18" s="58" t="s">
        <v>271</v>
      </c>
      <c r="Q18" s="63" t="n">
        <v>46279</v>
      </c>
      <c r="R18" s="58" t="s">
        <v>297</v>
      </c>
      <c r="S18" s="58" t="s">
        <v>298</v>
      </c>
      <c r="T18" s="58" t="s">
        <v>110</v>
      </c>
      <c r="U18" s="58" t="s">
        <v>299</v>
      </c>
      <c r="V18" s="58" t="s">
        <v>112</v>
      </c>
      <c r="W18" s="57" t="str">
        <f aca="false">IF(R18="",IF(COUNTA(C18,F18:V18)&gt;0,"Missing award ID",""),IF(COUNTIFS(AwardsData[Award ID],R18)&lt;&gt;1,"Duplicate award ID",IF(OR(S18="",T18="",F18=""),"Add reference, vendor and award type",IF(OR(AND(I18&lt;&gt;"",NOT(ISNUMBER(I18))),AND(J18&lt;&gt;"",NOT(ISNUMBER(J18)))),"Use numeric snapshot amounts",IF(OR(COUNTIF(AwardTypeCategories,F18)&lt;&gt;1,COUNTIF(SetAsideCategories,G18)&lt;&gt;1,COUNTIF(PerformanceStateCategories,H18)&lt;&gt;1),"New category: refresh report","")))))</f>
        <v/>
      </c>
      <c r="X18" s="57" t="n">
        <f aca="false">IF(R18="","",COUNTIFS(TransactionsData[Award ID],R18,TransactionsData[Selected],1))</f>
        <v>15</v>
      </c>
      <c r="Y18" s="57" t="n">
        <f aca="false">IF(R18="","",COUNTIFS(TransactionsData[Award ID],R18,TransactionsData[Dimension match],1))</f>
        <v>21</v>
      </c>
    </row>
    <row r="19" customFormat="false" ht="38" hidden="false" customHeight="true" outlineLevel="0" collapsed="false">
      <c r="A19" s="54" t="str">
        <f aca="false">IF(S19="","",IF(U19="",S19,HYPERLINK(U19,S19)))</f>
        <v>49100422A0002-49100423F0008</v>
      </c>
      <c r="B19" s="54" t="str">
        <f aca="false">IF(T19="","",IF(V19="",T19,HYPERLINK(V19,T19)))</f>
        <v>Directviz Solutions, LLC</v>
      </c>
      <c r="C19" s="60" t="s">
        <v>123</v>
      </c>
      <c r="D19" s="56" t="n">
        <f aca="false">IF(R19="","",IF(Trends!$B$6&lt;&gt;"","",SUMIFS(TransactionsData[Obligations],TransactionsData[Award ID],R19,TransactionsData[Selected],1)))</f>
        <v>0</v>
      </c>
      <c r="E19" s="56" t="n">
        <f aca="false">IF(R19="","",IF(Trends!$B$6&lt;&gt;"","",SUMIFS(TransactionsData[Obligations],TransactionsData[Award ID],R19,TransactionsData[Dimension match],1)))</f>
        <v>6769904.38</v>
      </c>
      <c r="F19" s="61" t="s">
        <v>5</v>
      </c>
      <c r="G19" s="61" t="s">
        <v>59</v>
      </c>
      <c r="H19" s="58" t="s">
        <v>58</v>
      </c>
      <c r="I19" s="62" t="n">
        <v>6769904.38</v>
      </c>
      <c r="J19" s="62" t="n">
        <v>6769904.38</v>
      </c>
      <c r="K19" s="63" t="n">
        <v>44915</v>
      </c>
      <c r="L19" s="63" t="n">
        <v>45279</v>
      </c>
      <c r="M19" s="58" t="s">
        <v>250</v>
      </c>
      <c r="N19" s="58" t="s">
        <v>300</v>
      </c>
      <c r="O19" s="58" t="s">
        <v>252</v>
      </c>
      <c r="P19" s="58" t="s">
        <v>259</v>
      </c>
      <c r="Q19" s="63" t="n">
        <v>46279</v>
      </c>
      <c r="R19" s="58" t="s">
        <v>301</v>
      </c>
      <c r="S19" s="58" t="s">
        <v>302</v>
      </c>
      <c r="T19" s="58" t="s">
        <v>122</v>
      </c>
      <c r="U19" s="58" t="s">
        <v>303</v>
      </c>
      <c r="V19" s="58" t="s">
        <v>124</v>
      </c>
      <c r="W19" s="57" t="str">
        <f aca="false">IF(R19="",IF(COUNTA(C19,F19:V19)&gt;0,"Missing award ID",""),IF(COUNTIFS(AwardsData[Award ID],R19)&lt;&gt;1,"Duplicate award ID",IF(OR(S19="",T19="",F19=""),"Add reference, vendor and award type",IF(OR(AND(I19&lt;&gt;"",NOT(ISNUMBER(I19))),AND(J19&lt;&gt;"",NOT(ISNUMBER(J19)))),"Use numeric snapshot amounts",IF(OR(COUNTIF(AwardTypeCategories,F19)&lt;&gt;1,COUNTIF(SetAsideCategories,G19)&lt;&gt;1,COUNTIF(PerformanceStateCategories,H19)&lt;&gt;1),"New category: refresh report","")))))</f>
        <v/>
      </c>
      <c r="X19" s="57" t="n">
        <f aca="false">IF(R19="","",COUNTIFS(TransactionsData[Award ID],R19,TransactionsData[Selected],1))</f>
        <v>0</v>
      </c>
      <c r="Y19" s="57" t="n">
        <f aca="false">IF(R19="","",COUNTIFS(TransactionsData[Award ID],R19,TransactionsData[Dimension match],1))</f>
        <v>3</v>
      </c>
    </row>
    <row r="20" customFormat="false" ht="38" hidden="false" customHeight="true" outlineLevel="0" collapsed="false">
      <c r="A20" s="54" t="str">
        <f aca="false">IF(S20="","",IF(U20="",S20,HYPERLINK(U20,S20)))</f>
        <v>49100422A0002-49100423F0032</v>
      </c>
      <c r="B20" s="54" t="str">
        <f aca="false">IF(T20="","",IF(V20="",T20,HYPERLINK(V20,T20)))</f>
        <v>Directviz Solutions, LLC</v>
      </c>
      <c r="C20" s="60" t="s">
        <v>123</v>
      </c>
      <c r="D20" s="56" t="n">
        <f aca="false">IF(R20="","",IF(Trends!$B$6&lt;&gt;"","",SUMIFS(TransactionsData[Obligations],TransactionsData[Award ID],R20,TransactionsData[Selected],1)))</f>
        <v>0</v>
      </c>
      <c r="E20" s="56" t="n">
        <f aca="false">IF(R20="","",IF(Trends!$B$6&lt;&gt;"","",SUMIFS(TransactionsData[Obligations],TransactionsData[Award ID],R20,TransactionsData[Dimension match],1)))</f>
        <v>2117544.12</v>
      </c>
      <c r="F20" s="61" t="s">
        <v>5</v>
      </c>
      <c r="G20" s="61" t="s">
        <v>59</v>
      </c>
      <c r="H20" s="58" t="s">
        <v>58</v>
      </c>
      <c r="I20" s="62" t="n">
        <v>2117544.12</v>
      </c>
      <c r="J20" s="62" t="n">
        <v>2117544.12</v>
      </c>
      <c r="K20" s="63" t="n">
        <v>44977</v>
      </c>
      <c r="L20" s="63" t="n">
        <v>45279</v>
      </c>
      <c r="M20" s="58" t="s">
        <v>250</v>
      </c>
      <c r="N20" s="58" t="s">
        <v>300</v>
      </c>
      <c r="O20" s="58" t="s">
        <v>252</v>
      </c>
      <c r="P20" s="58" t="s">
        <v>259</v>
      </c>
      <c r="Q20" s="63" t="n">
        <v>46279</v>
      </c>
      <c r="R20" s="58" t="s">
        <v>304</v>
      </c>
      <c r="S20" s="58" t="s">
        <v>305</v>
      </c>
      <c r="T20" s="58" t="s">
        <v>122</v>
      </c>
      <c r="U20" s="58" t="s">
        <v>306</v>
      </c>
      <c r="V20" s="58" t="s">
        <v>124</v>
      </c>
      <c r="W20" s="57" t="str">
        <f aca="false">IF(R20="",IF(COUNTA(C20,F20:V20)&gt;0,"Missing award ID",""),IF(COUNTIFS(AwardsData[Award ID],R20)&lt;&gt;1,"Duplicate award ID",IF(OR(S20="",T20="",F20=""),"Add reference, vendor and award type",IF(OR(AND(I20&lt;&gt;"",NOT(ISNUMBER(I20))),AND(J20&lt;&gt;"",NOT(ISNUMBER(J20)))),"Use numeric snapshot amounts",IF(OR(COUNTIF(AwardTypeCategories,F20)&lt;&gt;1,COUNTIF(SetAsideCategories,G20)&lt;&gt;1,COUNTIF(PerformanceStateCategories,H20)&lt;&gt;1),"New category: refresh report","")))))</f>
        <v/>
      </c>
      <c r="X20" s="57" t="n">
        <f aca="false">IF(R20="","",COUNTIFS(TransactionsData[Award ID],R20,TransactionsData[Selected],1))</f>
        <v>0</v>
      </c>
      <c r="Y20" s="57" t="n">
        <f aca="false">IF(R20="","",COUNTIFS(TransactionsData[Award ID],R20,TransactionsData[Dimension match],1))</f>
        <v>4</v>
      </c>
    </row>
    <row r="21" customFormat="false" ht="38" hidden="false" customHeight="true" outlineLevel="0" collapsed="false">
      <c r="A21" s="54" t="str">
        <f aca="false">IF(S21="","",IF(U21="",S21,HYPERLINK(U21,S21)))</f>
        <v>49100422A0002-49100424F0008</v>
      </c>
      <c r="B21" s="54" t="str">
        <f aca="false">IF(T21="","",IF(V21="",T21,HYPERLINK(V21,T21)))</f>
        <v>Directviz Solutions, LLC</v>
      </c>
      <c r="C21" s="60" t="s">
        <v>123</v>
      </c>
      <c r="D21" s="56" t="n">
        <f aca="false">IF(R21="","",IF(Trends!$B$6&lt;&gt;"","",SUMIFS(TransactionsData[Obligations],TransactionsData[Award ID],R21,TransactionsData[Selected],1)))</f>
        <v>0</v>
      </c>
      <c r="E21" s="56" t="n">
        <f aca="false">IF(R21="","",IF(Trends!$B$6&lt;&gt;"","",SUMIFS(TransactionsData[Obligations],TransactionsData[Award ID],R21,TransactionsData[Dimension match],1)))</f>
        <v>2552661.8</v>
      </c>
      <c r="F21" s="61" t="s">
        <v>5</v>
      </c>
      <c r="G21" s="61" t="s">
        <v>57</v>
      </c>
      <c r="H21" s="58" t="s">
        <v>58</v>
      </c>
      <c r="I21" s="62" t="n">
        <v>2552661.8</v>
      </c>
      <c r="J21" s="62" t="n">
        <v>2552661.8</v>
      </c>
      <c r="K21" s="63" t="n">
        <v>45280</v>
      </c>
      <c r="L21" s="63" t="n">
        <v>45645</v>
      </c>
      <c r="M21" s="58" t="s">
        <v>250</v>
      </c>
      <c r="N21" s="58" t="s">
        <v>300</v>
      </c>
      <c r="O21" s="58" t="s">
        <v>252</v>
      </c>
      <c r="P21" s="58" t="s">
        <v>259</v>
      </c>
      <c r="Q21" s="63" t="n">
        <v>46279</v>
      </c>
      <c r="R21" s="58" t="s">
        <v>307</v>
      </c>
      <c r="S21" s="58" t="s">
        <v>308</v>
      </c>
      <c r="T21" s="58" t="s">
        <v>122</v>
      </c>
      <c r="U21" s="58" t="s">
        <v>309</v>
      </c>
      <c r="V21" s="58" t="s">
        <v>124</v>
      </c>
      <c r="W21" s="57" t="str">
        <f aca="false">IF(R21="",IF(COUNTA(C21,F21:V21)&gt;0,"Missing award ID",""),IF(COUNTIFS(AwardsData[Award ID],R21)&lt;&gt;1,"Duplicate award ID",IF(OR(S21="",T21="",F21=""),"Add reference, vendor and award type",IF(OR(AND(I21&lt;&gt;"",NOT(ISNUMBER(I21))),AND(J21&lt;&gt;"",NOT(ISNUMBER(J21)))),"Use numeric snapshot amounts",IF(OR(COUNTIF(AwardTypeCategories,F21)&lt;&gt;1,COUNTIF(SetAsideCategories,G21)&lt;&gt;1,COUNTIF(PerformanceStateCategories,H21)&lt;&gt;1),"New category: refresh report","")))))</f>
        <v/>
      </c>
      <c r="X21" s="57" t="n">
        <f aca="false">IF(R21="","",COUNTIFS(TransactionsData[Award ID],R21,TransactionsData[Selected],1))</f>
        <v>1</v>
      </c>
      <c r="Y21" s="57" t="n">
        <f aca="false">IF(R21="","",COUNTIFS(TransactionsData[Award ID],R21,TransactionsData[Dimension match],1))</f>
        <v>3</v>
      </c>
    </row>
    <row r="22" customFormat="false" ht="38" hidden="false" customHeight="true" outlineLevel="0" collapsed="false">
      <c r="A22" s="54" t="str">
        <f aca="false">IF(S22="","",IF(U22="",S22,HYPERLINK(U22,S22)))</f>
        <v>49100422A0002-49100424F0010</v>
      </c>
      <c r="B22" s="54" t="str">
        <f aca="false">IF(T22="","",IF(V22="",T22,HYPERLINK(V22,T22)))</f>
        <v>Directviz Solutions, LLC</v>
      </c>
      <c r="C22" s="60" t="s">
        <v>123</v>
      </c>
      <c r="D22" s="56" t="n">
        <f aca="false">IF(R22="","",IF(Trends!$B$6&lt;&gt;"","",SUMIFS(TransactionsData[Obligations],TransactionsData[Award ID],R22,TransactionsData[Selected],1)))</f>
        <v>334801.24</v>
      </c>
      <c r="E22" s="56" t="n">
        <f aca="false">IF(R22="","",IF(Trends!$B$6&lt;&gt;"","",SUMIFS(TransactionsData[Obligations],TransactionsData[Award ID],R22,TransactionsData[Dimension match],1)))</f>
        <v>7999080.32</v>
      </c>
      <c r="F22" s="61" t="s">
        <v>5</v>
      </c>
      <c r="G22" s="61" t="s">
        <v>57</v>
      </c>
      <c r="H22" s="58" t="s">
        <v>58</v>
      </c>
      <c r="I22" s="62" t="n">
        <v>7999080.32</v>
      </c>
      <c r="J22" s="62" t="n">
        <v>7999080.32</v>
      </c>
      <c r="K22" s="63" t="n">
        <v>45280</v>
      </c>
      <c r="L22" s="63" t="n">
        <v>45645</v>
      </c>
      <c r="M22" s="58" t="s">
        <v>250</v>
      </c>
      <c r="N22" s="58" t="s">
        <v>300</v>
      </c>
      <c r="O22" s="58" t="s">
        <v>252</v>
      </c>
      <c r="P22" s="58" t="s">
        <v>259</v>
      </c>
      <c r="Q22" s="63" t="n">
        <v>46279</v>
      </c>
      <c r="R22" s="58" t="s">
        <v>310</v>
      </c>
      <c r="S22" s="58" t="s">
        <v>311</v>
      </c>
      <c r="T22" s="58" t="s">
        <v>122</v>
      </c>
      <c r="U22" s="58" t="s">
        <v>312</v>
      </c>
      <c r="V22" s="58" t="s">
        <v>124</v>
      </c>
      <c r="W22" s="57" t="str">
        <f aca="false">IF(R22="",IF(COUNTA(C22,F22:V22)&gt;0,"Missing award ID",""),IF(COUNTIFS(AwardsData[Award ID],R22)&lt;&gt;1,"Duplicate award ID",IF(OR(S22="",T22="",F22=""),"Add reference, vendor and award type",IF(OR(AND(I22&lt;&gt;"",NOT(ISNUMBER(I22))),AND(J22&lt;&gt;"",NOT(ISNUMBER(J22)))),"Use numeric snapshot amounts",IF(OR(COUNTIF(AwardTypeCategories,F22)&lt;&gt;1,COUNTIF(SetAsideCategories,G22)&lt;&gt;1,COUNTIF(PerformanceStateCategories,H22)&lt;&gt;1),"New category: refresh report","")))))</f>
        <v/>
      </c>
      <c r="X22" s="57" t="n">
        <f aca="false">IF(R22="","",COUNTIFS(TransactionsData[Award ID],R22,TransactionsData[Selected],1))</f>
        <v>1</v>
      </c>
      <c r="Y22" s="57" t="n">
        <f aca="false">IF(R22="","",COUNTIFS(TransactionsData[Award ID],R22,TransactionsData[Dimension match],1))</f>
        <v>3</v>
      </c>
    </row>
    <row r="23" customFormat="false" ht="38" hidden="false" customHeight="true" outlineLevel="0" collapsed="false">
      <c r="A23" s="54" t="str">
        <f aca="false">IF(S23="","",IF(U23="",S23,HYPERLINK(U23,S23)))</f>
        <v>49100422A0002-49100424F0182</v>
      </c>
      <c r="B23" s="54" t="str">
        <f aca="false">IF(T23="","",IF(V23="",T23,HYPERLINK(V23,T23)))</f>
        <v>Directviz Solutions, LLC</v>
      </c>
      <c r="C23" s="60" t="s">
        <v>123</v>
      </c>
      <c r="D23" s="56" t="n">
        <f aca="false">IF(R23="","",IF(Trends!$B$6&lt;&gt;"","",SUMIFS(TransactionsData[Obligations],TransactionsData[Award ID],R23,TransactionsData[Selected],1)))</f>
        <v>683214.96</v>
      </c>
      <c r="E23" s="56" t="n">
        <f aca="false">IF(R23="","",IF(Trends!$B$6&lt;&gt;"","",SUMIFS(TransactionsData[Obligations],TransactionsData[Award ID],R23,TransactionsData[Dimension match],1)))</f>
        <v>906362.43</v>
      </c>
      <c r="F23" s="61" t="s">
        <v>5</v>
      </c>
      <c r="G23" s="61" t="s">
        <v>57</v>
      </c>
      <c r="H23" s="58" t="s">
        <v>58</v>
      </c>
      <c r="I23" s="62" t="n">
        <v>1603286.43</v>
      </c>
      <c r="J23" s="62" t="n">
        <v>2314284.8</v>
      </c>
      <c r="K23" s="63" t="n">
        <v>45519</v>
      </c>
      <c r="L23" s="63" t="n">
        <v>46375</v>
      </c>
      <c r="M23" s="58" t="s">
        <v>250</v>
      </c>
      <c r="N23" s="58" t="s">
        <v>300</v>
      </c>
      <c r="O23" s="58" t="s">
        <v>252</v>
      </c>
      <c r="P23" s="58" t="s">
        <v>259</v>
      </c>
      <c r="Q23" s="63" t="n">
        <v>46279</v>
      </c>
      <c r="R23" s="58" t="s">
        <v>313</v>
      </c>
      <c r="S23" s="58" t="s">
        <v>314</v>
      </c>
      <c r="T23" s="58" t="s">
        <v>122</v>
      </c>
      <c r="U23" s="58" t="s">
        <v>315</v>
      </c>
      <c r="V23" s="58" t="s">
        <v>124</v>
      </c>
      <c r="W23" s="57" t="str">
        <f aca="false">IF(R23="",IF(COUNTA(C23,F23:V23)&gt;0,"Missing award ID",""),IF(COUNTIFS(AwardsData[Award ID],R23)&lt;&gt;1,"Duplicate award ID",IF(OR(S23="",T23="",F23=""),"Add reference, vendor and award type",IF(OR(AND(I23&lt;&gt;"",NOT(ISNUMBER(I23))),AND(J23&lt;&gt;"",NOT(ISNUMBER(J23)))),"Use numeric snapshot amounts",IF(OR(COUNTIF(AwardTypeCategories,F23)&lt;&gt;1,COUNTIF(SetAsideCategories,G23)&lt;&gt;1,COUNTIF(PerformanceStateCategories,H23)&lt;&gt;1),"New category: refresh report","")))))</f>
        <v/>
      </c>
      <c r="X23" s="57" t="n">
        <f aca="false">IF(R23="","",COUNTIFS(TransactionsData[Award ID],R23,TransactionsData[Selected],1))</f>
        <v>2</v>
      </c>
      <c r="Y23" s="57" t="n">
        <f aca="false">IF(R23="","",COUNTIFS(TransactionsData[Award ID],R23,TransactionsData[Dimension match],1))</f>
        <v>3</v>
      </c>
    </row>
    <row r="24" customFormat="false" ht="38" hidden="false" customHeight="true" outlineLevel="0" collapsed="false">
      <c r="A24" s="54" t="str">
        <f aca="false">IF(S24="","",IF(U24="",S24,HYPERLINK(U24,S24)))</f>
        <v>49100422A0002-49100424F0245</v>
      </c>
      <c r="B24" s="54" t="str">
        <f aca="false">IF(T24="","",IF(V24="",T24,HYPERLINK(V24,T24)))</f>
        <v>Directviz Solutions, LLC</v>
      </c>
      <c r="C24" s="60" t="s">
        <v>123</v>
      </c>
      <c r="D24" s="56" t="n">
        <f aca="false">IF(R24="","",IF(Trends!$B$6&lt;&gt;"","",SUMIFS(TransactionsData[Obligations],TransactionsData[Award ID],R24,TransactionsData[Selected],1)))</f>
        <v>5231012.12</v>
      </c>
      <c r="E24" s="56" t="n">
        <f aca="false">IF(R24="","",IF(Trends!$B$6&lt;&gt;"","",SUMIFS(TransactionsData[Obligations],TransactionsData[Award ID],R24,TransactionsData[Dimension match],1)))</f>
        <v>7746364.92</v>
      </c>
      <c r="F24" s="61" t="s">
        <v>5</v>
      </c>
      <c r="G24" s="61" t="s">
        <v>57</v>
      </c>
      <c r="H24" s="58" t="s">
        <v>58</v>
      </c>
      <c r="I24" s="62" t="n">
        <v>10408346.92</v>
      </c>
      <c r="J24" s="62" t="n">
        <v>10408346.92</v>
      </c>
      <c r="K24" s="63" t="n">
        <v>45566</v>
      </c>
      <c r="L24" s="63" t="n">
        <v>46295</v>
      </c>
      <c r="M24" s="58" t="s">
        <v>316</v>
      </c>
      <c r="N24" s="58" t="s">
        <v>300</v>
      </c>
      <c r="O24" s="58" t="s">
        <v>252</v>
      </c>
      <c r="P24" s="58" t="s">
        <v>259</v>
      </c>
      <c r="Q24" s="63" t="n">
        <v>46279</v>
      </c>
      <c r="R24" s="58" t="s">
        <v>317</v>
      </c>
      <c r="S24" s="58" t="s">
        <v>318</v>
      </c>
      <c r="T24" s="58" t="s">
        <v>122</v>
      </c>
      <c r="U24" s="58" t="s">
        <v>319</v>
      </c>
      <c r="V24" s="58" t="s">
        <v>124</v>
      </c>
      <c r="W24" s="57" t="str">
        <f aca="false">IF(R24="",IF(COUNTA(C24,F24:V24)&gt;0,"Missing award ID",""),IF(COUNTIFS(AwardsData[Award ID],R24)&lt;&gt;1,"Duplicate award ID",IF(OR(S24="",T24="",F24=""),"Add reference, vendor and award type",IF(OR(AND(I24&lt;&gt;"",NOT(ISNUMBER(I24))),AND(J24&lt;&gt;"",NOT(ISNUMBER(J24)))),"Use numeric snapshot amounts",IF(OR(COUNTIF(AwardTypeCategories,F24)&lt;&gt;1,COUNTIF(SetAsideCategories,G24)&lt;&gt;1,COUNTIF(PerformanceStateCategories,H24)&lt;&gt;1),"New category: refresh report","")))))</f>
        <v/>
      </c>
      <c r="X24" s="57" t="n">
        <f aca="false">IF(R24="","",COUNTIFS(TransactionsData[Award ID],R24,TransactionsData[Selected],1))</f>
        <v>3</v>
      </c>
      <c r="Y24" s="57" t="n">
        <f aca="false">IF(R24="","",COUNTIFS(TransactionsData[Award ID],R24,TransactionsData[Dimension match],1))</f>
        <v>4</v>
      </c>
    </row>
    <row r="25" customFormat="false" ht="38" hidden="false" customHeight="true" outlineLevel="0" collapsed="false">
      <c r="A25" s="54" t="str">
        <f aca="false">IF(S25="","",IF(U25="",S25,HYPERLINK(U25,S25)))</f>
        <v>49100422A0002-49100425F0016</v>
      </c>
      <c r="B25" s="54" t="str">
        <f aca="false">IF(T25="","",IF(V25="",T25,HYPERLINK(V25,T25)))</f>
        <v>Directviz Solutions, LLC</v>
      </c>
      <c r="C25" s="60" t="s">
        <v>123</v>
      </c>
      <c r="D25" s="56" t="n">
        <f aca="false">IF(R25="","",IF(Trends!$B$6&lt;&gt;"","",SUMIFS(TransactionsData[Obligations],TransactionsData[Award ID],R25,TransactionsData[Selected],1)))</f>
        <v>2857216.32</v>
      </c>
      <c r="E25" s="56" t="n">
        <f aca="false">IF(R25="","",IF(Trends!$B$6&lt;&gt;"","",SUMIFS(TransactionsData[Obligations],TransactionsData[Award ID],R25,TransactionsData[Dimension match],1)))</f>
        <v>2857216.32</v>
      </c>
      <c r="F25" s="61" t="s">
        <v>5</v>
      </c>
      <c r="G25" s="61" t="s">
        <v>57</v>
      </c>
      <c r="H25" s="58" t="s">
        <v>58</v>
      </c>
      <c r="I25" s="62" t="n">
        <v>2857216.32</v>
      </c>
      <c r="J25" s="62" t="n">
        <v>14868820.96</v>
      </c>
      <c r="K25" s="63" t="n">
        <v>45646</v>
      </c>
      <c r="L25" s="63" t="n">
        <v>46010</v>
      </c>
      <c r="M25" s="58" t="s">
        <v>250</v>
      </c>
      <c r="N25" s="58" t="s">
        <v>300</v>
      </c>
      <c r="O25" s="58" t="s">
        <v>252</v>
      </c>
      <c r="P25" s="58" t="s">
        <v>259</v>
      </c>
      <c r="Q25" s="63" t="n">
        <v>46279</v>
      </c>
      <c r="R25" s="58" t="s">
        <v>320</v>
      </c>
      <c r="S25" s="58" t="s">
        <v>321</v>
      </c>
      <c r="T25" s="58" t="s">
        <v>122</v>
      </c>
      <c r="U25" s="58" t="s">
        <v>322</v>
      </c>
      <c r="V25" s="58" t="s">
        <v>124</v>
      </c>
      <c r="W25" s="57" t="str">
        <f aca="false">IF(R25="",IF(COUNTA(C25,F25:V25)&gt;0,"Missing award ID",""),IF(COUNTIFS(AwardsData[Award ID],R25)&lt;&gt;1,"Duplicate award ID",IF(OR(S25="",T25="",F25=""),"Add reference, vendor and award type",IF(OR(AND(I25&lt;&gt;"",NOT(ISNUMBER(I25))),AND(J25&lt;&gt;"",NOT(ISNUMBER(J25)))),"Use numeric snapshot amounts",IF(OR(COUNTIF(AwardTypeCategories,F25)&lt;&gt;1,COUNTIF(SetAsideCategories,G25)&lt;&gt;1,COUNTIF(PerformanceStateCategories,H25)&lt;&gt;1),"New category: refresh report","")))))</f>
        <v/>
      </c>
      <c r="X25" s="57" t="n">
        <f aca="false">IF(R25="","",COUNTIFS(TransactionsData[Award ID],R25,TransactionsData[Selected],1))</f>
        <v>1</v>
      </c>
      <c r="Y25" s="57" t="n">
        <f aca="false">IF(R25="","",COUNTIFS(TransactionsData[Award ID],R25,TransactionsData[Dimension match],1))</f>
        <v>1</v>
      </c>
    </row>
    <row r="26" customFormat="false" ht="38" hidden="false" customHeight="true" outlineLevel="0" collapsed="false">
      <c r="A26" s="54" t="str">
        <f aca="false">IF(S26="","",IF(U26="",S26,HYPERLINK(U26,S26)))</f>
        <v>49100422A0002-49100425F0017</v>
      </c>
      <c r="B26" s="54" t="str">
        <f aca="false">IF(T26="","",IF(V26="",T26,HYPERLINK(V26,T26)))</f>
        <v>Directviz Solutions, LLC</v>
      </c>
      <c r="C26" s="60" t="s">
        <v>123</v>
      </c>
      <c r="D26" s="56" t="n">
        <f aca="false">IF(R26="","",IF(Trends!$B$6&lt;&gt;"","",SUMIFS(TransactionsData[Obligations],TransactionsData[Award ID],R26,TransactionsData[Selected],1)))</f>
        <v>13426489.27</v>
      </c>
      <c r="E26" s="56" t="n">
        <f aca="false">IF(R26="","",IF(Trends!$B$6&lt;&gt;"","",SUMIFS(TransactionsData[Obligations],TransactionsData[Award ID],R26,TransactionsData[Dimension match],1)))</f>
        <v>13426489.27</v>
      </c>
      <c r="F26" s="61" t="s">
        <v>5</v>
      </c>
      <c r="G26" s="61" t="s">
        <v>57</v>
      </c>
      <c r="H26" s="58" t="s">
        <v>58</v>
      </c>
      <c r="I26" s="62" t="n">
        <v>18900956.47</v>
      </c>
      <c r="J26" s="62" t="n">
        <v>40980620.63</v>
      </c>
      <c r="K26" s="63" t="n">
        <v>45646</v>
      </c>
      <c r="L26" s="63" t="n">
        <v>46477</v>
      </c>
      <c r="M26" s="58" t="s">
        <v>250</v>
      </c>
      <c r="N26" s="58" t="s">
        <v>300</v>
      </c>
      <c r="O26" s="58" t="s">
        <v>252</v>
      </c>
      <c r="P26" s="58" t="s">
        <v>259</v>
      </c>
      <c r="Q26" s="63" t="n">
        <v>46279</v>
      </c>
      <c r="R26" s="58" t="s">
        <v>323</v>
      </c>
      <c r="S26" s="58" t="s">
        <v>324</v>
      </c>
      <c r="T26" s="58" t="s">
        <v>122</v>
      </c>
      <c r="U26" s="58" t="s">
        <v>325</v>
      </c>
      <c r="V26" s="58" t="s">
        <v>124</v>
      </c>
      <c r="W26" s="57" t="str">
        <f aca="false">IF(R26="",IF(COUNTA(C26,F26:V26)&gt;0,"Missing award ID",""),IF(COUNTIFS(AwardsData[Award ID],R26)&lt;&gt;1,"Duplicate award ID",IF(OR(S26="",T26="",F26=""),"Add reference, vendor and award type",IF(OR(AND(I26&lt;&gt;"",NOT(ISNUMBER(I26))),AND(J26&lt;&gt;"",NOT(ISNUMBER(J26)))),"Use numeric snapshot amounts",IF(OR(COUNTIF(AwardTypeCategories,F26)&lt;&gt;1,COUNTIF(SetAsideCategories,G26)&lt;&gt;1,COUNTIF(PerformanceStateCategories,H26)&lt;&gt;1),"New category: refresh report","")))))</f>
        <v/>
      </c>
      <c r="X26" s="57" t="n">
        <f aca="false">IF(R26="","",COUNTIFS(TransactionsData[Award ID],R26,TransactionsData[Selected],1))</f>
        <v>3</v>
      </c>
      <c r="Y26" s="57" t="n">
        <f aca="false">IF(R26="","",COUNTIFS(TransactionsData[Award ID],R26,TransactionsData[Dimension match],1))</f>
        <v>3</v>
      </c>
    </row>
    <row r="27" customFormat="false" ht="38" hidden="false" customHeight="true" outlineLevel="0" collapsed="false">
      <c r="A27" s="54" t="str">
        <f aca="false">IF(S27="","",IF(U27="",S27,HYPERLINK(U27,S27)))</f>
        <v>49100422C0029</v>
      </c>
      <c r="B27" s="54" t="str">
        <f aca="false">IF(T27="","",IF(V27="",T27,HYPERLINK(V27,T27)))</f>
        <v>Rei Systems, Inc.</v>
      </c>
      <c r="C27" s="60" t="s">
        <v>158</v>
      </c>
      <c r="D27" s="56" t="n">
        <f aca="false">IF(R27="","",IF(Trends!$B$6&lt;&gt;"","",SUMIFS(TransactionsData[Obligations],TransactionsData[Award ID],R27,TransactionsData[Selected],1)))</f>
        <v>0</v>
      </c>
      <c r="E27" s="56" t="n">
        <f aca="false">IF(R27="","",IF(Trends!$B$6&lt;&gt;"","",SUMIFS(TransactionsData[Obligations],TransactionsData[Award ID],R27,TransactionsData[Dimension match],1)))</f>
        <v>4016723.01</v>
      </c>
      <c r="F27" s="61" t="s">
        <v>9</v>
      </c>
      <c r="G27" s="61" t="s">
        <v>59</v>
      </c>
      <c r="H27" s="58" t="s">
        <v>58</v>
      </c>
      <c r="I27" s="62" t="n">
        <v>5584648.12</v>
      </c>
      <c r="J27" s="62" t="n">
        <v>5654362.65</v>
      </c>
      <c r="K27" s="63" t="n">
        <v>44820</v>
      </c>
      <c r="L27" s="63" t="n">
        <v>45565</v>
      </c>
      <c r="M27" s="58" t="s">
        <v>250</v>
      </c>
      <c r="N27" s="58"/>
      <c r="O27" s="58" t="s">
        <v>252</v>
      </c>
      <c r="P27" s="58" t="s">
        <v>326</v>
      </c>
      <c r="Q27" s="63" t="n">
        <v>46279</v>
      </c>
      <c r="R27" s="58" t="s">
        <v>327</v>
      </c>
      <c r="S27" s="58" t="s">
        <v>327</v>
      </c>
      <c r="T27" s="58" t="s">
        <v>157</v>
      </c>
      <c r="U27" s="58" t="s">
        <v>328</v>
      </c>
      <c r="V27" s="58" t="s">
        <v>159</v>
      </c>
      <c r="W27" s="57" t="str">
        <f aca="false">IF(R27="",IF(COUNTA(C27,F27:V27)&gt;0,"Missing award ID",""),IF(COUNTIFS(AwardsData[Award ID],R27)&lt;&gt;1,"Duplicate award ID",IF(OR(S27="",T27="",F27=""),"Add reference, vendor and award type",IF(OR(AND(I27&lt;&gt;"",NOT(ISNUMBER(I27))),AND(J27&lt;&gt;"",NOT(ISNUMBER(J27)))),"Use numeric snapshot amounts",IF(OR(COUNTIF(AwardTypeCategories,F27)&lt;&gt;1,COUNTIF(SetAsideCategories,G27)&lt;&gt;1,COUNTIF(PerformanceStateCategories,H27)&lt;&gt;1),"New category: refresh report","")))))</f>
        <v/>
      </c>
      <c r="X27" s="57" t="n">
        <f aca="false">IF(R27="","",COUNTIFS(TransactionsData[Award ID],R27,TransactionsData[Selected],1))</f>
        <v>0</v>
      </c>
      <c r="Y27" s="57" t="n">
        <f aca="false">IF(R27="","",COUNTIFS(TransactionsData[Award ID],R27,TransactionsData[Dimension match],1))</f>
        <v>9</v>
      </c>
    </row>
    <row r="28" customFormat="false" ht="38" hidden="false" customHeight="true" outlineLevel="0" collapsed="false">
      <c r="A28" s="54" t="str">
        <f aca="false">IF(S28="","",IF(U28="",S28,HYPERLINK(U28,S28)))</f>
        <v>49100422D0010-49100423F0015</v>
      </c>
      <c r="B28" s="54" t="str">
        <f aca="false">IF(T28="","",IF(V28="",T28,HYPERLINK(V28,T28)))</f>
        <v>Agility Technologies Inc.</v>
      </c>
      <c r="C28" s="60" t="s">
        <v>103</v>
      </c>
      <c r="D28" s="56" t="n">
        <f aca="false">IF(R28="","",IF(Trends!$B$6&lt;&gt;"","",SUMIFS(TransactionsData[Obligations],TransactionsData[Award ID],R28,TransactionsData[Selected],1)))</f>
        <v>0</v>
      </c>
      <c r="E28" s="56" t="n">
        <f aca="false">IF(R28="","",IF(Trends!$B$6&lt;&gt;"","",SUMIFS(TransactionsData[Obligations],TransactionsData[Award ID],R28,TransactionsData[Dimension match],1)))</f>
        <v>8448.67</v>
      </c>
      <c r="F28" s="61" t="s">
        <v>12</v>
      </c>
      <c r="G28" s="61" t="s">
        <v>59</v>
      </c>
      <c r="H28" s="58" t="s">
        <v>58</v>
      </c>
      <c r="I28" s="62" t="n">
        <v>8448.67</v>
      </c>
      <c r="J28" s="62" t="n">
        <v>8448.67</v>
      </c>
      <c r="K28" s="63" t="n">
        <v>44916</v>
      </c>
      <c r="L28" s="63" t="n">
        <v>45060</v>
      </c>
      <c r="M28" s="58" t="s">
        <v>329</v>
      </c>
      <c r="N28" s="58" t="s">
        <v>330</v>
      </c>
      <c r="O28" s="58" t="s">
        <v>252</v>
      </c>
      <c r="P28" s="58" t="s">
        <v>271</v>
      </c>
      <c r="Q28" s="63" t="n">
        <v>46279</v>
      </c>
      <c r="R28" s="58" t="s">
        <v>331</v>
      </c>
      <c r="S28" s="58" t="s">
        <v>332</v>
      </c>
      <c r="T28" s="58" t="s">
        <v>102</v>
      </c>
      <c r="U28" s="58" t="s">
        <v>333</v>
      </c>
      <c r="V28" s="58" t="s">
        <v>104</v>
      </c>
      <c r="W28" s="57" t="str">
        <f aca="false">IF(R28="",IF(COUNTA(C28,F28:V28)&gt;0,"Missing award ID",""),IF(COUNTIFS(AwardsData[Award ID],R28)&lt;&gt;1,"Duplicate award ID",IF(OR(S28="",T28="",F28=""),"Add reference, vendor and award type",IF(OR(AND(I28&lt;&gt;"",NOT(ISNUMBER(I28))),AND(J28&lt;&gt;"",NOT(ISNUMBER(J28)))),"Use numeric snapshot amounts",IF(OR(COUNTIF(AwardTypeCategories,F28)&lt;&gt;1,COUNTIF(SetAsideCategories,G28)&lt;&gt;1,COUNTIF(PerformanceStateCategories,H28)&lt;&gt;1),"New category: refresh report","")))))</f>
        <v/>
      </c>
      <c r="X28" s="57" t="n">
        <f aca="false">IF(R28="","",COUNTIFS(TransactionsData[Award ID],R28,TransactionsData[Selected],1))</f>
        <v>0</v>
      </c>
      <c r="Y28" s="57" t="n">
        <f aca="false">IF(R28="","",COUNTIFS(TransactionsData[Award ID],R28,TransactionsData[Dimension match],1))</f>
        <v>1</v>
      </c>
    </row>
    <row r="29" customFormat="false" ht="38" hidden="false" customHeight="true" outlineLevel="0" collapsed="false">
      <c r="A29" s="54" t="str">
        <f aca="false">IF(S29="","",IF(U29="",S29,HYPERLINK(U29,S29)))</f>
        <v>49100422D0010-49100423F0016</v>
      </c>
      <c r="B29" s="54" t="str">
        <f aca="false">IF(T29="","",IF(V29="",T29,HYPERLINK(V29,T29)))</f>
        <v>Agility Technologies Inc.</v>
      </c>
      <c r="C29" s="60" t="s">
        <v>103</v>
      </c>
      <c r="D29" s="56" t="n">
        <f aca="false">IF(R29="","",IF(Trends!$B$6&lt;&gt;"","",SUMIFS(TransactionsData[Obligations],TransactionsData[Award ID],R29,TransactionsData[Selected],1)))</f>
        <v>0</v>
      </c>
      <c r="E29" s="56" t="n">
        <f aca="false">IF(R29="","",IF(Trends!$B$6&lt;&gt;"","",SUMIFS(TransactionsData[Obligations],TransactionsData[Award ID],R29,TransactionsData[Dimension match],1)))</f>
        <v>215727.6</v>
      </c>
      <c r="F29" s="61" t="s">
        <v>12</v>
      </c>
      <c r="G29" s="61" t="s">
        <v>59</v>
      </c>
      <c r="H29" s="58" t="s">
        <v>58</v>
      </c>
      <c r="I29" s="62" t="n">
        <v>215727.6</v>
      </c>
      <c r="J29" s="62" t="n">
        <v>215727.6</v>
      </c>
      <c r="K29" s="63" t="n">
        <v>44935</v>
      </c>
      <c r="L29" s="63" t="n">
        <v>44974</v>
      </c>
      <c r="M29" s="58" t="s">
        <v>329</v>
      </c>
      <c r="N29" s="58" t="s">
        <v>330</v>
      </c>
      <c r="O29" s="58" t="s">
        <v>252</v>
      </c>
      <c r="P29" s="58" t="s">
        <v>271</v>
      </c>
      <c r="Q29" s="63" t="n">
        <v>46279</v>
      </c>
      <c r="R29" s="58" t="s">
        <v>334</v>
      </c>
      <c r="S29" s="58" t="s">
        <v>335</v>
      </c>
      <c r="T29" s="58" t="s">
        <v>102</v>
      </c>
      <c r="U29" s="58" t="s">
        <v>336</v>
      </c>
      <c r="V29" s="58" t="s">
        <v>104</v>
      </c>
      <c r="W29" s="57" t="str">
        <f aca="false">IF(R29="",IF(COUNTA(C29,F29:V29)&gt;0,"Missing award ID",""),IF(COUNTIFS(AwardsData[Award ID],R29)&lt;&gt;1,"Duplicate award ID",IF(OR(S29="",T29="",F29=""),"Add reference, vendor and award type",IF(OR(AND(I29&lt;&gt;"",NOT(ISNUMBER(I29))),AND(J29&lt;&gt;"",NOT(ISNUMBER(J29)))),"Use numeric snapshot amounts",IF(OR(COUNTIF(AwardTypeCategories,F29)&lt;&gt;1,COUNTIF(SetAsideCategories,G29)&lt;&gt;1,COUNTIF(PerformanceStateCategories,H29)&lt;&gt;1),"New category: refresh report","")))))</f>
        <v/>
      </c>
      <c r="X29" s="57" t="n">
        <f aca="false">IF(R29="","",COUNTIFS(TransactionsData[Award ID],R29,TransactionsData[Selected],1))</f>
        <v>0</v>
      </c>
      <c r="Y29" s="57" t="n">
        <f aca="false">IF(R29="","",COUNTIFS(TransactionsData[Award ID],R29,TransactionsData[Dimension match],1))</f>
        <v>1</v>
      </c>
    </row>
    <row r="30" customFormat="false" ht="38" hidden="false" customHeight="true" outlineLevel="0" collapsed="false">
      <c r="A30" s="54" t="str">
        <f aca="false">IF(S30="","",IF(U30="",S30,HYPERLINK(U30,S30)))</f>
        <v>49100422D0010-49100423F0076</v>
      </c>
      <c r="B30" s="54" t="str">
        <f aca="false">IF(T30="","",IF(V30="",T30,HYPERLINK(V30,T30)))</f>
        <v>Agility Technologies Inc.</v>
      </c>
      <c r="C30" s="60" t="s">
        <v>103</v>
      </c>
      <c r="D30" s="56" t="n">
        <f aca="false">IF(R30="","",IF(Trends!$B$6&lt;&gt;"","",SUMIFS(TransactionsData[Obligations],TransactionsData[Award ID],R30,TransactionsData[Selected],1)))</f>
        <v>0</v>
      </c>
      <c r="E30" s="56" t="n">
        <f aca="false">IF(R30="","",IF(Trends!$B$6&lt;&gt;"","",SUMIFS(TransactionsData[Obligations],TransactionsData[Award ID],R30,TransactionsData[Dimension match],1)))</f>
        <v>33848.24</v>
      </c>
      <c r="F30" s="61" t="s">
        <v>12</v>
      </c>
      <c r="G30" s="61" t="s">
        <v>59</v>
      </c>
      <c r="H30" s="58" t="s">
        <v>58</v>
      </c>
      <c r="I30" s="62" t="n">
        <v>33848.24</v>
      </c>
      <c r="J30" s="62" t="n">
        <v>33848.24</v>
      </c>
      <c r="K30" s="63" t="n">
        <v>45061</v>
      </c>
      <c r="L30" s="63" t="n">
        <v>45426</v>
      </c>
      <c r="M30" s="58" t="s">
        <v>329</v>
      </c>
      <c r="N30" s="58" t="s">
        <v>330</v>
      </c>
      <c r="O30" s="58" t="s">
        <v>252</v>
      </c>
      <c r="P30" s="58" t="s">
        <v>271</v>
      </c>
      <c r="Q30" s="63" t="n">
        <v>46279</v>
      </c>
      <c r="R30" s="58" t="s">
        <v>337</v>
      </c>
      <c r="S30" s="58" t="s">
        <v>338</v>
      </c>
      <c r="T30" s="58" t="s">
        <v>102</v>
      </c>
      <c r="U30" s="58" t="s">
        <v>339</v>
      </c>
      <c r="V30" s="58" t="s">
        <v>104</v>
      </c>
      <c r="W30" s="57" t="str">
        <f aca="false">IF(R30="",IF(COUNTA(C30,F30:V30)&gt;0,"Missing award ID",""),IF(COUNTIFS(AwardsData[Award ID],R30)&lt;&gt;1,"Duplicate award ID",IF(OR(S30="",T30="",F30=""),"Add reference, vendor and award type",IF(OR(AND(I30&lt;&gt;"",NOT(ISNUMBER(I30))),AND(J30&lt;&gt;"",NOT(ISNUMBER(J30)))),"Use numeric snapshot amounts",IF(OR(COUNTIF(AwardTypeCategories,F30)&lt;&gt;1,COUNTIF(SetAsideCategories,G30)&lt;&gt;1,COUNTIF(PerformanceStateCategories,H30)&lt;&gt;1),"New category: refresh report","")))))</f>
        <v/>
      </c>
      <c r="X30" s="57" t="n">
        <f aca="false">IF(R30="","",COUNTIFS(TransactionsData[Award ID],R30,TransactionsData[Selected],1))</f>
        <v>0</v>
      </c>
      <c r="Y30" s="57" t="n">
        <f aca="false">IF(R30="","",COUNTIFS(TransactionsData[Award ID],R30,TransactionsData[Dimension match],1))</f>
        <v>1</v>
      </c>
    </row>
    <row r="31" customFormat="false" ht="38" hidden="false" customHeight="true" outlineLevel="0" collapsed="false">
      <c r="A31" s="54" t="str">
        <f aca="false">IF(S31="","",IF(U31="",S31,HYPERLINK(U31,S31)))</f>
        <v>49100422D0010-49100423F0226</v>
      </c>
      <c r="B31" s="54" t="str">
        <f aca="false">IF(T31="","",IF(V31="",T31,HYPERLINK(V31,T31)))</f>
        <v>Agility Technologies Inc.</v>
      </c>
      <c r="C31" s="60" t="s">
        <v>103</v>
      </c>
      <c r="D31" s="56" t="n">
        <f aca="false">IF(R31="","",IF(Trends!$B$6&lt;&gt;"","",SUMIFS(TransactionsData[Obligations],TransactionsData[Award ID],R31,TransactionsData[Selected],1)))</f>
        <v>0</v>
      </c>
      <c r="E31" s="56" t="n">
        <f aca="false">IF(R31="","",IF(Trends!$B$6&lt;&gt;"","",SUMIFS(TransactionsData[Obligations],TransactionsData[Award ID],R31,TransactionsData[Dimension match],1)))</f>
        <v>1068350.28</v>
      </c>
      <c r="F31" s="61" t="s">
        <v>12</v>
      </c>
      <c r="G31" s="61" t="s">
        <v>59</v>
      </c>
      <c r="H31" s="58" t="s">
        <v>58</v>
      </c>
      <c r="I31" s="62" t="n">
        <v>1068350.28</v>
      </c>
      <c r="J31" s="62" t="n">
        <v>1068350.28</v>
      </c>
      <c r="K31" s="63" t="n">
        <v>45193</v>
      </c>
      <c r="L31" s="63" t="n">
        <v>45503</v>
      </c>
      <c r="M31" s="58" t="s">
        <v>250</v>
      </c>
      <c r="N31" s="58" t="s">
        <v>330</v>
      </c>
      <c r="O31" s="58" t="s">
        <v>252</v>
      </c>
      <c r="P31" s="58" t="s">
        <v>271</v>
      </c>
      <c r="Q31" s="63" t="n">
        <v>46279</v>
      </c>
      <c r="R31" s="58" t="s">
        <v>340</v>
      </c>
      <c r="S31" s="58" t="s">
        <v>341</v>
      </c>
      <c r="T31" s="58" t="s">
        <v>102</v>
      </c>
      <c r="U31" s="58" t="s">
        <v>342</v>
      </c>
      <c r="V31" s="58" t="s">
        <v>104</v>
      </c>
      <c r="W31" s="57" t="str">
        <f aca="false">IF(R31="",IF(COUNTA(C31,F31:V31)&gt;0,"Missing award ID",""),IF(COUNTIFS(AwardsData[Award ID],R31)&lt;&gt;1,"Duplicate award ID",IF(OR(S31="",T31="",F31=""),"Add reference, vendor and award type",IF(OR(AND(I31&lt;&gt;"",NOT(ISNUMBER(I31))),AND(J31&lt;&gt;"",NOT(ISNUMBER(J31)))),"Use numeric snapshot amounts",IF(OR(COUNTIF(AwardTypeCategories,F31)&lt;&gt;1,COUNTIF(SetAsideCategories,G31)&lt;&gt;1,COUNTIF(PerformanceStateCategories,H31)&lt;&gt;1),"New category: refresh report","")))))</f>
        <v/>
      </c>
      <c r="X31" s="57" t="n">
        <f aca="false">IF(R31="","",COUNTIFS(TransactionsData[Award ID],R31,TransactionsData[Selected],1))</f>
        <v>0</v>
      </c>
      <c r="Y31" s="57" t="n">
        <f aca="false">IF(R31="","",COUNTIFS(TransactionsData[Award ID],R31,TransactionsData[Dimension match],1))</f>
        <v>2</v>
      </c>
    </row>
    <row r="32" customFormat="false" ht="38" hidden="false" customHeight="true" outlineLevel="0" collapsed="false">
      <c r="A32" s="54" t="str">
        <f aca="false">IF(S32="","",IF(U32="",S32,HYPERLINK(U32,S32)))</f>
        <v>49100422D0010-49100424F0097</v>
      </c>
      <c r="B32" s="54" t="str">
        <f aca="false">IF(T32="","",IF(V32="",T32,HYPERLINK(V32,T32)))</f>
        <v>Agility Technologies Inc.</v>
      </c>
      <c r="C32" s="60" t="s">
        <v>103</v>
      </c>
      <c r="D32" s="56" t="n">
        <f aca="false">IF(R32="","",IF(Trends!$B$6&lt;&gt;"","",SUMIFS(TransactionsData[Obligations],TransactionsData[Award ID],R32,TransactionsData[Selected],1)))</f>
        <v>0</v>
      </c>
      <c r="E32" s="56" t="n">
        <f aca="false">IF(R32="","",IF(Trends!$B$6&lt;&gt;"","",SUMIFS(TransactionsData[Obligations],TransactionsData[Award ID],R32,TransactionsData[Dimension match],1)))</f>
        <v>45287.91</v>
      </c>
      <c r="F32" s="61" t="s">
        <v>12</v>
      </c>
      <c r="G32" s="61" t="s">
        <v>59</v>
      </c>
      <c r="H32" s="58" t="s">
        <v>58</v>
      </c>
      <c r="I32" s="62" t="n">
        <v>45287.91</v>
      </c>
      <c r="J32" s="62" t="n">
        <v>45287.91</v>
      </c>
      <c r="K32" s="63" t="n">
        <v>45427</v>
      </c>
      <c r="L32" s="63" t="n">
        <v>45791</v>
      </c>
      <c r="M32" s="58" t="s">
        <v>329</v>
      </c>
      <c r="N32" s="58" t="s">
        <v>330</v>
      </c>
      <c r="O32" s="58" t="s">
        <v>252</v>
      </c>
      <c r="P32" s="58" t="s">
        <v>271</v>
      </c>
      <c r="Q32" s="63" t="n">
        <v>46279</v>
      </c>
      <c r="R32" s="58" t="s">
        <v>343</v>
      </c>
      <c r="S32" s="58" t="s">
        <v>344</v>
      </c>
      <c r="T32" s="58" t="s">
        <v>102</v>
      </c>
      <c r="U32" s="58" t="s">
        <v>345</v>
      </c>
      <c r="V32" s="58" t="s">
        <v>104</v>
      </c>
      <c r="W32" s="57" t="str">
        <f aca="false">IF(R32="",IF(COUNTA(C32,F32:V32)&gt;0,"Missing award ID",""),IF(COUNTIFS(AwardsData[Award ID],R32)&lt;&gt;1,"Duplicate award ID",IF(OR(S32="",T32="",F32=""),"Add reference, vendor and award type",IF(OR(AND(I32&lt;&gt;"",NOT(ISNUMBER(I32))),AND(J32&lt;&gt;"",NOT(ISNUMBER(J32)))),"Use numeric snapshot amounts",IF(OR(COUNTIF(AwardTypeCategories,F32)&lt;&gt;1,COUNTIF(SetAsideCategories,G32)&lt;&gt;1,COUNTIF(PerformanceStateCategories,H32)&lt;&gt;1),"New category: refresh report","")))))</f>
        <v/>
      </c>
      <c r="X32" s="57" t="n">
        <f aca="false">IF(R32="","",COUNTIFS(TransactionsData[Award ID],R32,TransactionsData[Selected],1))</f>
        <v>0</v>
      </c>
      <c r="Y32" s="57" t="n">
        <f aca="false">IF(R32="","",COUNTIFS(TransactionsData[Award ID],R32,TransactionsData[Dimension match],1))</f>
        <v>1</v>
      </c>
    </row>
    <row r="33" customFormat="false" ht="38" hidden="false" customHeight="true" outlineLevel="0" collapsed="false">
      <c r="A33" s="54" t="str">
        <f aca="false">IF(S33="","",IF(U33="",S33,HYPERLINK(U33,S33)))</f>
        <v>49100422D0010-49100424F0099</v>
      </c>
      <c r="B33" s="54" t="str">
        <f aca="false">IF(T33="","",IF(V33="",T33,HYPERLINK(V33,T33)))</f>
        <v>Agility Technologies Inc.</v>
      </c>
      <c r="C33" s="60" t="s">
        <v>103</v>
      </c>
      <c r="D33" s="56" t="n">
        <f aca="false">IF(R33="","",IF(Trends!$B$6&lt;&gt;"","",SUMIFS(TransactionsData[Obligations],TransactionsData[Award ID],R33,TransactionsData[Selected],1)))</f>
        <v>0</v>
      </c>
      <c r="E33" s="56" t="n">
        <f aca="false">IF(R33="","",IF(Trends!$B$6&lt;&gt;"","",SUMIFS(TransactionsData[Obligations],TransactionsData[Award ID],R33,TransactionsData[Dimension match],1)))</f>
        <v>294827.54</v>
      </c>
      <c r="F33" s="61" t="s">
        <v>12</v>
      </c>
      <c r="G33" s="61" t="s">
        <v>59</v>
      </c>
      <c r="H33" s="58" t="s">
        <v>58</v>
      </c>
      <c r="I33" s="62" t="n">
        <v>294827.54</v>
      </c>
      <c r="J33" s="62" t="n">
        <v>294827.54</v>
      </c>
      <c r="K33" s="63" t="n">
        <v>45443</v>
      </c>
      <c r="L33" s="63" t="n">
        <v>45559</v>
      </c>
      <c r="M33" s="58" t="s">
        <v>329</v>
      </c>
      <c r="N33" s="58" t="s">
        <v>330</v>
      </c>
      <c r="O33" s="58" t="s">
        <v>252</v>
      </c>
      <c r="P33" s="58" t="s">
        <v>271</v>
      </c>
      <c r="Q33" s="63" t="n">
        <v>46279</v>
      </c>
      <c r="R33" s="58" t="s">
        <v>346</v>
      </c>
      <c r="S33" s="58" t="s">
        <v>347</v>
      </c>
      <c r="T33" s="58" t="s">
        <v>102</v>
      </c>
      <c r="U33" s="58" t="s">
        <v>348</v>
      </c>
      <c r="V33" s="58" t="s">
        <v>104</v>
      </c>
      <c r="W33" s="57" t="str">
        <f aca="false">IF(R33="",IF(COUNTA(C33,F33:V33)&gt;0,"Missing award ID",""),IF(COUNTIFS(AwardsData[Award ID],R33)&lt;&gt;1,"Duplicate award ID",IF(OR(S33="",T33="",F33=""),"Add reference, vendor and award type",IF(OR(AND(I33&lt;&gt;"",NOT(ISNUMBER(I33))),AND(J33&lt;&gt;"",NOT(ISNUMBER(J33)))),"Use numeric snapshot amounts",IF(OR(COUNTIF(AwardTypeCategories,F33)&lt;&gt;1,COUNTIF(SetAsideCategories,G33)&lt;&gt;1,COUNTIF(PerformanceStateCategories,H33)&lt;&gt;1),"New category: refresh report","")))))</f>
        <v/>
      </c>
      <c r="X33" s="57" t="n">
        <f aca="false">IF(R33="","",COUNTIFS(TransactionsData[Award ID],R33,TransactionsData[Selected],1))</f>
        <v>0</v>
      </c>
      <c r="Y33" s="57" t="n">
        <f aca="false">IF(R33="","",COUNTIFS(TransactionsData[Award ID],R33,TransactionsData[Dimension match],1))</f>
        <v>1</v>
      </c>
    </row>
    <row r="34" customFormat="false" ht="38" hidden="false" customHeight="true" outlineLevel="0" collapsed="false">
      <c r="A34" s="54" t="str">
        <f aca="false">IF(S34="","",IF(U34="",S34,HYPERLINK(U34,S34)))</f>
        <v>49100422D0010-49100424F0165</v>
      </c>
      <c r="B34" s="54" t="str">
        <f aca="false">IF(T34="","",IF(V34="",T34,HYPERLINK(V34,T34)))</f>
        <v>Agility Technologies Inc.</v>
      </c>
      <c r="C34" s="60" t="s">
        <v>103</v>
      </c>
      <c r="D34" s="56" t="n">
        <f aca="false">IF(R34="","",IF(Trends!$B$6&lt;&gt;"","",SUMIFS(TransactionsData[Obligations],TransactionsData[Award ID],R34,TransactionsData[Selected],1)))</f>
        <v>0</v>
      </c>
      <c r="E34" s="56" t="n">
        <f aca="false">IF(R34="","",IF(Trends!$B$6&lt;&gt;"","",SUMIFS(TransactionsData[Obligations],TransactionsData[Award ID],R34,TransactionsData[Dimension match],1)))</f>
        <v>377748</v>
      </c>
      <c r="F34" s="61" t="s">
        <v>12</v>
      </c>
      <c r="G34" s="61" t="s">
        <v>59</v>
      </c>
      <c r="H34" s="58" t="s">
        <v>58</v>
      </c>
      <c r="I34" s="62" t="n">
        <v>377748</v>
      </c>
      <c r="J34" s="62" t="n">
        <v>377748</v>
      </c>
      <c r="K34" s="63" t="n">
        <v>45560</v>
      </c>
      <c r="L34" s="63" t="n">
        <v>45924</v>
      </c>
      <c r="M34" s="58" t="s">
        <v>329</v>
      </c>
      <c r="N34" s="58" t="s">
        <v>330</v>
      </c>
      <c r="O34" s="58" t="s">
        <v>252</v>
      </c>
      <c r="P34" s="58" t="s">
        <v>271</v>
      </c>
      <c r="Q34" s="63" t="n">
        <v>46279</v>
      </c>
      <c r="R34" s="58" t="s">
        <v>349</v>
      </c>
      <c r="S34" s="58" t="s">
        <v>350</v>
      </c>
      <c r="T34" s="58" t="s">
        <v>102</v>
      </c>
      <c r="U34" s="58" t="s">
        <v>351</v>
      </c>
      <c r="V34" s="58" t="s">
        <v>104</v>
      </c>
      <c r="W34" s="57" t="str">
        <f aca="false">IF(R34="",IF(COUNTA(C34,F34:V34)&gt;0,"Missing award ID",""),IF(COUNTIFS(AwardsData[Award ID],R34)&lt;&gt;1,"Duplicate award ID",IF(OR(S34="",T34="",F34=""),"Add reference, vendor and award type",IF(OR(AND(I34&lt;&gt;"",NOT(ISNUMBER(I34))),AND(J34&lt;&gt;"",NOT(ISNUMBER(J34)))),"Use numeric snapshot amounts",IF(OR(COUNTIF(AwardTypeCategories,F34)&lt;&gt;1,COUNTIF(SetAsideCategories,G34)&lt;&gt;1,COUNTIF(PerformanceStateCategories,H34)&lt;&gt;1),"New category: refresh report","")))))</f>
        <v/>
      </c>
      <c r="X34" s="57" t="n">
        <f aca="false">IF(R34="","",COUNTIFS(TransactionsData[Award ID],R34,TransactionsData[Selected],1))</f>
        <v>0</v>
      </c>
      <c r="Y34" s="57" t="n">
        <f aca="false">IF(R34="","",COUNTIFS(TransactionsData[Award ID],R34,TransactionsData[Dimension match],1))</f>
        <v>1</v>
      </c>
    </row>
    <row r="35" customFormat="false" ht="38" hidden="false" customHeight="true" outlineLevel="0" collapsed="false">
      <c r="A35" s="54" t="str">
        <f aca="false">IF(S35="","",IF(U35="",S35,HYPERLINK(U35,S35)))</f>
        <v>49100422D0010-49100424F0187</v>
      </c>
      <c r="B35" s="54" t="str">
        <f aca="false">IF(T35="","",IF(V35="",T35,HYPERLINK(V35,T35)))</f>
        <v>Agility Technologies Inc.</v>
      </c>
      <c r="C35" s="60" t="s">
        <v>103</v>
      </c>
      <c r="D35" s="56" t="n">
        <f aca="false">IF(R35="","",IF(Trends!$B$6&lt;&gt;"","",SUMIFS(TransactionsData[Obligations],TransactionsData[Award ID],R35,TransactionsData[Selected],1)))</f>
        <v>0</v>
      </c>
      <c r="E35" s="56" t="n">
        <f aca="false">IF(R35="","",IF(Trends!$B$6&lt;&gt;"","",SUMIFS(TransactionsData[Obligations],TransactionsData[Award ID],R35,TransactionsData[Dimension match],1)))</f>
        <v>521160.4</v>
      </c>
      <c r="F35" s="61" t="s">
        <v>12</v>
      </c>
      <c r="G35" s="61" t="s">
        <v>59</v>
      </c>
      <c r="H35" s="58" t="s">
        <v>58</v>
      </c>
      <c r="I35" s="62" t="n">
        <v>521160.4</v>
      </c>
      <c r="J35" s="62" t="n">
        <v>521160.4</v>
      </c>
      <c r="K35" s="63" t="n">
        <v>45560</v>
      </c>
      <c r="L35" s="63" t="n">
        <v>45924</v>
      </c>
      <c r="M35" s="58" t="s">
        <v>329</v>
      </c>
      <c r="N35" s="58" t="s">
        <v>330</v>
      </c>
      <c r="O35" s="58" t="s">
        <v>252</v>
      </c>
      <c r="P35" s="58" t="s">
        <v>271</v>
      </c>
      <c r="Q35" s="63" t="n">
        <v>46279</v>
      </c>
      <c r="R35" s="58" t="s">
        <v>352</v>
      </c>
      <c r="S35" s="58" t="s">
        <v>353</v>
      </c>
      <c r="T35" s="58" t="s">
        <v>102</v>
      </c>
      <c r="U35" s="58" t="s">
        <v>354</v>
      </c>
      <c r="V35" s="58" t="s">
        <v>104</v>
      </c>
      <c r="W35" s="57" t="str">
        <f aca="false">IF(R35="",IF(COUNTA(C35,F35:V35)&gt;0,"Missing award ID",""),IF(COUNTIFS(AwardsData[Award ID],R35)&lt;&gt;1,"Duplicate award ID",IF(OR(S35="",T35="",F35=""),"Add reference, vendor and award type",IF(OR(AND(I35&lt;&gt;"",NOT(ISNUMBER(I35))),AND(J35&lt;&gt;"",NOT(ISNUMBER(J35)))),"Use numeric snapshot amounts",IF(OR(COUNTIF(AwardTypeCategories,F35)&lt;&gt;1,COUNTIF(SetAsideCategories,G35)&lt;&gt;1,COUNTIF(PerformanceStateCategories,H35)&lt;&gt;1),"New category: refresh report","")))))</f>
        <v/>
      </c>
      <c r="X35" s="57" t="n">
        <f aca="false">IF(R35="","",COUNTIFS(TransactionsData[Award ID],R35,TransactionsData[Selected],1))</f>
        <v>0</v>
      </c>
      <c r="Y35" s="57" t="n">
        <f aca="false">IF(R35="","",COUNTIFS(TransactionsData[Award ID],R35,TransactionsData[Dimension match],1))</f>
        <v>1</v>
      </c>
    </row>
    <row r="36" customFormat="false" ht="38" hidden="false" customHeight="true" outlineLevel="0" collapsed="false">
      <c r="A36" s="54" t="str">
        <f aca="false">IF(S36="","",IF(U36="",S36,HYPERLINK(U36,S36)))</f>
        <v>49100423C0050</v>
      </c>
      <c r="B36" s="54" t="str">
        <f aca="false">IF(T36="","",IF(V36="",T36,HYPERLINK(V36,T36)))</f>
        <v>Scope It Consulting, LLC</v>
      </c>
      <c r="C36" s="60" t="s">
        <v>162</v>
      </c>
      <c r="D36" s="56" t="n">
        <f aca="false">IF(R36="","",IF(Trends!$B$6&lt;&gt;"","",SUMIFS(TransactionsData[Obligations],TransactionsData[Award ID],R36,TransactionsData[Selected],1)))</f>
        <v>489791.72</v>
      </c>
      <c r="E36" s="56" t="n">
        <f aca="false">IF(R36="","",IF(Trends!$B$6&lt;&gt;"","",SUMIFS(TransactionsData[Obligations],TransactionsData[Award ID],R36,TransactionsData[Dimension match],1)))</f>
        <v>1760927.3</v>
      </c>
      <c r="F36" s="61" t="s">
        <v>9</v>
      </c>
      <c r="G36" s="61" t="s">
        <v>63</v>
      </c>
      <c r="H36" s="58" t="s">
        <v>64</v>
      </c>
      <c r="I36" s="62" t="n">
        <v>1930662.77</v>
      </c>
      <c r="J36" s="62" t="n">
        <v>2322012.26</v>
      </c>
      <c r="K36" s="63" t="n">
        <v>45194</v>
      </c>
      <c r="L36" s="63" t="n">
        <v>46654</v>
      </c>
      <c r="M36" s="58" t="s">
        <v>355</v>
      </c>
      <c r="N36" s="58"/>
      <c r="O36" s="58" t="s">
        <v>252</v>
      </c>
      <c r="P36" s="58" t="s">
        <v>271</v>
      </c>
      <c r="Q36" s="63" t="n">
        <v>46279</v>
      </c>
      <c r="R36" s="58" t="s">
        <v>356</v>
      </c>
      <c r="S36" s="58" t="s">
        <v>356</v>
      </c>
      <c r="T36" s="58" t="s">
        <v>161</v>
      </c>
      <c r="U36" s="58" t="s">
        <v>357</v>
      </c>
      <c r="V36" s="58" t="s">
        <v>163</v>
      </c>
      <c r="W36" s="57" t="str">
        <f aca="false">IF(R36="",IF(COUNTA(C36,F36:V36)&gt;0,"Missing award ID",""),IF(COUNTIFS(AwardsData[Award ID],R36)&lt;&gt;1,"Duplicate award ID",IF(OR(S36="",T36="",F36=""),"Add reference, vendor and award type",IF(OR(AND(I36&lt;&gt;"",NOT(ISNUMBER(I36))),AND(J36&lt;&gt;"",NOT(ISNUMBER(J36)))),"Use numeric snapshot amounts",IF(OR(COUNTIF(AwardTypeCategories,F36)&lt;&gt;1,COUNTIF(SetAsideCategories,G36)&lt;&gt;1,COUNTIF(PerformanceStateCategories,H36)&lt;&gt;1),"New category: refresh report","")))))</f>
        <v/>
      </c>
      <c r="X36" s="57" t="n">
        <f aca="false">IF(R36="","",COUNTIFS(TransactionsData[Award ID],R36,TransactionsData[Selected],1))</f>
        <v>1</v>
      </c>
      <c r="Y36" s="57" t="n">
        <f aca="false">IF(R36="","",COUNTIFS(TransactionsData[Award ID],R36,TransactionsData[Dimension match],1))</f>
        <v>3</v>
      </c>
    </row>
    <row r="37" customFormat="false" ht="38" hidden="false" customHeight="true" outlineLevel="0" collapsed="false">
      <c r="A37" s="54" t="str">
        <f aca="false">IF(S37="","",IF(U37="",S37,HYPERLINK(U37,S37)))</f>
        <v>49100423C0052</v>
      </c>
      <c r="B37" s="54" t="str">
        <f aca="false">IF(T37="","",IF(V37="",T37,HYPERLINK(V37,T37)))</f>
        <v>Expediteinfotech, Inc.</v>
      </c>
      <c r="C37" s="60" t="s">
        <v>127</v>
      </c>
      <c r="D37" s="56" t="n">
        <f aca="false">IF(R37="","",IF(Trends!$B$6&lt;&gt;"","",SUMIFS(TransactionsData[Obligations],TransactionsData[Award ID],R37,TransactionsData[Selected],1)))</f>
        <v>0</v>
      </c>
      <c r="E37" s="56" t="n">
        <f aca="false">IF(R37="","",IF(Trends!$B$6&lt;&gt;"","",SUMIFS(TransactionsData[Obligations],TransactionsData[Award ID],R37,TransactionsData[Dimension match],1)))</f>
        <v>300000</v>
      </c>
      <c r="F37" s="61" t="s">
        <v>9</v>
      </c>
      <c r="G37" s="61" t="s">
        <v>63</v>
      </c>
      <c r="H37" s="58" t="s">
        <v>62</v>
      </c>
      <c r="I37" s="62" t="n">
        <v>300000</v>
      </c>
      <c r="J37" s="62" t="n">
        <v>300000</v>
      </c>
      <c r="K37" s="63" t="n">
        <v>45200</v>
      </c>
      <c r="L37" s="63" t="n">
        <v>45695</v>
      </c>
      <c r="M37" s="58" t="s">
        <v>287</v>
      </c>
      <c r="N37" s="58"/>
      <c r="O37" s="58" t="s">
        <v>252</v>
      </c>
      <c r="P37" s="58" t="s">
        <v>259</v>
      </c>
      <c r="Q37" s="63" t="n">
        <v>46279</v>
      </c>
      <c r="R37" s="58" t="s">
        <v>358</v>
      </c>
      <c r="S37" s="58" t="s">
        <v>358</v>
      </c>
      <c r="T37" s="58" t="s">
        <v>126</v>
      </c>
      <c r="U37" s="58" t="s">
        <v>359</v>
      </c>
      <c r="V37" s="58" t="s">
        <v>128</v>
      </c>
      <c r="W37" s="57" t="str">
        <f aca="false">IF(R37="",IF(COUNTA(C37,F37:V37)&gt;0,"Missing award ID",""),IF(COUNTIFS(AwardsData[Award ID],R37)&lt;&gt;1,"Duplicate award ID",IF(OR(S37="",T37="",F37=""),"Add reference, vendor and award type",IF(OR(AND(I37&lt;&gt;"",NOT(ISNUMBER(I37))),AND(J37&lt;&gt;"",NOT(ISNUMBER(J37)))),"Use numeric snapshot amounts",IF(OR(COUNTIF(AwardTypeCategories,F37)&lt;&gt;1,COUNTIF(SetAsideCategories,G37)&lt;&gt;1,COUNTIF(PerformanceStateCategories,H37)&lt;&gt;1),"New category: refresh report","")))))</f>
        <v/>
      </c>
      <c r="X37" s="57" t="n">
        <f aca="false">IF(R37="","",COUNTIFS(TransactionsData[Award ID],R37,TransactionsData[Selected],1))</f>
        <v>1</v>
      </c>
      <c r="Y37" s="57" t="n">
        <f aca="false">IF(R37="","",COUNTIFS(TransactionsData[Award ID],R37,TransactionsData[Dimension match],1))</f>
        <v>4</v>
      </c>
    </row>
    <row r="38" customFormat="false" ht="38" hidden="false" customHeight="true" outlineLevel="0" collapsed="false">
      <c r="A38" s="54" t="str">
        <f aca="false">IF(S38="","",IF(U38="",S38,HYPERLINK(U38,S38)))</f>
        <v>49100423P0060</v>
      </c>
      <c r="B38" s="54" t="str">
        <f aca="false">IF(T38="","",IF(V38="",T38,HYPERLINK(V38,T38)))</f>
        <v>University Corporation For Advanced Internet Development</v>
      </c>
      <c r="C38" s="60" t="s">
        <v>178</v>
      </c>
      <c r="D38" s="56" t="n">
        <f aca="false">IF(R38="","",IF(Trends!$B$6&lt;&gt;"","",SUMIFS(TransactionsData[Obligations],TransactionsData[Award ID],R38,TransactionsData[Selected],1)))</f>
        <v>0</v>
      </c>
      <c r="E38" s="56" t="n">
        <f aca="false">IF(R38="","",IF(Trends!$B$6&lt;&gt;"","",SUMIFS(TransactionsData[Obligations],TransactionsData[Award ID],R38,TransactionsData[Dimension match],1)))</f>
        <v>37941</v>
      </c>
      <c r="F38" s="61" t="s">
        <v>16</v>
      </c>
      <c r="G38" s="61" t="s">
        <v>59</v>
      </c>
      <c r="H38" s="58" t="s">
        <v>58</v>
      </c>
      <c r="I38" s="62" t="n">
        <v>37941</v>
      </c>
      <c r="J38" s="62" t="n">
        <v>37941</v>
      </c>
      <c r="K38" s="63" t="n">
        <v>44927</v>
      </c>
      <c r="L38" s="63" t="n">
        <v>45291</v>
      </c>
      <c r="M38" s="58" t="s">
        <v>250</v>
      </c>
      <c r="N38" s="58"/>
      <c r="O38" s="58" t="s">
        <v>252</v>
      </c>
      <c r="P38" s="58" t="s">
        <v>360</v>
      </c>
      <c r="Q38" s="63" t="n">
        <v>46279</v>
      </c>
      <c r="R38" s="58" t="s">
        <v>361</v>
      </c>
      <c r="S38" s="58" t="s">
        <v>361</v>
      </c>
      <c r="T38" s="58" t="s">
        <v>177</v>
      </c>
      <c r="U38" s="58" t="s">
        <v>362</v>
      </c>
      <c r="V38" s="58" t="s">
        <v>179</v>
      </c>
      <c r="W38" s="57" t="str">
        <f aca="false">IF(R38="",IF(COUNTA(C38,F38:V38)&gt;0,"Missing award ID",""),IF(COUNTIFS(AwardsData[Award ID],R38)&lt;&gt;1,"Duplicate award ID",IF(OR(S38="",T38="",F38=""),"Add reference, vendor and award type",IF(OR(AND(I38&lt;&gt;"",NOT(ISNUMBER(I38))),AND(J38&lt;&gt;"",NOT(ISNUMBER(J38)))),"Use numeric snapshot amounts",IF(OR(COUNTIF(AwardTypeCategories,F38)&lt;&gt;1,COUNTIF(SetAsideCategories,G38)&lt;&gt;1,COUNTIF(PerformanceStateCategories,H38)&lt;&gt;1),"New category: refresh report","")))))</f>
        <v/>
      </c>
      <c r="X38" s="57" t="n">
        <f aca="false">IF(R38="","",COUNTIFS(TransactionsData[Award ID],R38,TransactionsData[Selected],1))</f>
        <v>0</v>
      </c>
      <c r="Y38" s="57" t="n">
        <f aca="false">IF(R38="","",COUNTIFS(TransactionsData[Award ID],R38,TransactionsData[Dimension match],1))</f>
        <v>1</v>
      </c>
    </row>
    <row r="39" customFormat="false" ht="38" hidden="false" customHeight="true" outlineLevel="0" collapsed="false">
      <c r="A39" s="54" t="str">
        <f aca="false">IF(S39="","",IF(U39="",S39,HYPERLINK(U39,S39)))</f>
        <v>49100424A0001-49100424F0030</v>
      </c>
      <c r="B39" s="54" t="str">
        <f aca="false">IF(T39="","",IF(V39="",T39,HYPERLINK(V39,T39)))</f>
        <v>Spatial Front Inc.</v>
      </c>
      <c r="C39" s="60" t="s">
        <v>166</v>
      </c>
      <c r="D39" s="56" t="n">
        <f aca="false">IF(R39="","",IF(Trends!$B$6&lt;&gt;"","",SUMIFS(TransactionsData[Obligations],TransactionsData[Award ID],R39,TransactionsData[Selected],1)))</f>
        <v>-3349.69999999995</v>
      </c>
      <c r="E39" s="56" t="n">
        <f aca="false">IF(R39="","",IF(Trends!$B$6&lt;&gt;"","",SUMIFS(TransactionsData[Obligations],TransactionsData[Award ID],R39,TransactionsData[Dimension match],1)))</f>
        <v>1472100.22</v>
      </c>
      <c r="F39" s="61" t="s">
        <v>5</v>
      </c>
      <c r="G39" s="61" t="s">
        <v>59</v>
      </c>
      <c r="H39" s="58" t="s">
        <v>58</v>
      </c>
      <c r="I39" s="62" t="n">
        <v>1472100.22</v>
      </c>
      <c r="J39" s="62" t="n">
        <v>1606370.22</v>
      </c>
      <c r="K39" s="63" t="n">
        <v>45331</v>
      </c>
      <c r="L39" s="63" t="n">
        <v>45730</v>
      </c>
      <c r="M39" s="58" t="s">
        <v>250</v>
      </c>
      <c r="N39" s="58" t="s">
        <v>363</v>
      </c>
      <c r="O39" s="58" t="s">
        <v>252</v>
      </c>
      <c r="P39" s="58" t="s">
        <v>259</v>
      </c>
      <c r="Q39" s="63" t="n">
        <v>46279</v>
      </c>
      <c r="R39" s="58" t="s">
        <v>364</v>
      </c>
      <c r="S39" s="58" t="s">
        <v>365</v>
      </c>
      <c r="T39" s="58" t="s">
        <v>165</v>
      </c>
      <c r="U39" s="58" t="s">
        <v>366</v>
      </c>
      <c r="V39" s="58" t="s">
        <v>167</v>
      </c>
      <c r="W39" s="57" t="str">
        <f aca="false">IF(R39="",IF(COUNTA(C39,F39:V39)&gt;0,"Missing award ID",""),IF(COUNTIFS(AwardsData[Award ID],R39)&lt;&gt;1,"Duplicate award ID",IF(OR(S39="",T39="",F39=""),"Add reference, vendor and award type",IF(OR(AND(I39&lt;&gt;"",NOT(ISNUMBER(I39))),AND(J39&lt;&gt;"",NOT(ISNUMBER(J39)))),"Use numeric snapshot amounts",IF(OR(COUNTIF(AwardTypeCategories,F39)&lt;&gt;1,COUNTIF(SetAsideCategories,G39)&lt;&gt;1,COUNTIF(PerformanceStateCategories,H39)&lt;&gt;1),"New category: refresh report","")))))</f>
        <v/>
      </c>
      <c r="X39" s="57" t="n">
        <f aca="false">IF(R39="","",COUNTIFS(TransactionsData[Award ID],R39,TransactionsData[Selected],1))</f>
        <v>4</v>
      </c>
      <c r="Y39" s="57" t="n">
        <f aca="false">IF(R39="","",COUNTIFS(TransactionsData[Award ID],R39,TransactionsData[Dimension match],1))</f>
        <v>8</v>
      </c>
    </row>
    <row r="40" customFormat="false" ht="38" hidden="false" customHeight="true" outlineLevel="0" collapsed="false">
      <c r="A40" s="54" t="str">
        <f aca="false">IF(S40="","",IF(U40="",S40,HYPERLINK(U40,S40)))</f>
        <v>49100424A0001-49100424F0051</v>
      </c>
      <c r="B40" s="54" t="str">
        <f aca="false">IF(T40="","",IF(V40="",T40,HYPERLINK(V40,T40)))</f>
        <v>Spatial Front Inc.</v>
      </c>
      <c r="C40" s="60" t="s">
        <v>166</v>
      </c>
      <c r="D40" s="56" t="n">
        <f aca="false">IF(R40="","",IF(Trends!$B$6&lt;&gt;"","",SUMIFS(TransactionsData[Obligations],TransactionsData[Award ID],R40,TransactionsData[Selected],1)))</f>
        <v>722435.9</v>
      </c>
      <c r="E40" s="56" t="n">
        <f aca="false">IF(R40="","",IF(Trends!$B$6&lt;&gt;"","",SUMIFS(TransactionsData[Obligations],TransactionsData[Award ID],R40,TransactionsData[Dimension match],1)))</f>
        <v>1352279.28</v>
      </c>
      <c r="F40" s="61" t="s">
        <v>5</v>
      </c>
      <c r="G40" s="61" t="s">
        <v>57</v>
      </c>
      <c r="H40" s="58" t="s">
        <v>58</v>
      </c>
      <c r="I40" s="62" t="n">
        <v>2527654.02</v>
      </c>
      <c r="J40" s="62" t="n">
        <v>4404604.14</v>
      </c>
      <c r="K40" s="63" t="n">
        <v>45364</v>
      </c>
      <c r="L40" s="63" t="n">
        <v>46477</v>
      </c>
      <c r="M40" s="58" t="s">
        <v>250</v>
      </c>
      <c r="N40" s="58" t="s">
        <v>363</v>
      </c>
      <c r="O40" s="58" t="s">
        <v>252</v>
      </c>
      <c r="P40" s="58" t="s">
        <v>259</v>
      </c>
      <c r="Q40" s="63" t="n">
        <v>46279</v>
      </c>
      <c r="R40" s="58" t="s">
        <v>367</v>
      </c>
      <c r="S40" s="58" t="s">
        <v>368</v>
      </c>
      <c r="T40" s="58" t="s">
        <v>165</v>
      </c>
      <c r="U40" s="58" t="s">
        <v>369</v>
      </c>
      <c r="V40" s="58" t="s">
        <v>167</v>
      </c>
      <c r="W40" s="57" t="str">
        <f aca="false">IF(R40="",IF(COUNTA(C40,F40:V40)&gt;0,"Missing award ID",""),IF(COUNTIFS(AwardsData[Award ID],R40)&lt;&gt;1,"Duplicate award ID",IF(OR(S40="",T40="",F40=""),"Add reference, vendor and award type",IF(OR(AND(I40&lt;&gt;"",NOT(ISNUMBER(I40))),AND(J40&lt;&gt;"",NOT(ISNUMBER(J40)))),"Use numeric snapshot amounts",IF(OR(COUNTIF(AwardTypeCategories,F40)&lt;&gt;1,COUNTIF(SetAsideCategories,G40)&lt;&gt;1,COUNTIF(PerformanceStateCategories,H40)&lt;&gt;1),"New category: refresh report","")))))</f>
        <v/>
      </c>
      <c r="X40" s="57" t="n">
        <f aca="false">IF(R40="","",COUNTIFS(TransactionsData[Award ID],R40,TransactionsData[Selected],1))</f>
        <v>4</v>
      </c>
      <c r="Y40" s="57" t="n">
        <f aca="false">IF(R40="","",COUNTIFS(TransactionsData[Award ID],R40,TransactionsData[Dimension match],1))</f>
        <v>6</v>
      </c>
    </row>
    <row r="41" customFormat="false" ht="38" hidden="false" customHeight="true" outlineLevel="0" collapsed="false">
      <c r="A41" s="54" t="str">
        <f aca="false">IF(S41="","",IF(U41="",S41,HYPERLINK(U41,S41)))</f>
        <v>49100424A0001-49100424F0052</v>
      </c>
      <c r="B41" s="54" t="str">
        <f aca="false">IF(T41="","",IF(V41="",T41,HYPERLINK(V41,T41)))</f>
        <v>Spatial Front Inc.</v>
      </c>
      <c r="C41" s="60" t="s">
        <v>166</v>
      </c>
      <c r="D41" s="56" t="n">
        <f aca="false">IF(R41="","",IF(Trends!$B$6&lt;&gt;"","",SUMIFS(TransactionsData[Obligations],TransactionsData[Award ID],R41,TransactionsData[Selected],1)))</f>
        <v>534742.27</v>
      </c>
      <c r="E41" s="56" t="n">
        <f aca="false">IF(R41="","",IF(Trends!$B$6&lt;&gt;"","",SUMIFS(TransactionsData[Obligations],TransactionsData[Award ID],R41,TransactionsData[Dimension match],1)))</f>
        <v>873966.27</v>
      </c>
      <c r="F41" s="61" t="s">
        <v>5</v>
      </c>
      <c r="G41" s="61" t="s">
        <v>59</v>
      </c>
      <c r="H41" s="58" t="s">
        <v>58</v>
      </c>
      <c r="I41" s="62" t="n">
        <v>873966.27</v>
      </c>
      <c r="J41" s="62" t="n">
        <v>3945495</v>
      </c>
      <c r="K41" s="63" t="n">
        <v>45364</v>
      </c>
      <c r="L41" s="63" t="n">
        <v>45870</v>
      </c>
      <c r="M41" s="58" t="s">
        <v>250</v>
      </c>
      <c r="N41" s="58" t="s">
        <v>363</v>
      </c>
      <c r="O41" s="58" t="s">
        <v>252</v>
      </c>
      <c r="P41" s="58" t="s">
        <v>259</v>
      </c>
      <c r="Q41" s="63" t="n">
        <v>46279</v>
      </c>
      <c r="R41" s="58" t="s">
        <v>370</v>
      </c>
      <c r="S41" s="58" t="s">
        <v>371</v>
      </c>
      <c r="T41" s="58" t="s">
        <v>165</v>
      </c>
      <c r="U41" s="58" t="s">
        <v>372</v>
      </c>
      <c r="V41" s="58" t="s">
        <v>167</v>
      </c>
      <c r="W41" s="57" t="str">
        <f aca="false">IF(R41="",IF(COUNTA(C41,F41:V41)&gt;0,"Missing award ID",""),IF(COUNTIFS(AwardsData[Award ID],R41)&lt;&gt;1,"Duplicate award ID",IF(OR(S41="",T41="",F41=""),"Add reference, vendor and award type",IF(OR(AND(I41&lt;&gt;"",NOT(ISNUMBER(I41))),AND(J41&lt;&gt;"",NOT(ISNUMBER(J41)))),"Use numeric snapshot amounts",IF(OR(COUNTIF(AwardTypeCategories,F41)&lt;&gt;1,COUNTIF(SetAsideCategories,G41)&lt;&gt;1,COUNTIF(PerformanceStateCategories,H41)&lt;&gt;1),"New category: refresh report","")))))</f>
        <v/>
      </c>
      <c r="X41" s="57" t="n">
        <f aca="false">IF(R41="","",COUNTIFS(TransactionsData[Award ID],R41,TransactionsData[Selected],1))</f>
        <v>5</v>
      </c>
      <c r="Y41" s="57" t="n">
        <f aca="false">IF(R41="","",COUNTIFS(TransactionsData[Award ID],R41,TransactionsData[Dimension match],1))</f>
        <v>8</v>
      </c>
    </row>
    <row r="42" customFormat="false" ht="38" hidden="false" customHeight="true" outlineLevel="0" collapsed="false">
      <c r="A42" s="54" t="str">
        <f aca="false">IF(S42="","",IF(U42="",S42,HYPERLINK(U42,S42)))</f>
        <v>49100424A0001-49100424F0053</v>
      </c>
      <c r="B42" s="54" t="str">
        <f aca="false">IF(T42="","",IF(V42="",T42,HYPERLINK(V42,T42)))</f>
        <v>Spatial Front Inc.</v>
      </c>
      <c r="C42" s="60" t="s">
        <v>166</v>
      </c>
      <c r="D42" s="56" t="n">
        <f aca="false">IF(R42="","",IF(Trends!$B$6&lt;&gt;"","",SUMIFS(TransactionsData[Obligations],TransactionsData[Award ID],R42,TransactionsData[Selected],1)))</f>
        <v>633981.4</v>
      </c>
      <c r="E42" s="56" t="n">
        <f aca="false">IF(R42="","",IF(Trends!$B$6&lt;&gt;"","",SUMIFS(TransactionsData[Obligations],TransactionsData[Award ID],R42,TransactionsData[Dimension match],1)))</f>
        <v>793101.4</v>
      </c>
      <c r="F42" s="61" t="s">
        <v>5</v>
      </c>
      <c r="G42" s="61" t="s">
        <v>57</v>
      </c>
      <c r="H42" s="58" t="s">
        <v>58</v>
      </c>
      <c r="I42" s="62" t="n">
        <v>1340250.4</v>
      </c>
      <c r="J42" s="62" t="n">
        <v>3312267.48</v>
      </c>
      <c r="K42" s="63" t="n">
        <v>45365</v>
      </c>
      <c r="L42" s="63" t="n">
        <v>46459</v>
      </c>
      <c r="M42" s="58" t="s">
        <v>250</v>
      </c>
      <c r="N42" s="58" t="s">
        <v>363</v>
      </c>
      <c r="O42" s="58" t="s">
        <v>252</v>
      </c>
      <c r="P42" s="58" t="s">
        <v>259</v>
      </c>
      <c r="Q42" s="63" t="n">
        <v>46279</v>
      </c>
      <c r="R42" s="58" t="s">
        <v>373</v>
      </c>
      <c r="S42" s="58" t="s">
        <v>374</v>
      </c>
      <c r="T42" s="58" t="s">
        <v>165</v>
      </c>
      <c r="U42" s="58" t="s">
        <v>375</v>
      </c>
      <c r="V42" s="58" t="s">
        <v>167</v>
      </c>
      <c r="W42" s="57" t="str">
        <f aca="false">IF(R42="",IF(COUNTA(C42,F42:V42)&gt;0,"Missing award ID",""),IF(COUNTIFS(AwardsData[Award ID],R42)&lt;&gt;1,"Duplicate award ID",IF(OR(S42="",T42="",F42=""),"Add reference, vendor and award type",IF(OR(AND(I42&lt;&gt;"",NOT(ISNUMBER(I42))),AND(J42&lt;&gt;"",NOT(ISNUMBER(J42)))),"Use numeric snapshot amounts",IF(OR(COUNTIF(AwardTypeCategories,F42)&lt;&gt;1,COUNTIF(SetAsideCategories,G42)&lt;&gt;1,COUNTIF(PerformanceStateCategories,H42)&lt;&gt;1),"New category: refresh report","")))))</f>
        <v/>
      </c>
      <c r="X42" s="57" t="n">
        <f aca="false">IF(R42="","",COUNTIFS(TransactionsData[Award ID],R42,TransactionsData[Selected],1))</f>
        <v>2</v>
      </c>
      <c r="Y42" s="57" t="n">
        <f aca="false">IF(R42="","",COUNTIFS(TransactionsData[Award ID],R42,TransactionsData[Dimension match],1))</f>
        <v>3</v>
      </c>
    </row>
    <row r="43" customFormat="false" ht="38" hidden="false" customHeight="true" outlineLevel="0" collapsed="false">
      <c r="A43" s="54" t="str">
        <f aca="false">IF(S43="","",IF(U43="",S43,HYPERLINK(U43,S43)))</f>
        <v>49100424A0001-49100424F0054</v>
      </c>
      <c r="B43" s="54" t="str">
        <f aca="false">IF(T43="","",IF(V43="",T43,HYPERLINK(V43,T43)))</f>
        <v>Spatial Front Inc.</v>
      </c>
      <c r="C43" s="60" t="s">
        <v>166</v>
      </c>
      <c r="D43" s="56" t="n">
        <f aca="false">IF(R43="","",IF(Trends!$B$6&lt;&gt;"","",SUMIFS(TransactionsData[Obligations],TransactionsData[Award ID],R43,TransactionsData[Selected],1)))</f>
        <v>533638.4</v>
      </c>
      <c r="E43" s="56" t="n">
        <f aca="false">IF(R43="","",IF(Trends!$B$6&lt;&gt;"","",SUMIFS(TransactionsData[Obligations],TransactionsData[Award ID],R43,TransactionsData[Dimension match],1)))</f>
        <v>1169418.4</v>
      </c>
      <c r="F43" s="61" t="s">
        <v>5</v>
      </c>
      <c r="G43" s="61" t="s">
        <v>57</v>
      </c>
      <c r="H43" s="58" t="s">
        <v>58</v>
      </c>
      <c r="I43" s="62" t="n">
        <v>1873464.2</v>
      </c>
      <c r="J43" s="62" t="n">
        <v>3945495.09</v>
      </c>
      <c r="K43" s="63" t="n">
        <v>45364</v>
      </c>
      <c r="L43" s="63" t="n">
        <v>46458</v>
      </c>
      <c r="M43" s="58" t="s">
        <v>250</v>
      </c>
      <c r="N43" s="58" t="s">
        <v>363</v>
      </c>
      <c r="O43" s="58" t="s">
        <v>252</v>
      </c>
      <c r="P43" s="58" t="s">
        <v>259</v>
      </c>
      <c r="Q43" s="63" t="n">
        <v>46279</v>
      </c>
      <c r="R43" s="58" t="s">
        <v>376</v>
      </c>
      <c r="S43" s="58" t="s">
        <v>377</v>
      </c>
      <c r="T43" s="58" t="s">
        <v>165</v>
      </c>
      <c r="U43" s="58" t="s">
        <v>378</v>
      </c>
      <c r="V43" s="58" t="s">
        <v>167</v>
      </c>
      <c r="W43" s="57" t="str">
        <f aca="false">IF(R43="",IF(COUNTA(C43,F43:V43)&gt;0,"Missing award ID",""),IF(COUNTIFS(AwardsData[Award ID],R43)&lt;&gt;1,"Duplicate award ID",IF(OR(S43="",T43="",F43=""),"Add reference, vendor and award type",IF(OR(AND(I43&lt;&gt;"",NOT(ISNUMBER(I43))),AND(J43&lt;&gt;"",NOT(ISNUMBER(J43)))),"Use numeric snapshot amounts",IF(OR(COUNTIF(AwardTypeCategories,F43)&lt;&gt;1,COUNTIF(SetAsideCategories,G43)&lt;&gt;1,COUNTIF(PerformanceStateCategories,H43)&lt;&gt;1),"New category: refresh report","")))))</f>
        <v/>
      </c>
      <c r="X43" s="57" t="n">
        <f aca="false">IF(R43="","",COUNTIFS(TransactionsData[Award ID],R43,TransactionsData[Selected],1))</f>
        <v>3</v>
      </c>
      <c r="Y43" s="57" t="n">
        <f aca="false">IF(R43="","",COUNTIFS(TransactionsData[Award ID],R43,TransactionsData[Dimension match],1))</f>
        <v>5</v>
      </c>
    </row>
    <row r="44" customFormat="false" ht="38" hidden="false" customHeight="true" outlineLevel="0" collapsed="false">
      <c r="A44" s="54" t="str">
        <f aca="false">IF(S44="","",IF(U44="",S44,HYPERLINK(U44,S44)))</f>
        <v>49100424A0001-49100424F0055</v>
      </c>
      <c r="B44" s="54" t="str">
        <f aca="false">IF(T44="","",IF(V44="",T44,HYPERLINK(V44,T44)))</f>
        <v>Spatial Front Inc.</v>
      </c>
      <c r="C44" s="60" t="s">
        <v>166</v>
      </c>
      <c r="D44" s="56" t="n">
        <f aca="false">IF(R44="","",IF(Trends!$B$6&lt;&gt;"","",SUMIFS(TransactionsData[Obligations],TransactionsData[Award ID],R44,TransactionsData[Selected],1)))</f>
        <v>215226.66</v>
      </c>
      <c r="E44" s="56" t="n">
        <f aca="false">IF(R44="","",IF(Trends!$B$6&lt;&gt;"","",SUMIFS(TransactionsData[Obligations],TransactionsData[Award ID],R44,TransactionsData[Dimension match],1)))</f>
        <v>418871.06</v>
      </c>
      <c r="F44" s="61" t="s">
        <v>5</v>
      </c>
      <c r="G44" s="61" t="s">
        <v>57</v>
      </c>
      <c r="H44" s="58" t="s">
        <v>58</v>
      </c>
      <c r="I44" s="62" t="n">
        <v>678363.26</v>
      </c>
      <c r="J44" s="62" t="n">
        <v>1374235.2</v>
      </c>
      <c r="K44" s="63" t="n">
        <v>45364</v>
      </c>
      <c r="L44" s="63" t="n">
        <v>46093</v>
      </c>
      <c r="M44" s="58" t="s">
        <v>250</v>
      </c>
      <c r="N44" s="58" t="s">
        <v>363</v>
      </c>
      <c r="O44" s="58" t="s">
        <v>252</v>
      </c>
      <c r="P44" s="58" t="s">
        <v>259</v>
      </c>
      <c r="Q44" s="63" t="n">
        <v>46279</v>
      </c>
      <c r="R44" s="58" t="s">
        <v>379</v>
      </c>
      <c r="S44" s="58" t="s">
        <v>380</v>
      </c>
      <c r="T44" s="58" t="s">
        <v>165</v>
      </c>
      <c r="U44" s="58" t="s">
        <v>381</v>
      </c>
      <c r="V44" s="58" t="s">
        <v>167</v>
      </c>
      <c r="W44" s="57" t="str">
        <f aca="false">IF(R44="",IF(COUNTA(C44,F44:V44)&gt;0,"Missing award ID",""),IF(COUNTIFS(AwardsData[Award ID],R44)&lt;&gt;1,"Duplicate award ID",IF(OR(S44="",T44="",F44=""),"Add reference, vendor and award type",IF(OR(AND(I44&lt;&gt;"",NOT(ISNUMBER(I44))),AND(J44&lt;&gt;"",NOT(ISNUMBER(J44)))),"Use numeric snapshot amounts",IF(OR(COUNTIF(AwardTypeCategories,F44)&lt;&gt;1,COUNTIF(SetAsideCategories,G44)&lt;&gt;1,COUNTIF(PerformanceStateCategories,H44)&lt;&gt;1),"New category: refresh report","")))))</f>
        <v/>
      </c>
      <c r="X44" s="57" t="n">
        <f aca="false">IF(R44="","",COUNTIFS(TransactionsData[Award ID],R44,TransactionsData[Selected],1))</f>
        <v>4</v>
      </c>
      <c r="Y44" s="57" t="n">
        <f aca="false">IF(R44="","",COUNTIFS(TransactionsData[Award ID],R44,TransactionsData[Dimension match],1))</f>
        <v>7</v>
      </c>
    </row>
    <row r="45" customFormat="false" ht="38" hidden="false" customHeight="true" outlineLevel="0" collapsed="false">
      <c r="A45" s="54" t="str">
        <f aca="false">IF(S45="","",IF(U45="",S45,HYPERLINK(U45,S45)))</f>
        <v>49100424A0001-49100424F0226</v>
      </c>
      <c r="B45" s="54" t="str">
        <f aca="false">IF(T45="","",IF(V45="",T45,HYPERLINK(V45,T45)))</f>
        <v>Spatial Front Inc.</v>
      </c>
      <c r="C45" s="60" t="s">
        <v>166</v>
      </c>
      <c r="D45" s="56" t="n">
        <f aca="false">IF(R45="","",IF(Trends!$B$6&lt;&gt;"","",SUMIFS(TransactionsData[Obligations],TransactionsData[Award ID],R45,TransactionsData[Selected],1)))</f>
        <v>393714.46</v>
      </c>
      <c r="E45" s="56" t="n">
        <f aca="false">IF(R45="","",IF(Trends!$B$6&lt;&gt;"","",SUMIFS(TransactionsData[Obligations],TransactionsData[Award ID],R45,TransactionsData[Dimension match],1)))</f>
        <v>964654.57</v>
      </c>
      <c r="F45" s="61" t="s">
        <v>5</v>
      </c>
      <c r="G45" s="61" t="s">
        <v>59</v>
      </c>
      <c r="H45" s="58" t="s">
        <v>62</v>
      </c>
      <c r="I45" s="62" t="n">
        <v>964654.57</v>
      </c>
      <c r="J45" s="62" t="n">
        <v>2777898.24</v>
      </c>
      <c r="K45" s="63" t="n">
        <v>45566</v>
      </c>
      <c r="L45" s="63" t="n">
        <v>45961</v>
      </c>
      <c r="M45" s="58" t="s">
        <v>382</v>
      </c>
      <c r="N45" s="58" t="s">
        <v>363</v>
      </c>
      <c r="O45" s="58" t="s">
        <v>252</v>
      </c>
      <c r="P45" s="58" t="s">
        <v>259</v>
      </c>
      <c r="Q45" s="63" t="n">
        <v>46279</v>
      </c>
      <c r="R45" s="58" t="s">
        <v>383</v>
      </c>
      <c r="S45" s="58" t="s">
        <v>384</v>
      </c>
      <c r="T45" s="58" t="s">
        <v>165</v>
      </c>
      <c r="U45" s="58" t="s">
        <v>385</v>
      </c>
      <c r="V45" s="58" t="s">
        <v>167</v>
      </c>
      <c r="W45" s="57" t="str">
        <f aca="false">IF(R45="",IF(COUNTA(C45,F45:V45)&gt;0,"Missing award ID",""),IF(COUNTIFS(AwardsData[Award ID],R45)&lt;&gt;1,"Duplicate award ID",IF(OR(S45="",T45="",F45=""),"Add reference, vendor and award type",IF(OR(AND(I45&lt;&gt;"",NOT(ISNUMBER(I45))),AND(J45&lt;&gt;"",NOT(ISNUMBER(J45)))),"Use numeric snapshot amounts",IF(OR(COUNTIF(AwardTypeCategories,F45)&lt;&gt;1,COUNTIF(SetAsideCategories,G45)&lt;&gt;1,COUNTIF(PerformanceStateCategories,H45)&lt;&gt;1),"New category: refresh report","")))))</f>
        <v/>
      </c>
      <c r="X45" s="57" t="n">
        <f aca="false">IF(R45="","",COUNTIFS(TransactionsData[Award ID],R45,TransactionsData[Selected],1))</f>
        <v>3</v>
      </c>
      <c r="Y45" s="57" t="n">
        <f aca="false">IF(R45="","",COUNTIFS(TransactionsData[Award ID],R45,TransactionsData[Dimension match],1))</f>
        <v>4</v>
      </c>
    </row>
    <row r="46" customFormat="false" ht="38" hidden="false" customHeight="true" outlineLevel="0" collapsed="false">
      <c r="A46" s="54" t="str">
        <f aca="false">IF(S46="","",IF(U46="",S46,HYPERLINK(U46,S46)))</f>
        <v>49100424A0001-49100424F0246</v>
      </c>
      <c r="B46" s="54" t="str">
        <f aca="false">IF(T46="","",IF(V46="",T46,HYPERLINK(V46,T46)))</f>
        <v>Spatial Front Inc.</v>
      </c>
      <c r="C46" s="60" t="s">
        <v>166</v>
      </c>
      <c r="D46" s="56" t="n">
        <f aca="false">IF(R46="","",IF(Trends!$B$6&lt;&gt;"","",SUMIFS(TransactionsData[Obligations],TransactionsData[Award ID],R46,TransactionsData[Selected],1)))</f>
        <v>4471488</v>
      </c>
      <c r="E46" s="56" t="n">
        <f aca="false">IF(R46="","",IF(Trends!$B$6&lt;&gt;"","",SUMIFS(TransactionsData[Obligations],TransactionsData[Award ID],R46,TransactionsData[Dimension match],1)))</f>
        <v>6651168</v>
      </c>
      <c r="F46" s="61" t="s">
        <v>5</v>
      </c>
      <c r="G46" s="61" t="s">
        <v>59</v>
      </c>
      <c r="H46" s="58" t="s">
        <v>62</v>
      </c>
      <c r="I46" s="62" t="n">
        <v>6651168</v>
      </c>
      <c r="J46" s="62" t="n">
        <v>8896704</v>
      </c>
      <c r="K46" s="63" t="n">
        <v>45566</v>
      </c>
      <c r="L46" s="63" t="n">
        <v>46173</v>
      </c>
      <c r="M46" s="58" t="s">
        <v>382</v>
      </c>
      <c r="N46" s="58" t="s">
        <v>363</v>
      </c>
      <c r="O46" s="58" t="s">
        <v>252</v>
      </c>
      <c r="P46" s="58" t="s">
        <v>259</v>
      </c>
      <c r="Q46" s="63" t="n">
        <v>46279</v>
      </c>
      <c r="R46" s="58" t="s">
        <v>386</v>
      </c>
      <c r="S46" s="58" t="s">
        <v>387</v>
      </c>
      <c r="T46" s="58" t="s">
        <v>165</v>
      </c>
      <c r="U46" s="58" t="s">
        <v>388</v>
      </c>
      <c r="V46" s="58" t="s">
        <v>167</v>
      </c>
      <c r="W46" s="57" t="str">
        <f aca="false">IF(R46="",IF(COUNTA(C46,F46:V46)&gt;0,"Missing award ID",""),IF(COUNTIFS(AwardsData[Award ID],R46)&lt;&gt;1,"Duplicate award ID",IF(OR(S46="",T46="",F46=""),"Add reference, vendor and award type",IF(OR(AND(I46&lt;&gt;"",NOT(ISNUMBER(I46))),AND(J46&lt;&gt;"",NOT(ISNUMBER(J46)))),"Use numeric snapshot amounts",IF(OR(COUNTIF(AwardTypeCategories,F46)&lt;&gt;1,COUNTIF(SetAsideCategories,G46)&lt;&gt;1,COUNTIF(PerformanceStateCategories,H46)&lt;&gt;1),"New category: refresh report","")))))</f>
        <v/>
      </c>
      <c r="X46" s="57" t="n">
        <f aca="false">IF(R46="","",COUNTIFS(TransactionsData[Award ID],R46,TransactionsData[Selected],1))</f>
        <v>3</v>
      </c>
      <c r="Y46" s="57" t="n">
        <f aca="false">IF(R46="","",COUNTIFS(TransactionsData[Award ID],R46,TransactionsData[Dimension match],1))</f>
        <v>4</v>
      </c>
    </row>
    <row r="47" customFormat="false" ht="38" hidden="false" customHeight="true" outlineLevel="0" collapsed="false">
      <c r="A47" s="54" t="str">
        <f aca="false">IF(S47="","",IF(U47="",S47,HYPERLINK(U47,S47)))</f>
        <v>49100424A0001-49100425F0037</v>
      </c>
      <c r="B47" s="54" t="str">
        <f aca="false">IF(T47="","",IF(V47="",T47,HYPERLINK(V47,T47)))</f>
        <v>Spatial Front Inc.</v>
      </c>
      <c r="C47" s="60" t="s">
        <v>166</v>
      </c>
      <c r="D47" s="56" t="n">
        <f aca="false">IF(R47="","",IF(Trends!$B$6&lt;&gt;"","",SUMIFS(TransactionsData[Obligations],TransactionsData[Award ID],R47,TransactionsData[Selected],1)))</f>
        <v>1343508.6</v>
      </c>
      <c r="E47" s="56" t="n">
        <f aca="false">IF(R47="","",IF(Trends!$B$6&lt;&gt;"","",SUMIFS(TransactionsData[Obligations],TransactionsData[Award ID],R47,TransactionsData[Dimension match],1)))</f>
        <v>1343508.6</v>
      </c>
      <c r="F47" s="61" t="s">
        <v>5</v>
      </c>
      <c r="G47" s="61" t="s">
        <v>59</v>
      </c>
      <c r="H47" s="58" t="s">
        <v>58</v>
      </c>
      <c r="I47" s="62" t="n">
        <v>1343508.6</v>
      </c>
      <c r="J47" s="62" t="n">
        <v>1343508.6</v>
      </c>
      <c r="K47" s="63" t="n">
        <v>45712</v>
      </c>
      <c r="L47" s="63" t="n">
        <v>45892</v>
      </c>
      <c r="M47" s="58" t="s">
        <v>250</v>
      </c>
      <c r="N47" s="58" t="s">
        <v>363</v>
      </c>
      <c r="O47" s="58" t="s">
        <v>252</v>
      </c>
      <c r="P47" s="58" t="s">
        <v>259</v>
      </c>
      <c r="Q47" s="63" t="n">
        <v>46279</v>
      </c>
      <c r="R47" s="58" t="s">
        <v>389</v>
      </c>
      <c r="S47" s="58" t="s">
        <v>390</v>
      </c>
      <c r="T47" s="58" t="s">
        <v>165</v>
      </c>
      <c r="U47" s="58" t="s">
        <v>391</v>
      </c>
      <c r="V47" s="58" t="s">
        <v>167</v>
      </c>
      <c r="W47" s="57" t="str">
        <f aca="false">IF(R47="",IF(COUNTA(C47,F47:V47)&gt;0,"Missing award ID",""),IF(COUNTIFS(AwardsData[Award ID],R47)&lt;&gt;1,"Duplicate award ID",IF(OR(S47="",T47="",F47=""),"Add reference, vendor and award type",IF(OR(AND(I47&lt;&gt;"",NOT(ISNUMBER(I47))),AND(J47&lt;&gt;"",NOT(ISNUMBER(J47)))),"Use numeric snapshot amounts",IF(OR(COUNTIF(AwardTypeCategories,F47)&lt;&gt;1,COUNTIF(SetAsideCategories,G47)&lt;&gt;1,COUNTIF(PerformanceStateCategories,H47)&lt;&gt;1),"New category: refresh report","")))))</f>
        <v/>
      </c>
      <c r="X47" s="57" t="n">
        <f aca="false">IF(R47="","",COUNTIFS(TransactionsData[Award ID],R47,TransactionsData[Selected],1))</f>
        <v>1</v>
      </c>
      <c r="Y47" s="57" t="n">
        <f aca="false">IF(R47="","",COUNTIFS(TransactionsData[Award ID],R47,TransactionsData[Dimension match],1))</f>
        <v>1</v>
      </c>
    </row>
    <row r="48" customFormat="false" ht="38" hidden="false" customHeight="true" outlineLevel="0" collapsed="false">
      <c r="A48" s="54" t="str">
        <f aca="false">IF(S48="","",IF(U48="",S48,HYPERLINK(U48,S48)))</f>
        <v>49100424A0006-49100424F0073</v>
      </c>
      <c r="B48" s="54" t="str">
        <f aca="false">IF(T48="","",IF(V48="",T48,HYPERLINK(V48,T48)))</f>
        <v>Anika Systems Incorporated</v>
      </c>
      <c r="C48" s="60" t="s">
        <v>107</v>
      </c>
      <c r="D48" s="56" t="n">
        <f aca="false">IF(R48="","",IF(Trends!$B$6&lt;&gt;"","",SUMIFS(TransactionsData[Obligations],TransactionsData[Award ID],R48,TransactionsData[Selected],1)))</f>
        <v>4954939.77</v>
      </c>
      <c r="E48" s="56" t="n">
        <f aca="false">IF(R48="","",IF(Trends!$B$6&lt;&gt;"","",SUMIFS(TransactionsData[Obligations],TransactionsData[Award ID],R48,TransactionsData[Dimension match],1)))</f>
        <v>8236971.73</v>
      </c>
      <c r="F48" s="61" t="s">
        <v>5</v>
      </c>
      <c r="G48" s="61" t="s">
        <v>61</v>
      </c>
      <c r="H48" s="58" t="s">
        <v>58</v>
      </c>
      <c r="I48" s="62" t="n">
        <v>8236971.73</v>
      </c>
      <c r="J48" s="62" t="n">
        <v>25303954.74</v>
      </c>
      <c r="K48" s="63" t="n">
        <v>45385</v>
      </c>
      <c r="L48" s="63" t="n">
        <v>46479</v>
      </c>
      <c r="M48" s="58" t="s">
        <v>250</v>
      </c>
      <c r="N48" s="58" t="s">
        <v>392</v>
      </c>
      <c r="O48" s="58" t="s">
        <v>252</v>
      </c>
      <c r="P48" s="58" t="s">
        <v>259</v>
      </c>
      <c r="Q48" s="63" t="n">
        <v>46279</v>
      </c>
      <c r="R48" s="58" t="s">
        <v>393</v>
      </c>
      <c r="S48" s="58" t="s">
        <v>394</v>
      </c>
      <c r="T48" s="58" t="s">
        <v>106</v>
      </c>
      <c r="U48" s="58" t="s">
        <v>395</v>
      </c>
      <c r="V48" s="58" t="s">
        <v>108</v>
      </c>
      <c r="W48" s="57" t="str">
        <f aca="false">IF(R48="",IF(COUNTA(C48,F48:V48)&gt;0,"Missing award ID",""),IF(COUNTIFS(AwardsData[Award ID],R48)&lt;&gt;1,"Duplicate award ID",IF(OR(S48="",T48="",F48=""),"Add reference, vendor and award type",IF(OR(AND(I48&lt;&gt;"",NOT(ISNUMBER(I48))),AND(J48&lt;&gt;"",NOT(ISNUMBER(J48)))),"Use numeric snapshot amounts",IF(OR(COUNTIF(AwardTypeCategories,F48)&lt;&gt;1,COUNTIF(SetAsideCategories,G48)&lt;&gt;1,COUNTIF(PerformanceStateCategories,H48)&lt;&gt;1),"New category: refresh report","")))))</f>
        <v/>
      </c>
      <c r="X48" s="57" t="n">
        <f aca="false">IF(R48="","",COUNTIFS(TransactionsData[Award ID],R48,TransactionsData[Selected],1))</f>
        <v>4</v>
      </c>
      <c r="Y48" s="57" t="n">
        <f aca="false">IF(R48="","",COUNTIFS(TransactionsData[Award ID],R48,TransactionsData[Dimension match],1))</f>
        <v>8</v>
      </c>
    </row>
    <row r="49" customFormat="false" ht="38" hidden="false" customHeight="true" outlineLevel="0" collapsed="false">
      <c r="A49" s="54" t="str">
        <f aca="false">IF(S49="","",IF(U49="",S49,HYPERLINK(U49,S49)))</f>
        <v>49100424C0027</v>
      </c>
      <c r="B49" s="54" t="str">
        <f aca="false">IF(T49="","",IF(V49="",T49,HYPERLINK(V49,T49)))</f>
        <v>Montage + Magnum, LLC</v>
      </c>
      <c r="C49" s="60" t="s">
        <v>149</v>
      </c>
      <c r="D49" s="56" t="n">
        <f aca="false">IF(R49="","",IF(Trends!$B$6&lt;&gt;"","",SUMIFS(TransactionsData[Obligations],TransactionsData[Award ID],R49,TransactionsData[Selected],1)))</f>
        <v>840658.87</v>
      </c>
      <c r="E49" s="56" t="n">
        <f aca="false">IF(R49="","",IF(Trends!$B$6&lt;&gt;"","",SUMIFS(TransactionsData[Obligations],TransactionsData[Award ID],R49,TransactionsData[Dimension match],1)))</f>
        <v>2289459.98</v>
      </c>
      <c r="F49" s="61" t="s">
        <v>9</v>
      </c>
      <c r="G49" s="61" t="s">
        <v>59</v>
      </c>
      <c r="H49" s="58" t="s">
        <v>58</v>
      </c>
      <c r="I49" s="62" t="n">
        <v>4694095.31</v>
      </c>
      <c r="J49" s="62" t="n">
        <v>4694095.31</v>
      </c>
      <c r="K49" s="63" t="n">
        <v>45427</v>
      </c>
      <c r="L49" s="63" t="n">
        <v>46660</v>
      </c>
      <c r="M49" s="58" t="s">
        <v>396</v>
      </c>
      <c r="N49" s="58"/>
      <c r="O49" s="58" t="s">
        <v>252</v>
      </c>
      <c r="P49" s="58" t="s">
        <v>397</v>
      </c>
      <c r="Q49" s="63" t="n">
        <v>46279</v>
      </c>
      <c r="R49" s="58" t="s">
        <v>398</v>
      </c>
      <c r="S49" s="58" t="s">
        <v>398</v>
      </c>
      <c r="T49" s="58" t="s">
        <v>150</v>
      </c>
      <c r="U49" s="58" t="s">
        <v>399</v>
      </c>
      <c r="V49" s="58" t="s">
        <v>151</v>
      </c>
      <c r="W49" s="57" t="str">
        <f aca="false">IF(R49="",IF(COUNTA(C49,F49:V49)&gt;0,"Missing award ID",""),IF(COUNTIFS(AwardsData[Award ID],R49)&lt;&gt;1,"Duplicate award ID",IF(OR(S49="",T49="",F49=""),"Add reference, vendor and award type",IF(OR(AND(I49&lt;&gt;"",NOT(ISNUMBER(I49))),AND(J49&lt;&gt;"",NOT(ISNUMBER(J49)))),"Use numeric snapshot amounts",IF(OR(COUNTIF(AwardTypeCategories,F49)&lt;&gt;1,COUNTIF(SetAsideCategories,G49)&lt;&gt;1,COUNTIF(PerformanceStateCategories,H49)&lt;&gt;1),"New category: refresh report","")))))</f>
        <v/>
      </c>
      <c r="X49" s="57" t="n">
        <f aca="false">IF(R49="","",COUNTIFS(TransactionsData[Award ID],R49,TransactionsData[Selected],1))</f>
        <v>3</v>
      </c>
      <c r="Y49" s="57" t="n">
        <f aca="false">IF(R49="","",COUNTIFS(TransactionsData[Award ID],R49,TransactionsData[Dimension match],1))</f>
        <v>5</v>
      </c>
    </row>
    <row r="50" customFormat="false" ht="38" hidden="false" customHeight="true" outlineLevel="0" collapsed="false">
      <c r="A50" s="54" t="str">
        <f aca="false">IF(S50="","",IF(U50="",S50,HYPERLINK(U50,S50)))</f>
        <v>49100424C0051</v>
      </c>
      <c r="B50" s="54" t="str">
        <f aca="false">IF(T50="","",IF(V50="",T50,HYPERLINK(V50,T50)))</f>
        <v>Rei Systems, Inc.</v>
      </c>
      <c r="C50" s="60" t="s">
        <v>158</v>
      </c>
      <c r="D50" s="56" t="n">
        <f aca="false">IF(R50="","",IF(Trends!$B$6&lt;&gt;"","",SUMIFS(TransactionsData[Obligations],TransactionsData[Award ID],R50,TransactionsData[Selected],1)))</f>
        <v>1120596.87</v>
      </c>
      <c r="E50" s="56" t="n">
        <f aca="false">IF(R50="","",IF(Trends!$B$6&lt;&gt;"","",SUMIFS(TransactionsData[Obligations],TransactionsData[Award ID],R50,TransactionsData[Dimension match],1)))</f>
        <v>1495596.87</v>
      </c>
      <c r="F50" s="61" t="s">
        <v>9</v>
      </c>
      <c r="G50" s="61" t="s">
        <v>59</v>
      </c>
      <c r="H50" s="58" t="s">
        <v>58</v>
      </c>
      <c r="I50" s="62" t="n">
        <v>1489569.77</v>
      </c>
      <c r="J50" s="62" t="n">
        <v>1495596.87</v>
      </c>
      <c r="K50" s="63" t="n">
        <v>45566</v>
      </c>
      <c r="L50" s="63" t="n">
        <v>45930</v>
      </c>
      <c r="M50" s="58" t="s">
        <v>250</v>
      </c>
      <c r="N50" s="58"/>
      <c r="O50" s="58" t="s">
        <v>252</v>
      </c>
      <c r="P50" s="58" t="s">
        <v>326</v>
      </c>
      <c r="Q50" s="63" t="n">
        <v>46279</v>
      </c>
      <c r="R50" s="58" t="s">
        <v>400</v>
      </c>
      <c r="S50" s="58" t="s">
        <v>400</v>
      </c>
      <c r="T50" s="58" t="s">
        <v>157</v>
      </c>
      <c r="U50" s="58" t="s">
        <v>401</v>
      </c>
      <c r="V50" s="58" t="s">
        <v>159</v>
      </c>
      <c r="W50" s="57" t="str">
        <f aca="false">IF(R50="",IF(COUNTA(C50,F50:V50)&gt;0,"Missing award ID",""),IF(COUNTIFS(AwardsData[Award ID],R50)&lt;&gt;1,"Duplicate award ID",IF(OR(S50="",T50="",F50=""),"Add reference, vendor and award type",IF(OR(AND(I50&lt;&gt;"",NOT(ISNUMBER(I50))),AND(J50&lt;&gt;"",NOT(ISNUMBER(J50)))),"Use numeric snapshot amounts",IF(OR(COUNTIF(AwardTypeCategories,F50)&lt;&gt;1,COUNTIF(SetAsideCategories,G50)&lt;&gt;1,COUNTIF(PerformanceStateCategories,H50)&lt;&gt;1),"New category: refresh report","")))))</f>
        <v/>
      </c>
      <c r="X50" s="57" t="n">
        <f aca="false">IF(R50="","",COUNTIFS(TransactionsData[Award ID],R50,TransactionsData[Selected],1))</f>
        <v>4</v>
      </c>
      <c r="Y50" s="57" t="n">
        <f aca="false">IF(R50="","",COUNTIFS(TransactionsData[Award ID],R50,TransactionsData[Dimension match],1))</f>
        <v>5</v>
      </c>
    </row>
    <row r="51" customFormat="false" ht="38" hidden="false" customHeight="true" outlineLevel="0" collapsed="false">
      <c r="A51" s="54" t="str">
        <f aca="false">IF(S51="","",IF(U51="",S51,HYPERLINK(U51,S51)))</f>
        <v>49100424P0013</v>
      </c>
      <c r="B51" s="54" t="str">
        <f aca="false">IF(T51="","",IF(V51="",T51,HYPERLINK(V51,T51)))</f>
        <v>University Corporation For Advanced Internet Development</v>
      </c>
      <c r="C51" s="60" t="s">
        <v>178</v>
      </c>
      <c r="D51" s="56" t="n">
        <f aca="false">IF(R51="","",IF(Trends!$B$6&lt;&gt;"","",SUMIFS(TransactionsData[Obligations],TransactionsData[Award ID],R51,TransactionsData[Selected],1)))</f>
        <v>0</v>
      </c>
      <c r="E51" s="56" t="n">
        <f aca="false">IF(R51="","",IF(Trends!$B$6&lt;&gt;"","",SUMIFS(TransactionsData[Obligations],TransactionsData[Award ID],R51,TransactionsData[Dimension match],1)))</f>
        <v>39079</v>
      </c>
      <c r="F51" s="61" t="s">
        <v>16</v>
      </c>
      <c r="G51" s="61" t="s">
        <v>59</v>
      </c>
      <c r="H51" s="58" t="s">
        <v>58</v>
      </c>
      <c r="I51" s="62" t="n">
        <v>39079</v>
      </c>
      <c r="J51" s="62" t="n">
        <v>39079</v>
      </c>
      <c r="K51" s="63" t="n">
        <v>45292</v>
      </c>
      <c r="L51" s="63" t="n">
        <v>45657</v>
      </c>
      <c r="M51" s="58" t="s">
        <v>250</v>
      </c>
      <c r="N51" s="58"/>
      <c r="O51" s="58" t="s">
        <v>252</v>
      </c>
      <c r="P51" s="58" t="s">
        <v>360</v>
      </c>
      <c r="Q51" s="63" t="n">
        <v>46279</v>
      </c>
      <c r="R51" s="58" t="s">
        <v>402</v>
      </c>
      <c r="S51" s="58" t="s">
        <v>402</v>
      </c>
      <c r="T51" s="58" t="s">
        <v>177</v>
      </c>
      <c r="U51" s="58" t="s">
        <v>403</v>
      </c>
      <c r="V51" s="58" t="s">
        <v>179</v>
      </c>
      <c r="W51" s="57" t="str">
        <f aca="false">IF(R51="",IF(COUNTA(C51,F51:V51)&gt;0,"Missing award ID",""),IF(COUNTIFS(AwardsData[Award ID],R51)&lt;&gt;1,"Duplicate award ID",IF(OR(S51="",T51="",F51=""),"Add reference, vendor and award type",IF(OR(AND(I51&lt;&gt;"",NOT(ISNUMBER(I51))),AND(J51&lt;&gt;"",NOT(ISNUMBER(J51)))),"Use numeric snapshot amounts",IF(OR(COUNTIF(AwardTypeCategories,F51)&lt;&gt;1,COUNTIF(SetAsideCategories,G51)&lt;&gt;1,COUNTIF(PerformanceStateCategories,H51)&lt;&gt;1),"New category: refresh report","")))))</f>
        <v/>
      </c>
      <c r="X51" s="57" t="n">
        <f aca="false">IF(R51="","",COUNTIFS(TransactionsData[Award ID],R51,TransactionsData[Selected],1))</f>
        <v>0</v>
      </c>
      <c r="Y51" s="57" t="n">
        <f aca="false">IF(R51="","",COUNTIFS(TransactionsData[Award ID],R51,TransactionsData[Dimension match],1))</f>
        <v>1</v>
      </c>
    </row>
    <row r="52" customFormat="false" ht="38" hidden="false" customHeight="true" outlineLevel="0" collapsed="false">
      <c r="A52" s="54" t="str">
        <f aca="false">IF(S52="","",IF(U52="",S52,HYPERLINK(U52,S52)))</f>
        <v>49100425C0024</v>
      </c>
      <c r="B52" s="54" t="str">
        <f aca="false">IF(T52="","",IF(V52="",T52,HYPERLINK(V52,T52)))</f>
        <v>Rei Systems, Inc.</v>
      </c>
      <c r="C52" s="60" t="s">
        <v>158</v>
      </c>
      <c r="D52" s="56" t="n">
        <f aca="false">IF(R52="","",IF(Trends!$B$6&lt;&gt;"","",SUMIFS(TransactionsData[Obligations],TransactionsData[Award ID],R52,TransactionsData[Selected],1)))</f>
        <v>778781.18</v>
      </c>
      <c r="E52" s="56" t="n">
        <f aca="false">IF(R52="","",IF(Trends!$B$6&lt;&gt;"","",SUMIFS(TransactionsData[Obligations],TransactionsData[Award ID],R52,TransactionsData[Dimension match],1)))</f>
        <v>778781.18</v>
      </c>
      <c r="F52" s="61" t="s">
        <v>9</v>
      </c>
      <c r="G52" s="61" t="s">
        <v>59</v>
      </c>
      <c r="H52" s="58" t="s">
        <v>58</v>
      </c>
      <c r="I52" s="62" t="n">
        <v>2382061.42</v>
      </c>
      <c r="J52" s="62" t="n">
        <v>5215864.3</v>
      </c>
      <c r="K52" s="63" t="n">
        <v>45931</v>
      </c>
      <c r="L52" s="63" t="n">
        <v>46477</v>
      </c>
      <c r="M52" s="58" t="s">
        <v>250</v>
      </c>
      <c r="N52" s="58"/>
      <c r="O52" s="58" t="s">
        <v>252</v>
      </c>
      <c r="P52" s="58" t="s">
        <v>326</v>
      </c>
      <c r="Q52" s="63" t="n">
        <v>46279</v>
      </c>
      <c r="R52" s="58" t="s">
        <v>404</v>
      </c>
      <c r="S52" s="58" t="s">
        <v>404</v>
      </c>
      <c r="T52" s="58" t="s">
        <v>157</v>
      </c>
      <c r="U52" s="58" t="s">
        <v>405</v>
      </c>
      <c r="V52" s="58" t="s">
        <v>159</v>
      </c>
      <c r="W52" s="57" t="str">
        <f aca="false">IF(R52="",IF(COUNTA(C52,F52:V52)&gt;0,"Missing award ID",""),IF(COUNTIFS(AwardsData[Award ID],R52)&lt;&gt;1,"Duplicate award ID",IF(OR(S52="",T52="",F52=""),"Add reference, vendor and award type",IF(OR(AND(I52&lt;&gt;"",NOT(ISNUMBER(I52))),AND(J52&lt;&gt;"",NOT(ISNUMBER(J52)))),"Use numeric snapshot amounts",IF(OR(COUNTIF(AwardTypeCategories,F52)&lt;&gt;1,COUNTIF(SetAsideCategories,G52)&lt;&gt;1,COUNTIF(PerformanceStateCategories,H52)&lt;&gt;1),"New category: refresh report","")))))</f>
        <v/>
      </c>
      <c r="X52" s="57" t="n">
        <f aca="false">IF(R52="","",COUNTIFS(TransactionsData[Award ID],R52,TransactionsData[Selected],1))</f>
        <v>1</v>
      </c>
      <c r="Y52" s="57" t="n">
        <f aca="false">IF(R52="","",COUNTIFS(TransactionsData[Award ID],R52,TransactionsData[Dimension match],1))</f>
        <v>1</v>
      </c>
    </row>
    <row r="53" customFormat="false" ht="38" hidden="false" customHeight="true" outlineLevel="0" collapsed="false">
      <c r="A53" s="54" t="str">
        <f aca="false">IF(S53="","",IF(U53="",S53,HYPERLINK(U53,S53)))</f>
        <v>49100425D0009-49100425F0114</v>
      </c>
      <c r="B53" s="54" t="str">
        <f aca="false">IF(T53="","",IF(V53="",T53,HYPERLINK(V53,T53)))</f>
        <v>Agility Technologies Inc.</v>
      </c>
      <c r="C53" s="60" t="s">
        <v>103</v>
      </c>
      <c r="D53" s="56" t="n">
        <f aca="false">IF(R53="","",IF(Trends!$B$6&lt;&gt;"","",SUMIFS(TransactionsData[Obligations],TransactionsData[Award ID],R53,TransactionsData[Selected],1)))</f>
        <v>592535.71</v>
      </c>
      <c r="E53" s="56" t="n">
        <f aca="false">IF(R53="","",IF(Trends!$B$6&lt;&gt;"","",SUMIFS(TransactionsData[Obligations],TransactionsData[Award ID],R53,TransactionsData[Dimension match],1)))</f>
        <v>592535.71</v>
      </c>
      <c r="F53" s="61" t="s">
        <v>12</v>
      </c>
      <c r="G53" s="61" t="s">
        <v>63</v>
      </c>
      <c r="H53" s="58" t="s">
        <v>58</v>
      </c>
      <c r="I53" s="62" t="n">
        <v>592535.71</v>
      </c>
      <c r="J53" s="62" t="n">
        <v>4500000</v>
      </c>
      <c r="K53" s="63" t="n">
        <v>45924</v>
      </c>
      <c r="L53" s="63" t="n">
        <v>46288</v>
      </c>
      <c r="M53" s="58" t="s">
        <v>329</v>
      </c>
      <c r="N53" s="58" t="s">
        <v>406</v>
      </c>
      <c r="O53" s="58" t="s">
        <v>252</v>
      </c>
      <c r="P53" s="58" t="s">
        <v>271</v>
      </c>
      <c r="Q53" s="63" t="n">
        <v>46279</v>
      </c>
      <c r="R53" s="58" t="s">
        <v>407</v>
      </c>
      <c r="S53" s="58" t="s">
        <v>408</v>
      </c>
      <c r="T53" s="58" t="s">
        <v>102</v>
      </c>
      <c r="U53" s="58" t="s">
        <v>409</v>
      </c>
      <c r="V53" s="58" t="s">
        <v>104</v>
      </c>
      <c r="W53" s="57" t="str">
        <f aca="false">IF(R53="",IF(COUNTA(C53,F53:V53)&gt;0,"Missing award ID",""),IF(COUNTIFS(AwardsData[Award ID],R53)&lt;&gt;1,"Duplicate award ID",IF(OR(S53="",T53="",F53=""),"Add reference, vendor and award type",IF(OR(AND(I53&lt;&gt;"",NOT(ISNUMBER(I53))),AND(J53&lt;&gt;"",NOT(ISNUMBER(J53)))),"Use numeric snapshot amounts",IF(OR(COUNTIF(AwardTypeCategories,F53)&lt;&gt;1,COUNTIF(SetAsideCategories,G53)&lt;&gt;1,COUNTIF(PerformanceStateCategories,H53)&lt;&gt;1),"New category: refresh report","")))))</f>
        <v/>
      </c>
      <c r="X53" s="57" t="n">
        <f aca="false">IF(R53="","",COUNTIFS(TransactionsData[Award ID],R53,TransactionsData[Selected],1))</f>
        <v>1</v>
      </c>
      <c r="Y53" s="57" t="n">
        <f aca="false">IF(R53="","",COUNTIFS(TransactionsData[Award ID],R53,TransactionsData[Dimension match],1))</f>
        <v>1</v>
      </c>
    </row>
    <row r="54" customFormat="false" ht="38" hidden="false" customHeight="true" outlineLevel="0" collapsed="false">
      <c r="A54" s="54" t="str">
        <f aca="false">IF(S54="","",IF(U54="",S54,HYPERLINK(U54,S54)))</f>
        <v>49100425P0006</v>
      </c>
      <c r="B54" s="54" t="str">
        <f aca="false">IF(T54="","",IF(V54="",T54,HYPERLINK(V54,T54)))</f>
        <v>University Corporation For Advanced Internet Development</v>
      </c>
      <c r="C54" s="60" t="s">
        <v>178</v>
      </c>
      <c r="D54" s="56" t="n">
        <f aca="false">IF(R54="","",IF(Trends!$B$6&lt;&gt;"","",SUMIFS(TransactionsData[Obligations],TransactionsData[Award ID],R54,TransactionsData[Selected],1)))</f>
        <v>39079</v>
      </c>
      <c r="E54" s="56" t="n">
        <f aca="false">IF(R54="","",IF(Trends!$B$6&lt;&gt;"","",SUMIFS(TransactionsData[Obligations],TransactionsData[Award ID],R54,TransactionsData[Dimension match],1)))</f>
        <v>39079</v>
      </c>
      <c r="F54" s="61" t="s">
        <v>16</v>
      </c>
      <c r="G54" s="61" t="s">
        <v>59</v>
      </c>
      <c r="H54" s="58" t="s">
        <v>58</v>
      </c>
      <c r="I54" s="62" t="n">
        <v>39079</v>
      </c>
      <c r="J54" s="62" t="n">
        <v>39079</v>
      </c>
      <c r="K54" s="63" t="n">
        <v>45658</v>
      </c>
      <c r="L54" s="63" t="n">
        <v>46022</v>
      </c>
      <c r="M54" s="58" t="s">
        <v>250</v>
      </c>
      <c r="N54" s="58"/>
      <c r="O54" s="58" t="s">
        <v>252</v>
      </c>
      <c r="P54" s="58" t="s">
        <v>360</v>
      </c>
      <c r="Q54" s="63" t="n">
        <v>46279</v>
      </c>
      <c r="R54" s="58" t="s">
        <v>410</v>
      </c>
      <c r="S54" s="58" t="s">
        <v>410</v>
      </c>
      <c r="T54" s="58" t="s">
        <v>177</v>
      </c>
      <c r="U54" s="58" t="s">
        <v>411</v>
      </c>
      <c r="V54" s="58" t="s">
        <v>179</v>
      </c>
      <c r="W54" s="57" t="str">
        <f aca="false">IF(R54="",IF(COUNTA(C54,F54:V54)&gt;0,"Missing award ID",""),IF(COUNTIFS(AwardsData[Award ID],R54)&lt;&gt;1,"Duplicate award ID",IF(OR(S54="",T54="",F54=""),"Add reference, vendor and award type",IF(OR(AND(I54&lt;&gt;"",NOT(ISNUMBER(I54))),AND(J54&lt;&gt;"",NOT(ISNUMBER(J54)))),"Use numeric snapshot amounts",IF(OR(COUNTIF(AwardTypeCategories,F54)&lt;&gt;1,COUNTIF(SetAsideCategories,G54)&lt;&gt;1,COUNTIF(PerformanceStateCategories,H54)&lt;&gt;1),"New category: refresh report","")))))</f>
        <v/>
      </c>
      <c r="X54" s="57" t="n">
        <f aca="false">IF(R54="","",COUNTIFS(TransactionsData[Award ID],R54,TransactionsData[Selected],1))</f>
        <v>1</v>
      </c>
      <c r="Y54" s="57" t="n">
        <f aca="false">IF(R54="","",COUNTIFS(TransactionsData[Award ID],R54,TransactionsData[Dimension match],1))</f>
        <v>1</v>
      </c>
    </row>
    <row r="55" customFormat="false" ht="38" hidden="false" customHeight="true" outlineLevel="0" collapsed="false">
      <c r="A55" s="54" t="str">
        <f aca="false">IF(S55="","",IF(U55="",S55,HYPERLINK(U55,S55)))</f>
        <v>GS35F337BA-49100421F0078</v>
      </c>
      <c r="B55" s="54" t="str">
        <f aca="false">IF(T55="","",IF(V55="",T55,HYPERLINK(V55,T55)))</f>
        <v>Civicactions, Inc.</v>
      </c>
      <c r="C55" s="60" t="s">
        <v>115</v>
      </c>
      <c r="D55" s="56" t="n">
        <f aca="false">IF(R55="","",IF(Trends!$B$6&lt;&gt;"","",SUMIFS(TransactionsData[Obligations],TransactionsData[Award ID],R55,TransactionsData[Selected],1)))</f>
        <v>10769110.48</v>
      </c>
      <c r="E55" s="56" t="n">
        <f aca="false">IF(R55="","",IF(Trends!$B$6&lt;&gt;"","",SUMIFS(TransactionsData[Obligations],TransactionsData[Award ID],R55,TransactionsData[Dimension match],1)))</f>
        <v>22750513.65</v>
      </c>
      <c r="F55" s="61" t="s">
        <v>12</v>
      </c>
      <c r="G55" s="61" t="s">
        <v>57</v>
      </c>
      <c r="H55" s="58" t="s">
        <v>66</v>
      </c>
      <c r="I55" s="62" t="n">
        <v>30510902.04</v>
      </c>
      <c r="J55" s="62" t="n">
        <v>44889824.29</v>
      </c>
      <c r="K55" s="63" t="n">
        <v>44317</v>
      </c>
      <c r="L55" s="63" t="n">
        <v>46326</v>
      </c>
      <c r="M55" s="58" t="s">
        <v>412</v>
      </c>
      <c r="N55" s="58" t="s">
        <v>413</v>
      </c>
      <c r="O55" s="58" t="s">
        <v>252</v>
      </c>
      <c r="P55" s="58" t="s">
        <v>253</v>
      </c>
      <c r="Q55" s="63" t="n">
        <v>46279</v>
      </c>
      <c r="R55" s="58" t="s">
        <v>414</v>
      </c>
      <c r="S55" s="58" t="s">
        <v>415</v>
      </c>
      <c r="T55" s="58" t="s">
        <v>114</v>
      </c>
      <c r="U55" s="58" t="s">
        <v>416</v>
      </c>
      <c r="V55" s="58" t="s">
        <v>116</v>
      </c>
      <c r="W55" s="57" t="str">
        <f aca="false">IF(R55="",IF(COUNTA(C55,F55:V55)&gt;0,"Missing award ID",""),IF(COUNTIFS(AwardsData[Award ID],R55)&lt;&gt;1,"Duplicate award ID",IF(OR(S55="",T55="",F55=""),"Add reference, vendor and award type",IF(OR(AND(I55&lt;&gt;"",NOT(ISNUMBER(I55))),AND(J55&lt;&gt;"",NOT(ISNUMBER(J55)))),"Use numeric snapshot amounts",IF(OR(COUNTIF(AwardTypeCategories,F55)&lt;&gt;1,COUNTIF(SetAsideCategories,G55)&lt;&gt;1,COUNTIF(PerformanceStateCategories,H55)&lt;&gt;1),"New category: refresh report","")))))</f>
        <v/>
      </c>
      <c r="X55" s="57" t="n">
        <f aca="false">IF(R55="","",COUNTIFS(TransactionsData[Award ID],R55,TransactionsData[Selected],1))</f>
        <v>10</v>
      </c>
      <c r="Y55" s="57" t="n">
        <f aca="false">IF(R55="","",COUNTIFS(TransactionsData[Award ID],R55,TransactionsData[Dimension match],1))</f>
        <v>26</v>
      </c>
    </row>
    <row r="56" customFormat="false" ht="38" hidden="false" customHeight="true" outlineLevel="0" collapsed="false">
      <c r="A56" s="54" t="str">
        <f aca="false">IF(S56="","",IF(U56="",S56,HYPERLINK(U56,S56)))</f>
        <v>NNG15SC90B-49100424F0064</v>
      </c>
      <c r="B56" s="54" t="str">
        <f aca="false">IF(T56="","",IF(V56="",T56,HYPERLINK(V56,T56)))</f>
        <v>Strategic Communications LLC</v>
      </c>
      <c r="C56" s="60" t="s">
        <v>170</v>
      </c>
      <c r="D56" s="56" t="n">
        <f aca="false">IF(R56="","",IF(Trends!$B$6&lt;&gt;"","",SUMIFS(TransactionsData[Obligations],TransactionsData[Award ID],R56,TransactionsData[Selected],1)))</f>
        <v>7237302.65</v>
      </c>
      <c r="E56" s="56" t="n">
        <f aca="false">IF(R56="","",IF(Trends!$B$6&lt;&gt;"","",SUMIFS(TransactionsData[Obligations],TransactionsData[Award ID],R56,TransactionsData[Dimension match],1)))</f>
        <v>11410352.65</v>
      </c>
      <c r="F56" s="61" t="s">
        <v>12</v>
      </c>
      <c r="G56" s="61" t="s">
        <v>57</v>
      </c>
      <c r="H56" s="58" t="s">
        <v>58</v>
      </c>
      <c r="I56" s="62" t="n">
        <v>12409102.65</v>
      </c>
      <c r="J56" s="62" t="n">
        <v>38805900</v>
      </c>
      <c r="K56" s="63" t="n">
        <v>45413</v>
      </c>
      <c r="L56" s="63" t="n">
        <v>46507</v>
      </c>
      <c r="M56" s="58" t="s">
        <v>250</v>
      </c>
      <c r="N56" s="58" t="s">
        <v>417</v>
      </c>
      <c r="O56" s="58" t="s">
        <v>252</v>
      </c>
      <c r="P56" s="58" t="s">
        <v>253</v>
      </c>
      <c r="Q56" s="63" t="n">
        <v>46279</v>
      </c>
      <c r="R56" s="58" t="s">
        <v>418</v>
      </c>
      <c r="S56" s="58" t="s">
        <v>419</v>
      </c>
      <c r="T56" s="58" t="s">
        <v>169</v>
      </c>
      <c r="U56" s="58" t="s">
        <v>420</v>
      </c>
      <c r="V56" s="58" t="s">
        <v>171</v>
      </c>
      <c r="W56" s="57" t="str">
        <f aca="false">IF(R56="",IF(COUNTA(C56,F56:V56)&gt;0,"Missing award ID",""),IF(COUNTIFS(AwardsData[Award ID],R56)&lt;&gt;1,"Duplicate award ID",IF(OR(S56="",T56="",F56=""),"Add reference, vendor and award type",IF(OR(AND(I56&lt;&gt;"",NOT(ISNUMBER(I56))),AND(J56&lt;&gt;"",NOT(ISNUMBER(J56)))),"Use numeric snapshot amounts",IF(OR(COUNTIF(AwardTypeCategories,F56)&lt;&gt;1,COUNTIF(SetAsideCategories,G56)&lt;&gt;1,COUNTIF(PerformanceStateCategories,H56)&lt;&gt;1),"New category: refresh report","")))))</f>
        <v/>
      </c>
      <c r="X56" s="57" t="n">
        <f aca="false">IF(R56="","",COUNTIFS(TransactionsData[Award ID],R56,TransactionsData[Selected],1))</f>
        <v>4</v>
      </c>
      <c r="Y56" s="57" t="n">
        <f aca="false">IF(R56="","",COUNTIFS(TransactionsData[Award ID],R56,TransactionsData[Dimension match],1))</f>
        <v>7</v>
      </c>
    </row>
    <row r="57" customFormat="false" ht="38" hidden="false" customHeight="true" outlineLevel="0" collapsed="false">
      <c r="A57" s="54" t="str">
        <f aca="false">IF(S57="","",IF(U57="",S57,HYPERLINK(U57,S57)))</f>
        <v>NNG15SD26B-49100424F0041</v>
      </c>
      <c r="B57" s="54" t="str">
        <f aca="false">IF(T57="","",IF(V57="",T57,HYPERLINK(V57,T57)))</f>
        <v>Thundercat Technology, LLC</v>
      </c>
      <c r="C57" s="60" t="s">
        <v>174</v>
      </c>
      <c r="D57" s="56" t="n">
        <f aca="false">IF(R57="","",IF(Trends!$B$6&lt;&gt;"","",SUMIFS(TransactionsData[Obligations],TransactionsData[Award ID],R57,TransactionsData[Selected],1)))</f>
        <v>0</v>
      </c>
      <c r="E57" s="56" t="n">
        <f aca="false">IF(R57="","",IF(Trends!$B$6&lt;&gt;"","",SUMIFS(TransactionsData[Obligations],TransactionsData[Award ID],R57,TransactionsData[Dimension match],1)))</f>
        <v>844449.22</v>
      </c>
      <c r="F57" s="61" t="s">
        <v>12</v>
      </c>
      <c r="G57" s="61" t="s">
        <v>59</v>
      </c>
      <c r="H57" s="58" t="s">
        <v>58</v>
      </c>
      <c r="I57" s="62" t="n">
        <v>844449.22</v>
      </c>
      <c r="J57" s="62" t="n">
        <v>844449.22</v>
      </c>
      <c r="K57" s="63" t="n">
        <v>45352</v>
      </c>
      <c r="L57" s="63" t="n">
        <v>45504</v>
      </c>
      <c r="M57" s="58" t="s">
        <v>250</v>
      </c>
      <c r="N57" s="58" t="s">
        <v>421</v>
      </c>
      <c r="O57" s="58" t="s">
        <v>252</v>
      </c>
      <c r="P57" s="58" t="s">
        <v>253</v>
      </c>
      <c r="Q57" s="63" t="n">
        <v>46279</v>
      </c>
      <c r="R57" s="58" t="s">
        <v>422</v>
      </c>
      <c r="S57" s="58" t="s">
        <v>423</v>
      </c>
      <c r="T57" s="58" t="s">
        <v>173</v>
      </c>
      <c r="U57" s="58" t="s">
        <v>424</v>
      </c>
      <c r="V57" s="58" t="s">
        <v>175</v>
      </c>
      <c r="W57" s="57" t="str">
        <f aca="false">IF(R57="",IF(COUNTA(C57,F57:V57)&gt;0,"Missing award ID",""),IF(COUNTIFS(AwardsData[Award ID],R57)&lt;&gt;1,"Duplicate award ID",IF(OR(S57="",T57="",F57=""),"Add reference, vendor and award type",IF(OR(AND(I57&lt;&gt;"",NOT(ISNUMBER(I57))),AND(J57&lt;&gt;"",NOT(ISNUMBER(J57)))),"Use numeric snapshot amounts",IF(OR(COUNTIF(AwardTypeCategories,F57)&lt;&gt;1,COUNTIF(SetAsideCategories,G57)&lt;&gt;1,COUNTIF(PerformanceStateCategories,H57)&lt;&gt;1),"New category: refresh report","")))))</f>
        <v/>
      </c>
      <c r="X57" s="57" t="n">
        <f aca="false">IF(R57="","",COUNTIFS(TransactionsData[Award ID],R57,TransactionsData[Selected],1))</f>
        <v>0</v>
      </c>
      <c r="Y57" s="57" t="n">
        <f aca="false">IF(R57="","",COUNTIFS(TransactionsData[Award ID],R57,TransactionsData[Dimension match],1))</f>
        <v>2</v>
      </c>
    </row>
    <row r="58" customFormat="false" ht="38" hidden="false" customHeight="true" outlineLevel="0" collapsed="false">
      <c r="A58" s="54" t="str">
        <f aca="false">IF(S58="","",IF(U58="",S58,HYPERLINK(U58,S58)))</f>
        <v>NSFDACS17C1380-49100421F0198</v>
      </c>
      <c r="B58" s="54" t="str">
        <f aca="false">IF(T58="","",IF(V58="",T58,HYPERLINK(V58,T58)))</f>
        <v>Agility Technologies Inc.</v>
      </c>
      <c r="C58" s="60" t="s">
        <v>103</v>
      </c>
      <c r="D58" s="56" t="n">
        <f aca="false">IF(R58="","",IF(Trends!$B$6&lt;&gt;"","",SUMIFS(TransactionsData[Obligations],TransactionsData[Award ID],R58,TransactionsData[Selected],1)))</f>
        <v>-90.35</v>
      </c>
      <c r="E58" s="56" t="n">
        <f aca="false">IF(R58="","",IF(Trends!$B$6&lt;&gt;"","",SUMIFS(TransactionsData[Obligations],TransactionsData[Award ID],R58,TransactionsData[Dimension match],1)))</f>
        <v>-90.35</v>
      </c>
      <c r="F58" s="61" t="s">
        <v>12</v>
      </c>
      <c r="G58" s="61" t="s">
        <v>59</v>
      </c>
      <c r="H58" s="58" t="s">
        <v>58</v>
      </c>
      <c r="I58" s="62" t="n">
        <v>249566.35</v>
      </c>
      <c r="J58" s="62" t="n">
        <v>249656.7</v>
      </c>
      <c r="K58" s="63" t="n">
        <v>44457</v>
      </c>
      <c r="L58" s="63" t="n">
        <v>44828</v>
      </c>
      <c r="M58" s="58" t="s">
        <v>329</v>
      </c>
      <c r="N58" s="58" t="s">
        <v>425</v>
      </c>
      <c r="O58" s="58" t="s">
        <v>252</v>
      </c>
      <c r="P58" s="58" t="s">
        <v>259</v>
      </c>
      <c r="Q58" s="63" t="n">
        <v>46279</v>
      </c>
      <c r="R58" s="58" t="s">
        <v>426</v>
      </c>
      <c r="S58" s="58" t="s">
        <v>427</v>
      </c>
      <c r="T58" s="58" t="s">
        <v>102</v>
      </c>
      <c r="U58" s="58" t="s">
        <v>428</v>
      </c>
      <c r="V58" s="58" t="s">
        <v>104</v>
      </c>
      <c r="W58" s="57" t="str">
        <f aca="false">IF(R58="",IF(COUNTA(C58,F58:V58)&gt;0,"Missing award ID",""),IF(COUNTIFS(AwardsData[Award ID],R58)&lt;&gt;1,"Duplicate award ID",IF(OR(S58="",T58="",F58=""),"Add reference, vendor and award type",IF(OR(AND(I58&lt;&gt;"",NOT(ISNUMBER(I58))),AND(J58&lt;&gt;"",NOT(ISNUMBER(J58)))),"Use numeric snapshot amounts",IF(OR(COUNTIF(AwardTypeCategories,F58)&lt;&gt;1,COUNTIF(SetAsideCategories,G58)&lt;&gt;1,COUNTIF(PerformanceStateCategories,H58)&lt;&gt;1),"New category: refresh report","")))))</f>
        <v/>
      </c>
      <c r="X58" s="57" t="n">
        <f aca="false">IF(R58="","",COUNTIFS(TransactionsData[Award ID],R58,TransactionsData[Selected],1))</f>
        <v>1</v>
      </c>
      <c r="Y58" s="57" t="n">
        <f aca="false">IF(R58="","",COUNTIFS(TransactionsData[Award ID],R58,TransactionsData[Dimension match],1))</f>
        <v>1</v>
      </c>
    </row>
    <row r="59" customFormat="false" ht="38" hidden="false" customHeight="true" outlineLevel="0" collapsed="false">
      <c r="A59" s="54" t="str">
        <f aca="false">IF(S59="","",IF(U59="",S59,HYPERLINK(U59,S59)))</f>
        <v/>
      </c>
      <c r="B59" s="54" t="str">
        <f aca="false">IF(T59="","",IF(V59="",T59,HYPERLINK(V59,T59)))</f>
        <v/>
      </c>
      <c r="C59" s="60"/>
      <c r="D59" s="56" t="str">
        <f aca="false">IF(R59="","",IF(Trends!$B$6&lt;&gt;"","",SUMIFS(TransactionsData[Obligations],TransactionsData[Award ID],R59,TransactionsData[Selected],1)))</f>
        <v/>
      </c>
      <c r="E59" s="56" t="str">
        <f aca="false">IF(R59="","",IF(Trends!$B$6&lt;&gt;"","",SUMIFS(TransactionsData[Obligations],TransactionsData[Award ID],R59,TransactionsData[Dimension match],1)))</f>
        <v/>
      </c>
      <c r="F59" s="61"/>
      <c r="G59" s="61"/>
      <c r="H59" s="58"/>
      <c r="I59" s="62"/>
      <c r="J59" s="62"/>
      <c r="K59" s="63"/>
      <c r="L59" s="63"/>
      <c r="M59" s="58"/>
      <c r="N59" s="58"/>
      <c r="O59" s="58"/>
      <c r="P59" s="58"/>
      <c r="Q59" s="63"/>
      <c r="R59" s="58"/>
      <c r="S59" s="58"/>
      <c r="T59" s="58"/>
      <c r="U59" s="58"/>
      <c r="V59" s="58"/>
      <c r="W59" s="57" t="str">
        <f aca="false">IF(R59="",IF(COUNTA(C59,F59:V59)&gt;0,"Missing award ID",""),IF(COUNTIFS(AwardsData[Award ID],R59)&lt;&gt;1,"Duplicate award ID",IF(OR(S59="",T59="",F59=""),"Add reference, vendor and award type",IF(OR(AND(I59&lt;&gt;"",NOT(ISNUMBER(I59))),AND(J59&lt;&gt;"",NOT(ISNUMBER(J59)))),"Use numeric snapshot amounts",IF(OR(COUNTIF(AwardTypeCategories,F59)&lt;&gt;1,COUNTIF(SetAsideCategories,G59)&lt;&gt;1,COUNTIF(PerformanceStateCategories,H59)&lt;&gt;1),"New category: refresh report","")))))</f>
        <v/>
      </c>
      <c r="X59" s="57" t="str">
        <f aca="false">IF(R59="","",COUNTIFS(TransactionsData[Award ID],R59,TransactionsData[Selected],1))</f>
        <v/>
      </c>
      <c r="Y59" s="57" t="str">
        <f aca="false">IF(R59="","",COUNTIFS(TransactionsData[Award ID],R59,TransactionsData[Dimension match],1))</f>
        <v/>
      </c>
    </row>
    <row r="60" customFormat="false" ht="38" hidden="false" customHeight="true" outlineLevel="0" collapsed="false">
      <c r="A60" s="54" t="str">
        <f aca="false">IF(S60="","",IF(U60="",S60,HYPERLINK(U60,S60)))</f>
        <v/>
      </c>
      <c r="B60" s="54" t="str">
        <f aca="false">IF(T60="","",IF(V60="",T60,HYPERLINK(V60,T60)))</f>
        <v/>
      </c>
      <c r="C60" s="60"/>
      <c r="D60" s="56" t="str">
        <f aca="false">IF(R60="","",IF(Trends!$B$6&lt;&gt;"","",SUMIFS(TransactionsData[Obligations],TransactionsData[Award ID],R60,TransactionsData[Selected],1)))</f>
        <v/>
      </c>
      <c r="E60" s="56" t="str">
        <f aca="false">IF(R60="","",IF(Trends!$B$6&lt;&gt;"","",SUMIFS(TransactionsData[Obligations],TransactionsData[Award ID],R60,TransactionsData[Dimension match],1)))</f>
        <v/>
      </c>
      <c r="F60" s="61"/>
      <c r="G60" s="61"/>
      <c r="H60" s="58"/>
      <c r="I60" s="62"/>
      <c r="J60" s="62"/>
      <c r="K60" s="63"/>
      <c r="L60" s="63"/>
      <c r="M60" s="58"/>
      <c r="N60" s="58"/>
      <c r="O60" s="58"/>
      <c r="P60" s="58"/>
      <c r="Q60" s="63"/>
      <c r="R60" s="58"/>
      <c r="S60" s="58"/>
      <c r="T60" s="58"/>
      <c r="U60" s="58"/>
      <c r="V60" s="58"/>
      <c r="W60" s="57" t="str">
        <f aca="false">IF(R60="",IF(COUNTA(C60,F60:V60)&gt;0,"Missing award ID",""),IF(COUNTIFS(AwardsData[Award ID],R60)&lt;&gt;1,"Duplicate award ID",IF(OR(S60="",T60="",F60=""),"Add reference, vendor and award type",IF(OR(AND(I60&lt;&gt;"",NOT(ISNUMBER(I60))),AND(J60&lt;&gt;"",NOT(ISNUMBER(J60)))),"Use numeric snapshot amounts",IF(OR(COUNTIF(AwardTypeCategories,F60)&lt;&gt;1,COUNTIF(SetAsideCategories,G60)&lt;&gt;1,COUNTIF(PerformanceStateCategories,H60)&lt;&gt;1),"New category: refresh report","")))))</f>
        <v/>
      </c>
      <c r="X60" s="57" t="str">
        <f aca="false">IF(R60="","",COUNTIFS(TransactionsData[Award ID],R60,TransactionsData[Selected],1))</f>
        <v/>
      </c>
      <c r="Y60" s="57" t="str">
        <f aca="false">IF(R60="","",COUNTIFS(TransactionsData[Award ID],R60,TransactionsData[Dimension match],1))</f>
        <v/>
      </c>
    </row>
    <row r="61" customFormat="false" ht="38" hidden="false" customHeight="true" outlineLevel="0" collapsed="false">
      <c r="A61" s="54" t="str">
        <f aca="false">IF(S61="","",IF(U61="",S61,HYPERLINK(U61,S61)))</f>
        <v/>
      </c>
      <c r="B61" s="54" t="str">
        <f aca="false">IF(T61="","",IF(V61="",T61,HYPERLINK(V61,T61)))</f>
        <v/>
      </c>
      <c r="C61" s="60"/>
      <c r="D61" s="56" t="str">
        <f aca="false">IF(R61="","",IF(Trends!$B$6&lt;&gt;"","",SUMIFS(TransactionsData[Obligations],TransactionsData[Award ID],R61,TransactionsData[Selected],1)))</f>
        <v/>
      </c>
      <c r="E61" s="56" t="str">
        <f aca="false">IF(R61="","",IF(Trends!$B$6&lt;&gt;"","",SUMIFS(TransactionsData[Obligations],TransactionsData[Award ID],R61,TransactionsData[Dimension match],1)))</f>
        <v/>
      </c>
      <c r="F61" s="61"/>
      <c r="G61" s="61"/>
      <c r="H61" s="58"/>
      <c r="I61" s="62"/>
      <c r="J61" s="62"/>
      <c r="K61" s="63"/>
      <c r="L61" s="63"/>
      <c r="M61" s="58"/>
      <c r="N61" s="58"/>
      <c r="O61" s="58"/>
      <c r="P61" s="58"/>
      <c r="Q61" s="63"/>
      <c r="R61" s="58"/>
      <c r="S61" s="58"/>
      <c r="T61" s="58"/>
      <c r="U61" s="58"/>
      <c r="V61" s="58"/>
      <c r="W61" s="57" t="str">
        <f aca="false">IF(R61="",IF(COUNTA(C61,F61:V61)&gt;0,"Missing award ID",""),IF(COUNTIFS(AwardsData[Award ID],R61)&lt;&gt;1,"Duplicate award ID",IF(OR(S61="",T61="",F61=""),"Add reference, vendor and award type",IF(OR(AND(I61&lt;&gt;"",NOT(ISNUMBER(I61))),AND(J61&lt;&gt;"",NOT(ISNUMBER(J61)))),"Use numeric snapshot amounts",IF(OR(COUNTIF(AwardTypeCategories,F61)&lt;&gt;1,COUNTIF(SetAsideCategories,G61)&lt;&gt;1,COUNTIF(PerformanceStateCategories,H61)&lt;&gt;1),"New category: refresh report","")))))</f>
        <v/>
      </c>
      <c r="X61" s="57" t="str">
        <f aca="false">IF(R61="","",COUNTIFS(TransactionsData[Award ID],R61,TransactionsData[Selected],1))</f>
        <v/>
      </c>
      <c r="Y61" s="57" t="str">
        <f aca="false">IF(R61="","",COUNTIFS(TransactionsData[Award ID],R61,TransactionsData[Dimension match],1))</f>
        <v/>
      </c>
    </row>
    <row r="62" customFormat="false" ht="38" hidden="false" customHeight="true" outlineLevel="0" collapsed="false">
      <c r="A62" s="54" t="str">
        <f aca="false">IF(S62="","",IF(U62="",S62,HYPERLINK(U62,S62)))</f>
        <v/>
      </c>
      <c r="B62" s="54" t="str">
        <f aca="false">IF(T62="","",IF(V62="",T62,HYPERLINK(V62,T62)))</f>
        <v/>
      </c>
      <c r="C62" s="60"/>
      <c r="D62" s="56" t="str">
        <f aca="false">IF(R62="","",IF(Trends!$B$6&lt;&gt;"","",SUMIFS(TransactionsData[Obligations],TransactionsData[Award ID],R62,TransactionsData[Selected],1)))</f>
        <v/>
      </c>
      <c r="E62" s="56" t="str">
        <f aca="false">IF(R62="","",IF(Trends!$B$6&lt;&gt;"","",SUMIFS(TransactionsData[Obligations],TransactionsData[Award ID],R62,TransactionsData[Dimension match],1)))</f>
        <v/>
      </c>
      <c r="F62" s="61"/>
      <c r="G62" s="61"/>
      <c r="H62" s="58"/>
      <c r="I62" s="62"/>
      <c r="J62" s="62"/>
      <c r="K62" s="63"/>
      <c r="L62" s="63"/>
      <c r="M62" s="58"/>
      <c r="N62" s="58"/>
      <c r="O62" s="58"/>
      <c r="P62" s="58"/>
      <c r="Q62" s="63"/>
      <c r="R62" s="58"/>
      <c r="S62" s="58"/>
      <c r="T62" s="58"/>
      <c r="U62" s="58"/>
      <c r="V62" s="58"/>
      <c r="W62" s="57" t="str">
        <f aca="false">IF(R62="",IF(COUNTA(C62,F62:V62)&gt;0,"Missing award ID",""),IF(COUNTIFS(AwardsData[Award ID],R62)&lt;&gt;1,"Duplicate award ID",IF(OR(S62="",T62="",F62=""),"Add reference, vendor and award type",IF(OR(AND(I62&lt;&gt;"",NOT(ISNUMBER(I62))),AND(J62&lt;&gt;"",NOT(ISNUMBER(J62)))),"Use numeric snapshot amounts",IF(OR(COUNTIF(AwardTypeCategories,F62)&lt;&gt;1,COUNTIF(SetAsideCategories,G62)&lt;&gt;1,COUNTIF(PerformanceStateCategories,H62)&lt;&gt;1),"New category: refresh report","")))))</f>
        <v/>
      </c>
      <c r="X62" s="57" t="str">
        <f aca="false">IF(R62="","",COUNTIFS(TransactionsData[Award ID],R62,TransactionsData[Selected],1))</f>
        <v/>
      </c>
      <c r="Y62" s="57" t="str">
        <f aca="false">IF(R62="","",COUNTIFS(TransactionsData[Award ID],R62,TransactionsData[Dimension match],1))</f>
        <v/>
      </c>
    </row>
    <row r="63" customFormat="false" ht="38" hidden="false" customHeight="true" outlineLevel="0" collapsed="false">
      <c r="A63" s="54" t="str">
        <f aca="false">IF(S63="","",IF(U63="",S63,HYPERLINK(U63,S63)))</f>
        <v/>
      </c>
      <c r="B63" s="54" t="str">
        <f aca="false">IF(T63="","",IF(V63="",T63,HYPERLINK(V63,T63)))</f>
        <v/>
      </c>
      <c r="C63" s="60"/>
      <c r="D63" s="56" t="str">
        <f aca="false">IF(R63="","",IF(Trends!$B$6&lt;&gt;"","",SUMIFS(TransactionsData[Obligations],TransactionsData[Award ID],R63,TransactionsData[Selected],1)))</f>
        <v/>
      </c>
      <c r="E63" s="56" t="str">
        <f aca="false">IF(R63="","",IF(Trends!$B$6&lt;&gt;"","",SUMIFS(TransactionsData[Obligations],TransactionsData[Award ID],R63,TransactionsData[Dimension match],1)))</f>
        <v/>
      </c>
      <c r="F63" s="61"/>
      <c r="G63" s="61"/>
      <c r="H63" s="58"/>
      <c r="I63" s="62"/>
      <c r="J63" s="62"/>
      <c r="K63" s="63"/>
      <c r="L63" s="63"/>
      <c r="M63" s="58"/>
      <c r="N63" s="58"/>
      <c r="O63" s="58"/>
      <c r="P63" s="58"/>
      <c r="Q63" s="63"/>
      <c r="R63" s="58"/>
      <c r="S63" s="58"/>
      <c r="T63" s="58"/>
      <c r="U63" s="58"/>
      <c r="V63" s="58"/>
      <c r="W63" s="57" t="str">
        <f aca="false">IF(R63="",IF(COUNTA(C63,F63:V63)&gt;0,"Missing award ID",""),IF(COUNTIFS(AwardsData[Award ID],R63)&lt;&gt;1,"Duplicate award ID",IF(OR(S63="",T63="",F63=""),"Add reference, vendor and award type",IF(OR(AND(I63&lt;&gt;"",NOT(ISNUMBER(I63))),AND(J63&lt;&gt;"",NOT(ISNUMBER(J63)))),"Use numeric snapshot amounts",IF(OR(COUNTIF(AwardTypeCategories,F63)&lt;&gt;1,COUNTIF(SetAsideCategories,G63)&lt;&gt;1,COUNTIF(PerformanceStateCategories,H63)&lt;&gt;1),"New category: refresh report","")))))</f>
        <v/>
      </c>
      <c r="X63" s="57" t="str">
        <f aca="false">IF(R63="","",COUNTIFS(TransactionsData[Award ID],R63,TransactionsData[Selected],1))</f>
        <v/>
      </c>
      <c r="Y63" s="57" t="str">
        <f aca="false">IF(R63="","",COUNTIFS(TransactionsData[Award ID],R63,TransactionsData[Dimension match],1))</f>
        <v/>
      </c>
    </row>
    <row r="64" customFormat="false" ht="38" hidden="false" customHeight="true" outlineLevel="0" collapsed="false">
      <c r="A64" s="54" t="str">
        <f aca="false">IF(S64="","",IF(U64="",S64,HYPERLINK(U64,S64)))</f>
        <v/>
      </c>
      <c r="B64" s="54" t="str">
        <f aca="false">IF(T64="","",IF(V64="",T64,HYPERLINK(V64,T64)))</f>
        <v/>
      </c>
      <c r="C64" s="60"/>
      <c r="D64" s="56" t="str">
        <f aca="false">IF(R64="","",IF(Trends!$B$6&lt;&gt;"","",SUMIFS(TransactionsData[Obligations],TransactionsData[Award ID],R64,TransactionsData[Selected],1)))</f>
        <v/>
      </c>
      <c r="E64" s="56" t="str">
        <f aca="false">IF(R64="","",IF(Trends!$B$6&lt;&gt;"","",SUMIFS(TransactionsData[Obligations],TransactionsData[Award ID],R64,TransactionsData[Dimension match],1)))</f>
        <v/>
      </c>
      <c r="F64" s="61"/>
      <c r="G64" s="61"/>
      <c r="H64" s="58"/>
      <c r="I64" s="62"/>
      <c r="J64" s="62"/>
      <c r="K64" s="63"/>
      <c r="L64" s="63"/>
      <c r="M64" s="58"/>
      <c r="N64" s="58"/>
      <c r="O64" s="58"/>
      <c r="P64" s="58"/>
      <c r="Q64" s="63"/>
      <c r="R64" s="58"/>
      <c r="S64" s="58"/>
      <c r="T64" s="58"/>
      <c r="U64" s="58"/>
      <c r="V64" s="58"/>
      <c r="W64" s="57" t="str">
        <f aca="false">IF(R64="",IF(COUNTA(C64,F64:V64)&gt;0,"Missing award ID",""),IF(COUNTIFS(AwardsData[Award ID],R64)&lt;&gt;1,"Duplicate award ID",IF(OR(S64="",T64="",F64=""),"Add reference, vendor and award type",IF(OR(AND(I64&lt;&gt;"",NOT(ISNUMBER(I64))),AND(J64&lt;&gt;"",NOT(ISNUMBER(J64)))),"Use numeric snapshot amounts",IF(OR(COUNTIF(AwardTypeCategories,F64)&lt;&gt;1,COUNTIF(SetAsideCategories,G64)&lt;&gt;1,COUNTIF(PerformanceStateCategories,H64)&lt;&gt;1),"New category: refresh report","")))))</f>
        <v/>
      </c>
      <c r="X64" s="57" t="str">
        <f aca="false">IF(R64="","",COUNTIFS(TransactionsData[Award ID],R64,TransactionsData[Selected],1))</f>
        <v/>
      </c>
      <c r="Y64" s="57" t="str">
        <f aca="false">IF(R64="","",COUNTIFS(TransactionsData[Award ID],R64,TransactionsData[Dimension match],1))</f>
        <v/>
      </c>
    </row>
    <row r="65" customFormat="false" ht="38" hidden="false" customHeight="true" outlineLevel="0" collapsed="false">
      <c r="A65" s="54" t="str">
        <f aca="false">IF(S65="","",IF(U65="",S65,HYPERLINK(U65,S65)))</f>
        <v/>
      </c>
      <c r="B65" s="54" t="str">
        <f aca="false">IF(T65="","",IF(V65="",T65,HYPERLINK(V65,T65)))</f>
        <v/>
      </c>
      <c r="C65" s="60"/>
      <c r="D65" s="56" t="str">
        <f aca="false">IF(R65="","",IF(Trends!$B$6&lt;&gt;"","",SUMIFS(TransactionsData[Obligations],TransactionsData[Award ID],R65,TransactionsData[Selected],1)))</f>
        <v/>
      </c>
      <c r="E65" s="56" t="str">
        <f aca="false">IF(R65="","",IF(Trends!$B$6&lt;&gt;"","",SUMIFS(TransactionsData[Obligations],TransactionsData[Award ID],R65,TransactionsData[Dimension match],1)))</f>
        <v/>
      </c>
      <c r="F65" s="61"/>
      <c r="G65" s="61"/>
      <c r="H65" s="58"/>
      <c r="I65" s="62"/>
      <c r="J65" s="62"/>
      <c r="K65" s="63"/>
      <c r="L65" s="63"/>
      <c r="M65" s="58"/>
      <c r="N65" s="58"/>
      <c r="O65" s="58"/>
      <c r="P65" s="58"/>
      <c r="Q65" s="63"/>
      <c r="R65" s="58"/>
      <c r="S65" s="58"/>
      <c r="T65" s="58"/>
      <c r="U65" s="58"/>
      <c r="V65" s="58"/>
      <c r="W65" s="57" t="str">
        <f aca="false">IF(R65="",IF(COUNTA(C65,F65:V65)&gt;0,"Missing award ID",""),IF(COUNTIFS(AwardsData[Award ID],R65)&lt;&gt;1,"Duplicate award ID",IF(OR(S65="",T65="",F65=""),"Add reference, vendor and award type",IF(OR(AND(I65&lt;&gt;"",NOT(ISNUMBER(I65))),AND(J65&lt;&gt;"",NOT(ISNUMBER(J65)))),"Use numeric snapshot amounts",IF(OR(COUNTIF(AwardTypeCategories,F65)&lt;&gt;1,COUNTIF(SetAsideCategories,G65)&lt;&gt;1,COUNTIF(PerformanceStateCategories,H65)&lt;&gt;1),"New category: refresh report","")))))</f>
        <v/>
      </c>
      <c r="X65" s="57" t="str">
        <f aca="false">IF(R65="","",COUNTIFS(TransactionsData[Award ID],R65,TransactionsData[Selected],1))</f>
        <v/>
      </c>
      <c r="Y65" s="57" t="str">
        <f aca="false">IF(R65="","",COUNTIFS(TransactionsData[Award ID],R65,TransactionsData[Dimension match],1))</f>
        <v/>
      </c>
    </row>
    <row r="66" customFormat="false" ht="38" hidden="false" customHeight="true" outlineLevel="0" collapsed="false">
      <c r="A66" s="54" t="str">
        <f aca="false">IF(S66="","",IF(U66="",S66,HYPERLINK(U66,S66)))</f>
        <v/>
      </c>
      <c r="B66" s="54" t="str">
        <f aca="false">IF(T66="","",IF(V66="",T66,HYPERLINK(V66,T66)))</f>
        <v/>
      </c>
      <c r="C66" s="60"/>
      <c r="D66" s="56" t="str">
        <f aca="false">IF(R66="","",IF(Trends!$B$6&lt;&gt;"","",SUMIFS(TransactionsData[Obligations],TransactionsData[Award ID],R66,TransactionsData[Selected],1)))</f>
        <v/>
      </c>
      <c r="E66" s="56" t="str">
        <f aca="false">IF(R66="","",IF(Trends!$B$6&lt;&gt;"","",SUMIFS(TransactionsData[Obligations],TransactionsData[Award ID],R66,TransactionsData[Dimension match],1)))</f>
        <v/>
      </c>
      <c r="F66" s="61"/>
      <c r="G66" s="61"/>
      <c r="H66" s="58"/>
      <c r="I66" s="62"/>
      <c r="J66" s="62"/>
      <c r="K66" s="63"/>
      <c r="L66" s="63"/>
      <c r="M66" s="58"/>
      <c r="N66" s="58"/>
      <c r="O66" s="58"/>
      <c r="P66" s="58"/>
      <c r="Q66" s="63"/>
      <c r="R66" s="58"/>
      <c r="S66" s="58"/>
      <c r="T66" s="58"/>
      <c r="U66" s="58"/>
      <c r="V66" s="58"/>
      <c r="W66" s="57" t="str">
        <f aca="false">IF(R66="",IF(COUNTA(C66,F66:V66)&gt;0,"Missing award ID",""),IF(COUNTIFS(AwardsData[Award ID],R66)&lt;&gt;1,"Duplicate award ID",IF(OR(S66="",T66="",F66=""),"Add reference, vendor and award type",IF(OR(AND(I66&lt;&gt;"",NOT(ISNUMBER(I66))),AND(J66&lt;&gt;"",NOT(ISNUMBER(J66)))),"Use numeric snapshot amounts",IF(OR(COUNTIF(AwardTypeCategories,F66)&lt;&gt;1,COUNTIF(SetAsideCategories,G66)&lt;&gt;1,COUNTIF(PerformanceStateCategories,H66)&lt;&gt;1),"New category: refresh report","")))))</f>
        <v/>
      </c>
      <c r="X66" s="57" t="str">
        <f aca="false">IF(R66="","",COUNTIFS(TransactionsData[Award ID],R66,TransactionsData[Selected],1))</f>
        <v/>
      </c>
      <c r="Y66" s="57" t="str">
        <f aca="false">IF(R66="","",COUNTIFS(TransactionsData[Award ID],R66,TransactionsData[Dimension match],1))</f>
        <v/>
      </c>
    </row>
    <row r="67" customFormat="false" ht="38" hidden="false" customHeight="true" outlineLevel="0" collapsed="false">
      <c r="A67" s="54" t="str">
        <f aca="false">IF(S67="","",IF(U67="",S67,HYPERLINK(U67,S67)))</f>
        <v/>
      </c>
      <c r="B67" s="54" t="str">
        <f aca="false">IF(T67="","",IF(V67="",T67,HYPERLINK(V67,T67)))</f>
        <v/>
      </c>
      <c r="C67" s="60"/>
      <c r="D67" s="56" t="str">
        <f aca="false">IF(R67="","",IF(Trends!$B$6&lt;&gt;"","",SUMIFS(TransactionsData[Obligations],TransactionsData[Award ID],R67,TransactionsData[Selected],1)))</f>
        <v/>
      </c>
      <c r="E67" s="56" t="str">
        <f aca="false">IF(R67="","",IF(Trends!$B$6&lt;&gt;"","",SUMIFS(TransactionsData[Obligations],TransactionsData[Award ID],R67,TransactionsData[Dimension match],1)))</f>
        <v/>
      </c>
      <c r="F67" s="61"/>
      <c r="G67" s="61"/>
      <c r="H67" s="58"/>
      <c r="I67" s="62"/>
      <c r="J67" s="62"/>
      <c r="K67" s="63"/>
      <c r="L67" s="63"/>
      <c r="M67" s="58"/>
      <c r="N67" s="58"/>
      <c r="O67" s="58"/>
      <c r="P67" s="58"/>
      <c r="Q67" s="63"/>
      <c r="R67" s="58"/>
      <c r="S67" s="58"/>
      <c r="T67" s="58"/>
      <c r="U67" s="58"/>
      <c r="V67" s="58"/>
      <c r="W67" s="57" t="str">
        <f aca="false">IF(R67="",IF(COUNTA(C67,F67:V67)&gt;0,"Missing award ID",""),IF(COUNTIFS(AwardsData[Award ID],R67)&lt;&gt;1,"Duplicate award ID",IF(OR(S67="",T67="",F67=""),"Add reference, vendor and award type",IF(OR(AND(I67&lt;&gt;"",NOT(ISNUMBER(I67))),AND(J67&lt;&gt;"",NOT(ISNUMBER(J67)))),"Use numeric snapshot amounts",IF(OR(COUNTIF(AwardTypeCategories,F67)&lt;&gt;1,COUNTIF(SetAsideCategories,G67)&lt;&gt;1,COUNTIF(PerformanceStateCategories,H67)&lt;&gt;1),"New category: refresh report","")))))</f>
        <v/>
      </c>
      <c r="X67" s="57" t="str">
        <f aca="false">IF(R67="","",COUNTIFS(TransactionsData[Award ID],R67,TransactionsData[Selected],1))</f>
        <v/>
      </c>
      <c r="Y67" s="57" t="str">
        <f aca="false">IF(R67="","",COUNTIFS(TransactionsData[Award ID],R67,TransactionsData[Dimension match],1))</f>
        <v/>
      </c>
    </row>
    <row r="68" customFormat="false" ht="38" hidden="false" customHeight="true" outlineLevel="0" collapsed="false">
      <c r="A68" s="54" t="str">
        <f aca="false">IF(S68="","",IF(U68="",S68,HYPERLINK(U68,S68)))</f>
        <v/>
      </c>
      <c r="B68" s="54" t="str">
        <f aca="false">IF(T68="","",IF(V68="",T68,HYPERLINK(V68,T68)))</f>
        <v/>
      </c>
      <c r="C68" s="60"/>
      <c r="D68" s="56" t="str">
        <f aca="false">IF(R68="","",IF(Trends!$B$6&lt;&gt;"","",SUMIFS(TransactionsData[Obligations],TransactionsData[Award ID],R68,TransactionsData[Selected],1)))</f>
        <v/>
      </c>
      <c r="E68" s="56" t="str">
        <f aca="false">IF(R68="","",IF(Trends!$B$6&lt;&gt;"","",SUMIFS(TransactionsData[Obligations],TransactionsData[Award ID],R68,TransactionsData[Dimension match],1)))</f>
        <v/>
      </c>
      <c r="F68" s="61"/>
      <c r="G68" s="61"/>
      <c r="H68" s="58"/>
      <c r="I68" s="62"/>
      <c r="J68" s="62"/>
      <c r="K68" s="63"/>
      <c r="L68" s="63"/>
      <c r="M68" s="58"/>
      <c r="N68" s="58"/>
      <c r="O68" s="58"/>
      <c r="P68" s="58"/>
      <c r="Q68" s="63"/>
      <c r="R68" s="58"/>
      <c r="S68" s="58"/>
      <c r="T68" s="58"/>
      <c r="U68" s="58"/>
      <c r="V68" s="58"/>
      <c r="W68" s="57" t="str">
        <f aca="false">IF(R68="",IF(COUNTA(C68,F68:V68)&gt;0,"Missing award ID",""),IF(COUNTIFS(AwardsData[Award ID],R68)&lt;&gt;1,"Duplicate award ID",IF(OR(S68="",T68="",F68=""),"Add reference, vendor and award type",IF(OR(AND(I68&lt;&gt;"",NOT(ISNUMBER(I68))),AND(J68&lt;&gt;"",NOT(ISNUMBER(J68)))),"Use numeric snapshot amounts",IF(OR(COUNTIF(AwardTypeCategories,F68)&lt;&gt;1,COUNTIF(SetAsideCategories,G68)&lt;&gt;1,COUNTIF(PerformanceStateCategories,H68)&lt;&gt;1),"New category: refresh report","")))))</f>
        <v/>
      </c>
      <c r="X68" s="57" t="str">
        <f aca="false">IF(R68="","",COUNTIFS(TransactionsData[Award ID],R68,TransactionsData[Selected],1))</f>
        <v/>
      </c>
      <c r="Y68" s="57" t="str">
        <f aca="false">IF(R68="","",COUNTIFS(TransactionsData[Award ID],R68,TransactionsData[Dimension match],1))</f>
        <v/>
      </c>
    </row>
  </sheetData>
  <mergeCells count="9">
    <mergeCell ref="A2:E2"/>
    <mergeCell ref="B3:G3"/>
    <mergeCell ref="H3:M3"/>
    <mergeCell ref="B4:G4"/>
    <mergeCell ref="H4:M4"/>
    <mergeCell ref="B5:G5"/>
    <mergeCell ref="H5:M5"/>
    <mergeCell ref="B6:G6"/>
    <mergeCell ref="H6:M6"/>
  </mergeCells>
  <conditionalFormatting sqref="W8:W68">
    <cfRule type="expression" priority="2" aboveAverage="0" equalAverage="0" bottom="0" percent="0" rank="0" text="" dxfId="9">
      <formula>LEN(W8)&gt;0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&amp;L&amp;"Arial,Bold"&amp;11Awards</oddHeader>
    <oddFooter>&amp;LAwards&amp;RPage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AJ262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2.78"/>
    <col customWidth="true" max="2" min="2" style="0" width="25.56"/>
    <col customWidth="true" max="3" min="3" style="0" width="26.44"/>
    <col customWidth="true" max="4" min="4" style="0" width="20"/>
    <col customWidth="true" max="5" min="5" style="0" width="30"/>
    <col customWidth="true" max="6" min="6" style="0" width="20"/>
    <col customWidth="true" max="7" min="7" style="0" width="17.22"/>
    <col customWidth="true" max="8" min="8" style="0" width="29.44"/>
    <col customWidth="true" max="9" min="9" style="0" width="37.79" hidden="1" outlineLevel="1"/>
    <col customWidth="true" max="10" min="10" style="0" width="32.22" hidden="1" outlineLevel="1"/>
    <col customWidth="true" max="11" min="11" style="0" width="31.67" hidden="1" outlineLevel="1"/>
    <col customWidth="true" max="12" min="12" style="0" width="27.78" hidden="1" outlineLevel="1"/>
    <col customWidth="true" max="13" min="13" style="0" width="27.78" hidden="1" outlineLevel="1"/>
    <col customWidth="true" max="14" min="14" style="0" width="27.78" hidden="1" outlineLevel="1"/>
    <col customWidth="true" max="15" min="15" style="0" width="32.22" hidden="1" outlineLevel="1"/>
    <col customWidth="true" max="16" min="16" style="0" width="42.22" hidden="1" outlineLevel="1"/>
    <col customWidth="true" max="17" min="17" style="0" width="42.22" hidden="1" outlineLevel="1"/>
    <col customWidth="true" max="18" min="18" style="0" width="48.89" hidden="1" outlineLevel="1"/>
    <col customWidth="true" max="19" min="19" style="0" width="8.89" hidden="1" outlineLevel="1"/>
    <col customWidth="true" max="20" min="20" style="0" width="9.44" hidden="1" outlineLevel="1"/>
    <col customWidth="true" max="21" min="21" style="0" width="31.67"/>
    <col customWidth="true" max="22" min="22" style="0" width="8.89" hidden="1" outlineLevel="1"/>
    <col customWidth="true" max="23" min="23" style="0" width="18.89" hidden="1" outlineLevel="1"/>
    <col customWidth="true" max="24" min="24" style="0" width="21.11" hidden="1" outlineLevel="1"/>
    <col customWidth="true" max="25" min="25" style="0" width="17.78" hidden="1" outlineLevel="1"/>
    <col customWidth="true" max="26" min="26" style="0" width="11.11" hidden="1" outlineLevel="1"/>
    <col customWidth="true" max="27" min="27" style="0" width="10" hidden="1" outlineLevel="1"/>
    <col customWidth="true" max="28" min="28" style="0" width="10" hidden="1" outlineLevel="1"/>
    <col customWidth="true" max="29" min="29" style="0" width="12.22" hidden="1" outlineLevel="1"/>
    <col customWidth="true" max="30" min="30" style="0" width="12.22" hidden="1" outlineLevel="1"/>
    <col customWidth="true" max="31" min="31" style="0" width="12.22" hidden="1" outlineLevel="1"/>
    <col customWidth="true" max="32" min="32" style="0" width="12.22" hidden="1" outlineLevel="1"/>
    <col customWidth="true" max="33" min="33" style="0" width="12.22" hidden="1" outlineLevel="1"/>
    <col customWidth="true" max="34" min="34" style="0" width="12.22" hidden="1" outlineLevel="1"/>
    <col customWidth="true" max="35" min="35" style="0" width="16.11" hidden="1" outlineLevel="1"/>
    <col customWidth="true" max="36" min="36" style="0" width="16.11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customFormat="false" ht="32" hidden="false" customHeight="true" outlineLevel="0" collapsed="false">
      <c r="A2" s="44" t="s">
        <v>30</v>
      </c>
      <c r="B2" s="44"/>
      <c r="C2" s="44"/>
      <c r="D2" s="44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</row>
    <row r="3" customFormat="false" ht="38" hidden="false" customHeight="true" outlineLevel="0" collapsed="false">
      <c r="A3" s="43" t="s">
        <v>429</v>
      </c>
      <c r="B3" s="9" t="s">
        <v>430</v>
      </c>
      <c r="C3" s="9"/>
      <c r="D3" s="9"/>
      <c r="E3" s="43"/>
      <c r="F3" s="43" t="s">
        <v>431</v>
      </c>
      <c r="G3" s="9" t="s">
        <v>432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</row>
    <row r="4" customFormat="false" ht="22" hidden="false" customHeight="true" outlineLevel="0" collapsed="false">
      <c r="A4" s="43" t="s">
        <v>80</v>
      </c>
      <c r="B4" s="64" t="n">
        <v>44835</v>
      </c>
      <c r="C4" s="43" t="s">
        <v>81</v>
      </c>
      <c r="D4" s="64" t="n">
        <v>45930</v>
      </c>
      <c r="E4" s="43"/>
      <c r="F4" s="43" t="s">
        <v>243</v>
      </c>
      <c r="G4" s="64" t="n">
        <v>46279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customFormat="false" ht="22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 customFormat="false" ht="22" hidden="false" customHeight="true" outlineLevel="0" collapsed="false">
      <c r="A6" s="45" t="s">
        <v>433</v>
      </c>
      <c r="B6" s="45"/>
      <c r="C6" s="45"/>
      <c r="D6" s="45"/>
      <c r="E6" s="45"/>
      <c r="F6" s="45"/>
      <c r="G6" s="45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</row>
    <row r="7" customFormat="false" ht="22" hidden="false" customHeight="true" outlineLevel="0" collapsed="false">
      <c r="A7" s="45" t="s">
        <v>434</v>
      </c>
      <c r="B7" s="45"/>
      <c r="C7" s="45"/>
      <c r="D7" s="45"/>
      <c r="E7" s="45"/>
      <c r="F7" s="45"/>
      <c r="G7" s="45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customFormat="false" ht="22" hidden="false" customHeight="true" outlineLevel="0" collapsed="false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 customFormat="false" ht="22" hidden="false" customHeight="true" outlineLevel="0" collapsed="false">
      <c r="A9" s="43" t="s">
        <v>435</v>
      </c>
      <c r="B9" s="43" t="n">
        <f aca="false">SUM(TransactionsData[Eligible])</f>
        <v>214</v>
      </c>
      <c r="C9" s="43" t="s">
        <v>436</v>
      </c>
      <c r="D9" s="43" t="n">
        <f aca="false">COUNTIFS(TransactionsData[Inclusion],"Exclude")</f>
        <v>12</v>
      </c>
      <c r="E9" s="43"/>
      <c r="F9" s="43" t="s">
        <v>437</v>
      </c>
      <c r="G9" s="48" t="n">
        <f aca="false">SUMIFS(TransactionsData[Obligations],TransactionsData[Inclusion],"Exclude")</f>
        <v>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</row>
    <row r="10" customFormat="false" ht="22" hidden="false" customHeight="true" outlineLevel="0" collapsed="false">
      <c r="A10" s="43" t="s">
        <v>438</v>
      </c>
      <c r="B10" s="48" t="n">
        <f aca="false">IF(COUNTA(TransactionsData[Transaction ID])=0,"",SUMIFS(TransactionsData[Obligations],TransactionsData[Eligible],1))</f>
        <v>241952941.19</v>
      </c>
      <c r="C10" s="48" t="s">
        <v>439</v>
      </c>
      <c r="D10" s="48" t="n">
        <v>241952941.160683</v>
      </c>
      <c r="E10" s="43"/>
      <c r="F10" s="43" t="s">
        <v>440</v>
      </c>
      <c r="G10" s="65" t="n">
        <f aca="false">IF(D10="","",B10-D10)</f>
        <v>0.029317319393158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</row>
    <row r="11" customFormat="false" ht="22" hidden="false" customHeight="true" outlineLevel="0" collapsed="false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</row>
    <row r="12" customFormat="false" ht="22" hidden="false" customHeight="true" outlineLevel="0" collapsed="false">
      <c r="A12" s="45" t="s">
        <v>441</v>
      </c>
      <c r="B12" s="45"/>
      <c r="C12" s="45"/>
      <c r="D12" s="45"/>
      <c r="E12" s="45"/>
      <c r="F12" s="45"/>
      <c r="G12" s="45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</row>
    <row r="13" customFormat="false" ht="22" hidden="false" customHeight="tru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 customFormat="false" ht="22" hidden="false" customHeight="true" outlineLevel="0" collapsed="false">
      <c r="A14" s="45" t="s">
        <v>442</v>
      </c>
      <c r="B14" s="45"/>
      <c r="C14" s="45"/>
      <c r="D14" s="45"/>
      <c r="E14" s="45"/>
      <c r="F14" s="45"/>
      <c r="G14" s="45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customFormat="false" ht="38" hidden="false" customHeight="true" outlineLevel="0" collapsed="false">
      <c r="A15" s="45" t="str">
        <f aca="false">"Source ledger: "&amp;IF(Transactions!B3="","Not supplied",Transactions!B3)&amp;"  |  "&amp;IF(Transactions!B4="","Not supplied",TEXT(Transactions!B4,"mmm d, yyyy"))&amp;" through "&amp;IF(Transactions!D4="","Not supplied",TEXT(Transactions!D4,"mmm d, yyyy"))&amp;CHAR(10)&amp;"All retrieved rows are retained. Dashboard filters do not narrow this table; its own filters control visible rows."</f>
        <v>Source ledger: National Science Foundation  |  Oct 1, 2022 through Sep 30, 2025
All retrieved rows are retained. Dashboard filters do not narrow this table; its own filters control visible rows.</v>
      </c>
      <c r="B15" s="45"/>
      <c r="C15" s="45"/>
      <c r="D15" s="45"/>
      <c r="E15" s="45"/>
      <c r="F15" s="45"/>
      <c r="G15" s="45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</row>
    <row r="16" customFormat="false" ht="36" hidden="false" customHeight="true" outlineLevel="0" collapsed="false">
      <c r="A16" s="47" t="s">
        <v>443</v>
      </c>
      <c r="B16" s="47" t="s">
        <v>230</v>
      </c>
      <c r="C16" s="47" t="s">
        <v>18</v>
      </c>
      <c r="D16" s="47" t="s">
        <v>89</v>
      </c>
      <c r="E16" s="47" t="s">
        <v>28</v>
      </c>
      <c r="F16" s="47" t="s">
        <v>444</v>
      </c>
      <c r="G16" s="47" t="s">
        <v>445</v>
      </c>
      <c r="H16" s="47" t="s">
        <v>446</v>
      </c>
      <c r="I16" s="47" t="s">
        <v>447</v>
      </c>
      <c r="J16" s="47" t="s">
        <v>244</v>
      </c>
      <c r="K16" s="47" t="s">
        <v>2</v>
      </c>
      <c r="L16" s="47" t="s">
        <v>448</v>
      </c>
      <c r="M16" s="47" t="s">
        <v>245</v>
      </c>
      <c r="N16" s="47" t="s">
        <v>246</v>
      </c>
      <c r="O16" s="47" t="s">
        <v>449</v>
      </c>
      <c r="P16" s="47" t="s">
        <v>450</v>
      </c>
      <c r="Q16" s="47" t="s">
        <v>247</v>
      </c>
      <c r="R16" s="47" t="s">
        <v>451</v>
      </c>
      <c r="S16" s="47" t="s">
        <v>452</v>
      </c>
      <c r="T16" s="47" t="s">
        <v>79</v>
      </c>
      <c r="U16" s="47" t="s">
        <v>100</v>
      </c>
      <c r="V16" s="47" t="s">
        <v>453</v>
      </c>
      <c r="W16" s="47" t="s">
        <v>29</v>
      </c>
      <c r="X16" s="47" t="s">
        <v>233</v>
      </c>
      <c r="Y16" s="47" t="s">
        <v>234</v>
      </c>
      <c r="Z16" s="47" t="s">
        <v>454</v>
      </c>
      <c r="AA16" s="47" t="s">
        <v>455</v>
      </c>
      <c r="AB16" s="47" t="s">
        <v>456</v>
      </c>
      <c r="AC16" s="47" t="s">
        <v>457</v>
      </c>
      <c r="AD16" s="47" t="s">
        <v>458</v>
      </c>
      <c r="AE16" s="47" t="s">
        <v>459</v>
      </c>
      <c r="AF16" s="47" t="s">
        <v>460</v>
      </c>
      <c r="AG16" s="47" t="s">
        <v>461</v>
      </c>
      <c r="AH16" s="47" t="s">
        <v>462</v>
      </c>
      <c r="AI16" s="47" t="s">
        <v>463</v>
      </c>
      <c r="AJ16" s="47" t="s">
        <v>75</v>
      </c>
    </row>
    <row r="17" customFormat="false" ht="40" hidden="false" customHeight="true" outlineLevel="0" collapsed="false">
      <c r="A17" s="66" t="n">
        <v>44903</v>
      </c>
      <c r="B17" s="54" t="str">
        <f aca="false">IF(M17="","",IF(P17="",M17,HYPERLINK(P17,M17)))</f>
        <v>49100422A0002-49100423F0008</v>
      </c>
      <c r="C17" s="54" t="str">
        <f aca="false">IF(N17="","",IF(Q17="",N17,HYPERLINK(Q17,N17)))</f>
        <v>Directviz Solutions, LLC</v>
      </c>
      <c r="D17" s="60" t="s">
        <v>123</v>
      </c>
      <c r="E17" s="54" t="str">
        <f aca="false">IF(O17="","",IF(R17="",O17,HYPERLINK(R17,O17)))</f>
        <v>Division of Information Systems</v>
      </c>
      <c r="F17" s="62" t="n">
        <v>585714.11</v>
      </c>
      <c r="G17" s="61" t="s">
        <v>464</v>
      </c>
      <c r="H17" s="58"/>
      <c r="I17" s="58" t="s">
        <v>465</v>
      </c>
      <c r="J17" s="58" t="s">
        <v>301</v>
      </c>
      <c r="K17" s="58" t="s">
        <v>121</v>
      </c>
      <c r="L17" s="58" t="s">
        <v>197</v>
      </c>
      <c r="M17" s="58" t="s">
        <v>302</v>
      </c>
      <c r="N17" s="58" t="s">
        <v>122</v>
      </c>
      <c r="O17" s="58" t="s">
        <v>198</v>
      </c>
      <c r="P17" s="58" t="s">
        <v>303</v>
      </c>
      <c r="Q17" s="58" t="s">
        <v>124</v>
      </c>
      <c r="R17" s="58" t="s">
        <v>200</v>
      </c>
      <c r="S17" s="57" t="n">
        <f aca="false">IF(ISNUMBER(A17),YEAR(A17)+IF(MONTH(A17)&gt;=10,1,0),"")</f>
        <v>2023</v>
      </c>
      <c r="T17" s="57" t="n">
        <f aca="false">IF(ISNUMBER(A17),INT(MOD(MONTH(A17)-10,12)/3)+1,"")</f>
        <v>1</v>
      </c>
      <c r="U17" s="57" t="str">
        <f aca="false"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f>
        <v/>
      </c>
      <c r="V17" s="57" t="n">
        <f aca="false">IF(AND(I17&lt;&gt;"",U17="",G17="Include"),1,0)</f>
        <v>1</v>
      </c>
      <c r="W17" s="57" t="str">
        <f aca="false">IF(I17="","",IF(COUNTIFS(AwardsData[Award ID],J17)=1,INDEX(AwardsData[Current award type],MATCH(J17,AwardsData[Award ID],0)),"Unlinked"))</f>
        <v>BPA Call</v>
      </c>
      <c r="X17" s="57" t="str">
        <f aca="false">IF(I17="","",IF(COUNTIFS(AwardsData[Award ID],J17)=1,INDEX(AwardsData[Current set-aside],MATCH(J17,AwardsData[Award ID],0)),"Unlinked"))</f>
        <v>No Set-Aside Used</v>
      </c>
      <c r="Y17" s="57" t="str">
        <f aca="false">IF(I17="","",IF(COUNTIFS(AwardsData[Award ID],J17)=1,INDEX(AwardsData[Performance state],MATCH(J17,AwardsData[Award ID],0)),"Unlinked"))</f>
        <v>Virginia</v>
      </c>
      <c r="Z17" s="57" t="n">
        <f aca="false">IF(AND(V17=1,OR(Dashboard!$AB$2="All",K17=Dashboard!$AB$2),OR(Dashboard!$AB$3="All",L17=Dashboard!$AB$3),OR(Dashboard!$N$10="All",W17=Dashboard!$N$10)),1,0)</f>
        <v>1</v>
      </c>
      <c r="AA17" s="57" t="n">
        <f aca="false">IF(AND(Z17=1,OR(Dashboard!$B$7="All",S17=Dashboard!$B$7)),1,0)</f>
        <v>0</v>
      </c>
      <c r="AB17" s="57" t="n">
        <f aca="false">IF(AND(V17=1,F17&lt;&gt;0),1,0)</f>
        <v>1</v>
      </c>
      <c r="AC17" s="57" t="n">
        <f aca="false">IF(AND(AA17=1,AB17=1),IF(COUNTIFS($J$17:J17,J17,$AA$17:AA17,1,$AB$17:AB17,1)=1,1,0),0)</f>
        <v>0</v>
      </c>
      <c r="AD17" s="57" t="n">
        <f aca="false">IF(AND(AA17=1,AB17=1),IF(COUNTIFS($K$17:K17,K17,$AA$17:AA17,1,$AB$17:AB17,1)=1,1,0),0)</f>
        <v>0</v>
      </c>
      <c r="AE17" s="57" t="n">
        <f aca="false">IF(AND(Z17=1,AB17=1),IF(COUNTIFS($J$17:J17,J17,$S$17:S17,S17,$Z$17:Z17,1,$AB$17:AB17,1)=1,1,0),0)</f>
        <v>1</v>
      </c>
      <c r="AF17" s="57" t="n">
        <f aca="false">IF(AND(Z17=1,AB17=1),IF(COUNTIFS($K$17:K17,K17,$S$17:S17,S17,$Z$17:Z17,1,$AB$17:AB17,1)=1,1,0),0)</f>
        <v>1</v>
      </c>
      <c r="AG17" s="57" t="n">
        <f aca="false">IF(AND(AA17=1,AB17=1),IF(COUNTIFS($J$17:J17,J17,$L$17:L17,L17,$AA$17:AA17,1,$AB$17:AB17,1)=1,1,0),0)</f>
        <v>0</v>
      </c>
      <c r="AH17" s="57" t="n">
        <f aca="false">IF(AND(AA17=1,AB17=1),IF(COUNTIFS($J$17:J17,J17,$K$17:K17,K17,$AA$17:AA17,1,$AB$17:AB17,1)=1,1,0),0)</f>
        <v>0</v>
      </c>
      <c r="AI17" s="56" t="n">
        <f aca="false">IF(V17=1,MAX(F17,0),0)</f>
        <v>585714.11</v>
      </c>
      <c r="AJ17" s="56" t="n">
        <f aca="false">IF(V17=1,MIN(F17,0),0)</f>
        <v>0</v>
      </c>
    </row>
    <row r="18" customFormat="false" ht="40" hidden="false" customHeight="true" outlineLevel="0" collapsed="false">
      <c r="A18" s="66" t="n">
        <v>44916</v>
      </c>
      <c r="B18" s="54" t="str">
        <f aca="false">IF(M18="","",IF(P18="",M18,HYPERLINK(P18,M18)))</f>
        <v>49100422C0029</v>
      </c>
      <c r="C18" s="54" t="str">
        <f aca="false">IF(N18="","",IF(Q18="",N18,HYPERLINK(Q18,N18)))</f>
        <v>Rei Systems, Inc.</v>
      </c>
      <c r="D18" s="60" t="s">
        <v>158</v>
      </c>
      <c r="E18" s="54" t="str">
        <f aca="false">IF(O18="","",IF(R18="",O18,HYPERLINK(R18,O18)))</f>
        <v>Division of Acquisition and Cooperative Support</v>
      </c>
      <c r="F18" s="62" t="n">
        <v>700000</v>
      </c>
      <c r="G18" s="61" t="s">
        <v>464</v>
      </c>
      <c r="H18" s="58"/>
      <c r="I18" s="58" t="s">
        <v>466</v>
      </c>
      <c r="J18" s="58" t="s">
        <v>327</v>
      </c>
      <c r="K18" s="58" t="s">
        <v>156</v>
      </c>
      <c r="L18" s="58" t="s">
        <v>189</v>
      </c>
      <c r="M18" s="58" t="s">
        <v>327</v>
      </c>
      <c r="N18" s="58" t="s">
        <v>157</v>
      </c>
      <c r="O18" s="58" t="s">
        <v>190</v>
      </c>
      <c r="P18" s="58" t="s">
        <v>328</v>
      </c>
      <c r="Q18" s="58" t="s">
        <v>159</v>
      </c>
      <c r="R18" s="58" t="s">
        <v>192</v>
      </c>
      <c r="S18" s="57" t="n">
        <f aca="false">IF(ISNUMBER(A18),YEAR(A18)+IF(MONTH(A18)&gt;=10,1,0),"")</f>
        <v>2023</v>
      </c>
      <c r="T18" s="57" t="n">
        <f aca="false">IF(ISNUMBER(A18),INT(MOD(MONTH(A18)-10,12)/3)+1,"")</f>
        <v>1</v>
      </c>
      <c r="U18" s="57" t="str">
        <f aca="false">IF(AND(I18&lt;&gt;"",D18&lt;&gt;"",OR(COUNTIFS(TransactionsData[Vendor ID],K18,TransactionsData[UEI],"&lt;&gt;"&amp;D18,TransactionsData[UEI],"?*")&gt;0,COUNTIFS(VendorGroups[Record ID],K18,VendorGroups[Source UEI],"&lt;&gt;"&amp;D18,VendorGroups[Source UEI],"?*")&gt;0)),"Conflicting vendor UEIs",IF(I18="",IF(COUNTA(A18,D18,F18:R18)&gt;0,"Missing transaction ID",""),IF(COUNTIFS(TransactionsData[Transaction ID],I18)&lt;&gt;1,"Duplicate transaction ID",IF(OR(NOT(ISNUMBER(A18)),A18&lt;1,A18&gt;DATE(2099,1,1)),"Use a valid date",IF(OR(A18&lt;$B$4,A18&gt;$D$4),"Outside coverage",IF(NOT(ISNUMBER(F18)),"Missing or invalid amount",IF(OR(K18="",L18="",N18=""),"Add vendor and office identities",IF(G18="Exclude",IF(OR(F18&lt;&gt;0,H18=""),"Review nonzero or unexplained exclusion",""),IF(G18&lt;&gt;"Include","Choose Include or Exclude",IF(COUNTIFS(AwardsData[Award ID],J18)&lt;&gt;1,"Award link needs review",IF(INDEX(AwardsData[Input check],MATCH(J18,AwardsData[Award ID],0))&lt;&gt;"","Check award inputs","")))))))))))</f>
        <v/>
      </c>
      <c r="V18" s="57" t="n">
        <f aca="false">IF(AND(I18&lt;&gt;"",U18="",G18="Include"),1,0)</f>
        <v>1</v>
      </c>
      <c r="W18" s="57" t="str">
        <f aca="false">IF(I18="","",IF(COUNTIFS(AwardsData[Award ID],J18)=1,INDEX(AwardsData[Current award type],MATCH(J18,AwardsData[Award ID],0)),"Unlinked"))</f>
        <v>Definitive Contract</v>
      </c>
      <c r="X18" s="57" t="str">
        <f aca="false">IF(I18="","",IF(COUNTIFS(AwardsData[Award ID],J18)=1,INDEX(AwardsData[Current set-aside],MATCH(J18,AwardsData[Award ID],0)),"Unlinked"))</f>
        <v>No Set-Aside Used</v>
      </c>
      <c r="Y18" s="57" t="str">
        <f aca="false">IF(I18="","",IF(COUNTIFS(AwardsData[Award ID],J18)=1,INDEX(AwardsData[Performance state],MATCH(J18,AwardsData[Award ID],0)),"Unlinked"))</f>
        <v>Virginia</v>
      </c>
      <c r="Z18" s="57" t="n">
        <f aca="false">IF(AND(V18=1,OR(Dashboard!$AB$2="All",K18=Dashboard!$AB$2),OR(Dashboard!$AB$3="All",L18=Dashboard!$AB$3),OR(Dashboard!$N$10="All",W18=Dashboard!$N$10)),1,0)</f>
        <v>1</v>
      </c>
      <c r="AA18" s="57" t="n">
        <f aca="false">IF(AND(Z18=1,OR(Dashboard!$B$7="All",S18=Dashboard!$B$7)),1,0)</f>
        <v>0</v>
      </c>
      <c r="AB18" s="57" t="n">
        <f aca="false">IF(AND(V18=1,F18&lt;&gt;0),1,0)</f>
        <v>1</v>
      </c>
      <c r="AC18" s="57" t="n">
        <f aca="false">IF(AND(AA18=1,AB18=1),IF(COUNTIFS($J$17:J18,J18,$AA$17:AA18,1,$AB$17:AB18,1)=1,1,0),0)</f>
        <v>0</v>
      </c>
      <c r="AD18" s="57" t="n">
        <f aca="false">IF(AND(AA18=1,AB18=1),IF(COUNTIFS($K$17:K18,K18,$AA$17:AA18,1,$AB$17:AB18,1)=1,1,0),0)</f>
        <v>0</v>
      </c>
      <c r="AE18" s="57" t="n">
        <f aca="false">IF(AND(Z18=1,AB18=1),IF(COUNTIFS($J$17:J18,J18,$S$17:S18,S18,$Z$17:Z18,1,$AB$17:AB18,1)=1,1,0),0)</f>
        <v>1</v>
      </c>
      <c r="AF18" s="57" t="n">
        <f aca="false">IF(AND(Z18=1,AB18=1),IF(COUNTIFS($K$17:K18,K18,$S$17:S18,S18,$Z$17:Z18,1,$AB$17:AB18,1)=1,1,0),0)</f>
        <v>1</v>
      </c>
      <c r="AG18" s="57" t="n">
        <f aca="false">IF(AND(AA18=1,AB18=1),IF(COUNTIFS($J$17:J18,J18,$L$17:L18,L18,$AA$17:AA18,1,$AB$17:AB18,1)=1,1,0),0)</f>
        <v>0</v>
      </c>
      <c r="AH18" s="57" t="n">
        <f aca="false">IF(AND(AA18=1,AB18=1),IF(COUNTIFS($J$17:J18,J18,$K$17:K18,K18,$AA$17:AA18,1,$AB$17:AB18,1)=1,1,0),0)</f>
        <v>0</v>
      </c>
      <c r="AI18" s="56" t="n">
        <f aca="false">IF(V18=1,MAX(F18,0),0)</f>
        <v>700000</v>
      </c>
      <c r="AJ18" s="56" t="n">
        <f aca="false">IF(V18=1,MIN(F18,0),0)</f>
        <v>0</v>
      </c>
    </row>
    <row r="19" customFormat="false" ht="40" hidden="false" customHeight="true" outlineLevel="0" collapsed="false">
      <c r="A19" s="66" t="n">
        <v>44916</v>
      </c>
      <c r="B19" s="54" t="str">
        <f aca="false">IF(M19="","",IF(P19="",M19,HYPERLINK(P19,M19)))</f>
        <v>49100422D0010-49100423F0015</v>
      </c>
      <c r="C19" s="54" t="str">
        <f aca="false">IF(N19="","",IF(Q19="",N19,HYPERLINK(Q19,N19)))</f>
        <v>Agility Technologies Inc.</v>
      </c>
      <c r="D19" s="60" t="s">
        <v>103</v>
      </c>
      <c r="E19" s="54" t="str">
        <f aca="false">IF(O19="","",IF(R19="",O19,HYPERLINK(R19,O19)))</f>
        <v>NSF — office not specified</v>
      </c>
      <c r="F19" s="62" t="n">
        <v>8448.67</v>
      </c>
      <c r="G19" s="61" t="s">
        <v>464</v>
      </c>
      <c r="H19" s="58"/>
      <c r="I19" s="58" t="s">
        <v>467</v>
      </c>
      <c r="J19" s="58" t="s">
        <v>331</v>
      </c>
      <c r="K19" s="58" t="s">
        <v>101</v>
      </c>
      <c r="L19" s="58" t="s">
        <v>213</v>
      </c>
      <c r="M19" s="58" t="s">
        <v>332</v>
      </c>
      <c r="N19" s="58" t="s">
        <v>102</v>
      </c>
      <c r="O19" s="58" t="s">
        <v>214</v>
      </c>
      <c r="P19" s="58" t="s">
        <v>333</v>
      </c>
      <c r="Q19" s="58" t="s">
        <v>104</v>
      </c>
      <c r="R19" s="58" t="s">
        <v>215</v>
      </c>
      <c r="S19" s="57" t="n">
        <f aca="false">IF(ISNUMBER(A19),YEAR(A19)+IF(MONTH(A19)&gt;=10,1,0),"")</f>
        <v>2023</v>
      </c>
      <c r="T19" s="57" t="n">
        <f aca="false">IF(ISNUMBER(A19),INT(MOD(MONTH(A19)-10,12)/3)+1,"")</f>
        <v>1</v>
      </c>
      <c r="U19" s="57" t="str">
        <f aca="false">IF(AND(I19&lt;&gt;"",D19&lt;&gt;"",OR(COUNTIFS(TransactionsData[Vendor ID],K19,TransactionsData[UEI],"&lt;&gt;"&amp;D19,TransactionsData[UEI],"?*")&gt;0,COUNTIFS(VendorGroups[Record ID],K19,VendorGroups[Source UEI],"&lt;&gt;"&amp;D19,VendorGroups[Source UEI],"?*")&gt;0)),"Conflicting vendor UEIs",IF(I19="",IF(COUNTA(A19,D19,F19:R19)&gt;0,"Missing transaction ID",""),IF(COUNTIFS(TransactionsData[Transaction ID],I19)&lt;&gt;1,"Duplicate transaction ID",IF(OR(NOT(ISNUMBER(A19)),A19&lt;1,A19&gt;DATE(2099,1,1)),"Use a valid date",IF(OR(A19&lt;$B$4,A19&gt;$D$4),"Outside coverage",IF(NOT(ISNUMBER(F19)),"Missing or invalid amount",IF(OR(K19="",L19="",N19=""),"Add vendor and office identities",IF(G19="Exclude",IF(OR(F19&lt;&gt;0,H19=""),"Review nonzero or unexplained exclusion",""),IF(G19&lt;&gt;"Include","Choose Include or Exclude",IF(COUNTIFS(AwardsData[Award ID],J19)&lt;&gt;1,"Award link needs review",IF(INDEX(AwardsData[Input check],MATCH(J19,AwardsData[Award ID],0))&lt;&gt;"","Check award inputs","")))))))))))</f>
        <v/>
      </c>
      <c r="V19" s="57" t="n">
        <f aca="false">IF(AND(I19&lt;&gt;"",U19="",G19="Include"),1,0)</f>
        <v>1</v>
      </c>
      <c r="W19" s="57" t="str">
        <f aca="false">IF(I19="","",IF(COUNTIFS(AwardsData[Award ID],J19)=1,INDEX(AwardsData[Current award type],MATCH(J19,AwardsData[Award ID],0)),"Unlinked"))</f>
        <v>Delivery Order</v>
      </c>
      <c r="X19" s="57" t="str">
        <f aca="false">IF(I19="","",IF(COUNTIFS(AwardsData[Award ID],J19)=1,INDEX(AwardsData[Current set-aside],MATCH(J19,AwardsData[Award ID],0)),"Unlinked"))</f>
        <v>No Set-Aside Used</v>
      </c>
      <c r="Y19" s="57" t="str">
        <f aca="false">IF(I19="","",IF(COUNTIFS(AwardsData[Award ID],J19)=1,INDEX(AwardsData[Performance state],MATCH(J19,AwardsData[Award ID],0)),"Unlinked"))</f>
        <v>Virginia</v>
      </c>
      <c r="Z19" s="57" t="n">
        <f aca="false">IF(AND(V19=1,OR(Dashboard!$AB$2="All",K19=Dashboard!$AB$2),OR(Dashboard!$AB$3="All",L19=Dashboard!$AB$3),OR(Dashboard!$N$10="All",W19=Dashboard!$N$10)),1,0)</f>
        <v>1</v>
      </c>
      <c r="AA19" s="57" t="n">
        <f aca="false">IF(AND(Z19=1,OR(Dashboard!$B$7="All",S19=Dashboard!$B$7)),1,0)</f>
        <v>0</v>
      </c>
      <c r="AB19" s="57" t="n">
        <f aca="false">IF(AND(V19=1,F19&lt;&gt;0),1,0)</f>
        <v>1</v>
      </c>
      <c r="AC19" s="57" t="n">
        <f aca="false">IF(AND(AA19=1,AB19=1),IF(COUNTIFS($J$17:J19,J19,$AA$17:AA19,1,$AB$17:AB19,1)=1,1,0),0)</f>
        <v>0</v>
      </c>
      <c r="AD19" s="57" t="n">
        <f aca="false">IF(AND(AA19=1,AB19=1),IF(COUNTIFS($K$17:K19,K19,$AA$17:AA19,1,$AB$17:AB19,1)=1,1,0),0)</f>
        <v>0</v>
      </c>
      <c r="AE19" s="57" t="n">
        <f aca="false">IF(AND(Z19=1,AB19=1),IF(COUNTIFS($J$17:J19,J19,$S$17:S19,S19,$Z$17:Z19,1,$AB$17:AB19,1)=1,1,0),0)</f>
        <v>1</v>
      </c>
      <c r="AF19" s="57" t="n">
        <f aca="false">IF(AND(Z19=1,AB19=1),IF(COUNTIFS($K$17:K19,K19,$S$17:S19,S19,$Z$17:Z19,1,$AB$17:AB19,1)=1,1,0),0)</f>
        <v>1</v>
      </c>
      <c r="AG19" s="57" t="n">
        <f aca="false">IF(AND(AA19=1,AB19=1),IF(COUNTIFS($J$17:J19,J19,$L$17:L19,L19,$AA$17:AA19,1,$AB$17:AB19,1)=1,1,0),0)</f>
        <v>0</v>
      </c>
      <c r="AH19" s="57" t="n">
        <f aca="false">IF(AND(AA19=1,AB19=1),IF(COUNTIFS($J$17:J19,J19,$K$17:K19,K19,$AA$17:AA19,1,$AB$17:AB19,1)=1,1,0),0)</f>
        <v>0</v>
      </c>
      <c r="AI19" s="56" t="n">
        <f aca="false">IF(V19=1,MAX(F19,0),0)</f>
        <v>8448.67</v>
      </c>
      <c r="AJ19" s="56" t="n">
        <f aca="false">IF(V19=1,MIN(F19,0),0)</f>
        <v>0</v>
      </c>
    </row>
    <row r="20" customFormat="false" ht="40" hidden="false" customHeight="true" outlineLevel="0" collapsed="false">
      <c r="A20" s="66" t="n">
        <v>44916</v>
      </c>
      <c r="B20" s="54" t="str">
        <f aca="false">IF(M20="","",IF(P20="",M20,HYPERLINK(P20,M20)))</f>
        <v>49100422D0010-49100423F0016</v>
      </c>
      <c r="C20" s="54" t="str">
        <f aca="false">IF(N20="","",IF(Q20="",N20,HYPERLINK(Q20,N20)))</f>
        <v>Agility Technologies Inc.</v>
      </c>
      <c r="D20" s="60" t="s">
        <v>103</v>
      </c>
      <c r="E20" s="54" t="str">
        <f aca="false">IF(O20="","",IF(R20="",O20,HYPERLINK(R20,O20)))</f>
        <v>NSF — office not specified</v>
      </c>
      <c r="F20" s="62" t="n">
        <v>215727.6</v>
      </c>
      <c r="G20" s="61" t="s">
        <v>464</v>
      </c>
      <c r="H20" s="58"/>
      <c r="I20" s="58" t="s">
        <v>468</v>
      </c>
      <c r="J20" s="58" t="s">
        <v>334</v>
      </c>
      <c r="K20" s="58" t="s">
        <v>101</v>
      </c>
      <c r="L20" s="58" t="s">
        <v>213</v>
      </c>
      <c r="M20" s="58" t="s">
        <v>335</v>
      </c>
      <c r="N20" s="58" t="s">
        <v>102</v>
      </c>
      <c r="O20" s="58" t="s">
        <v>214</v>
      </c>
      <c r="P20" s="58" t="s">
        <v>336</v>
      </c>
      <c r="Q20" s="58" t="s">
        <v>104</v>
      </c>
      <c r="R20" s="58" t="s">
        <v>215</v>
      </c>
      <c r="S20" s="57" t="n">
        <f aca="false">IF(ISNUMBER(A20),YEAR(A20)+IF(MONTH(A20)&gt;=10,1,0),"")</f>
        <v>2023</v>
      </c>
      <c r="T20" s="57" t="n">
        <f aca="false">IF(ISNUMBER(A20),INT(MOD(MONTH(A20)-10,12)/3)+1,"")</f>
        <v>1</v>
      </c>
      <c r="U20" s="57" t="str">
        <f aca="false">IF(AND(I20&lt;&gt;"",D20&lt;&gt;"",OR(COUNTIFS(TransactionsData[Vendor ID],K20,TransactionsData[UEI],"&lt;&gt;"&amp;D20,TransactionsData[UEI],"?*")&gt;0,COUNTIFS(VendorGroups[Record ID],K20,VendorGroups[Source UEI],"&lt;&gt;"&amp;D20,VendorGroups[Source UEI],"?*")&gt;0)),"Conflicting vendor UEIs",IF(I20="",IF(COUNTA(A20,D20,F20:R20)&gt;0,"Missing transaction ID",""),IF(COUNTIFS(TransactionsData[Transaction ID],I20)&lt;&gt;1,"Duplicate transaction ID",IF(OR(NOT(ISNUMBER(A20)),A20&lt;1,A20&gt;DATE(2099,1,1)),"Use a valid date",IF(OR(A20&lt;$B$4,A20&gt;$D$4),"Outside coverage",IF(NOT(ISNUMBER(F20)),"Missing or invalid amount",IF(OR(K20="",L20="",N20=""),"Add vendor and office identities",IF(G20="Exclude",IF(OR(F20&lt;&gt;0,H20=""),"Review nonzero or unexplained exclusion",""),IF(G20&lt;&gt;"Include","Choose Include or Exclude",IF(COUNTIFS(AwardsData[Award ID],J20)&lt;&gt;1,"Award link needs review",IF(INDEX(AwardsData[Input check],MATCH(J20,AwardsData[Award ID],0))&lt;&gt;"","Check award inputs","")))))))))))</f>
        <v/>
      </c>
      <c r="V20" s="57" t="n">
        <f aca="false">IF(AND(I20&lt;&gt;"",U20="",G20="Include"),1,0)</f>
        <v>1</v>
      </c>
      <c r="W20" s="57" t="str">
        <f aca="false">IF(I20="","",IF(COUNTIFS(AwardsData[Award ID],J20)=1,INDEX(AwardsData[Current award type],MATCH(J20,AwardsData[Award ID],0)),"Unlinked"))</f>
        <v>Delivery Order</v>
      </c>
      <c r="X20" s="57" t="str">
        <f aca="false">IF(I20="","",IF(COUNTIFS(AwardsData[Award ID],J20)=1,INDEX(AwardsData[Current set-aside],MATCH(J20,AwardsData[Award ID],0)),"Unlinked"))</f>
        <v>No Set-Aside Used</v>
      </c>
      <c r="Y20" s="57" t="str">
        <f aca="false">IF(I20="","",IF(COUNTIFS(AwardsData[Award ID],J20)=1,INDEX(AwardsData[Performance state],MATCH(J20,AwardsData[Award ID],0)),"Unlinked"))</f>
        <v>Virginia</v>
      </c>
      <c r="Z20" s="57" t="n">
        <f aca="false">IF(AND(V20=1,OR(Dashboard!$AB$2="All",K20=Dashboard!$AB$2),OR(Dashboard!$AB$3="All",L20=Dashboard!$AB$3),OR(Dashboard!$N$10="All",W20=Dashboard!$N$10)),1,0)</f>
        <v>1</v>
      </c>
      <c r="AA20" s="57" t="n">
        <f aca="false">IF(AND(Z20=1,OR(Dashboard!$B$7="All",S20=Dashboard!$B$7)),1,0)</f>
        <v>0</v>
      </c>
      <c r="AB20" s="57" t="n">
        <f aca="false">IF(AND(V20=1,F20&lt;&gt;0),1,0)</f>
        <v>1</v>
      </c>
      <c r="AC20" s="57" t="n">
        <f aca="false">IF(AND(AA20=1,AB20=1),IF(COUNTIFS($J$17:J20,J20,$AA$17:AA20,1,$AB$17:AB20,1)=1,1,0),0)</f>
        <v>0</v>
      </c>
      <c r="AD20" s="57" t="n">
        <f aca="false">IF(AND(AA20=1,AB20=1),IF(COUNTIFS($K$17:K20,K20,$AA$17:AA20,1,$AB$17:AB20,1)=1,1,0),0)</f>
        <v>0</v>
      </c>
      <c r="AE20" s="57" t="n">
        <f aca="false">IF(AND(Z20=1,AB20=1),IF(COUNTIFS($J$17:J20,J20,$S$17:S20,S20,$Z$17:Z20,1,$AB$17:AB20,1)=1,1,0),0)</f>
        <v>1</v>
      </c>
      <c r="AF20" s="57" t="n">
        <f aca="false">IF(AND(Z20=1,AB20=1),IF(COUNTIFS($K$17:K20,K20,$S$17:S20,S20,$Z$17:Z20,1,$AB$17:AB20,1)=1,1,0),0)</f>
        <v>0</v>
      </c>
      <c r="AG20" s="57" t="n">
        <f aca="false">IF(AND(AA20=1,AB20=1),IF(COUNTIFS($J$17:J20,J20,$L$17:L20,L20,$AA$17:AA20,1,$AB$17:AB20,1)=1,1,0),0)</f>
        <v>0</v>
      </c>
      <c r="AH20" s="57" t="n">
        <f aca="false">IF(AND(AA20=1,AB20=1),IF(COUNTIFS($J$17:J20,J20,$K$17:K20,K20,$AA$17:AA20,1,$AB$17:AB20,1)=1,1,0),0)</f>
        <v>0</v>
      </c>
      <c r="AI20" s="56" t="n">
        <f aca="false">IF(V20=1,MAX(F20,0),0)</f>
        <v>215727.6</v>
      </c>
      <c r="AJ20" s="56" t="n">
        <f aca="false">IF(V20=1,MIN(F20,0),0)</f>
        <v>0</v>
      </c>
    </row>
    <row r="21" customFormat="false" ht="40" hidden="false" customHeight="true" outlineLevel="0" collapsed="false">
      <c r="A21" s="66" t="n">
        <v>44918</v>
      </c>
      <c r="B21" s="54" t="str">
        <f aca="false">IF(M21="","",IF(P21="",M21,HYPERLINK(P21,M21)))</f>
        <v>GS35F337BA-49100421F0078</v>
      </c>
      <c r="C21" s="54" t="str">
        <f aca="false">IF(N21="","",IF(Q21="",N21,HYPERLINK(Q21,N21)))</f>
        <v>Civicactions, Inc.</v>
      </c>
      <c r="D21" s="60" t="s">
        <v>115</v>
      </c>
      <c r="E21" s="54" t="str">
        <f aca="false">IF(O21="","",IF(R21="",O21,HYPERLINK(R21,O21)))</f>
        <v>Division of Information Systems</v>
      </c>
      <c r="F21" s="62" t="n">
        <v>1705729.89</v>
      </c>
      <c r="G21" s="61" t="s">
        <v>464</v>
      </c>
      <c r="H21" s="58"/>
      <c r="I21" s="58" t="s">
        <v>469</v>
      </c>
      <c r="J21" s="58" t="s">
        <v>414</v>
      </c>
      <c r="K21" s="58" t="s">
        <v>113</v>
      </c>
      <c r="L21" s="58" t="s">
        <v>197</v>
      </c>
      <c r="M21" s="58" t="s">
        <v>415</v>
      </c>
      <c r="N21" s="58" t="s">
        <v>114</v>
      </c>
      <c r="O21" s="58" t="s">
        <v>198</v>
      </c>
      <c r="P21" s="58" t="s">
        <v>416</v>
      </c>
      <c r="Q21" s="58" t="s">
        <v>116</v>
      </c>
      <c r="R21" s="58" t="s">
        <v>200</v>
      </c>
      <c r="S21" s="57" t="n">
        <f aca="false">IF(ISNUMBER(A21),YEAR(A21)+IF(MONTH(A21)&gt;=10,1,0),"")</f>
        <v>2023</v>
      </c>
      <c r="T21" s="57" t="n">
        <f aca="false">IF(ISNUMBER(A21),INT(MOD(MONTH(A21)-10,12)/3)+1,"")</f>
        <v>1</v>
      </c>
      <c r="U21" s="57" t="str">
        <f aca="false">IF(AND(I21&lt;&gt;"",D21&lt;&gt;"",OR(COUNTIFS(TransactionsData[Vendor ID],K21,TransactionsData[UEI],"&lt;&gt;"&amp;D21,TransactionsData[UEI],"?*")&gt;0,COUNTIFS(VendorGroups[Record ID],K21,VendorGroups[Source UEI],"&lt;&gt;"&amp;D21,VendorGroups[Source UEI],"?*")&gt;0)),"Conflicting vendor UEIs",IF(I21="",IF(COUNTA(A21,D21,F21:R21)&gt;0,"Missing transaction ID",""),IF(COUNTIFS(TransactionsData[Transaction ID],I21)&lt;&gt;1,"Duplicate transaction ID",IF(OR(NOT(ISNUMBER(A21)),A21&lt;1,A21&gt;DATE(2099,1,1)),"Use a valid date",IF(OR(A21&lt;$B$4,A21&gt;$D$4),"Outside coverage",IF(NOT(ISNUMBER(F21)),"Missing or invalid amount",IF(OR(K21="",L21="",N21=""),"Add vendor and office identities",IF(G21="Exclude",IF(OR(F21&lt;&gt;0,H21=""),"Review nonzero or unexplained exclusion",""),IF(G21&lt;&gt;"Include","Choose Include or Exclude",IF(COUNTIFS(AwardsData[Award ID],J21)&lt;&gt;1,"Award link needs review",IF(INDEX(AwardsData[Input check],MATCH(J21,AwardsData[Award ID],0))&lt;&gt;"","Check award inputs","")))))))))))</f>
        <v/>
      </c>
      <c r="V21" s="57" t="n">
        <f aca="false">IF(AND(I21&lt;&gt;"",U21="",G21="Include"),1,0)</f>
        <v>1</v>
      </c>
      <c r="W21" s="57" t="str">
        <f aca="false">IF(I21="","",IF(COUNTIFS(AwardsData[Award ID],J21)=1,INDEX(AwardsData[Current award type],MATCH(J21,AwardsData[Award ID],0)),"Unlinked"))</f>
        <v>Delivery Order</v>
      </c>
      <c r="X21" s="57" t="str">
        <f aca="false">IF(I21="","",IF(COUNTIFS(AwardsData[Award ID],J21)=1,INDEX(AwardsData[Current set-aside],MATCH(J21,AwardsData[Award ID],0)),"Unlinked"))</f>
        <v>Total Small Business</v>
      </c>
      <c r="Y21" s="57" t="str">
        <f aca="false">IF(I21="","",IF(COUNTIFS(AwardsData[Award ID],J21)=1,INDEX(AwardsData[Performance state],MATCH(J21,AwardsData[Award ID],0)),"Unlinked"))</f>
        <v>California</v>
      </c>
      <c r="Z21" s="57" t="n">
        <f aca="false">IF(AND(V21=1,OR(Dashboard!$AB$2="All",K21=Dashboard!$AB$2),OR(Dashboard!$AB$3="All",L21=Dashboard!$AB$3),OR(Dashboard!$N$10="All",W21=Dashboard!$N$10)),1,0)</f>
        <v>1</v>
      </c>
      <c r="AA21" s="57" t="n">
        <f aca="false">IF(AND(Z21=1,OR(Dashboard!$B$7="All",S21=Dashboard!$B$7)),1,0)</f>
        <v>0</v>
      </c>
      <c r="AB21" s="57" t="n">
        <f aca="false">IF(AND(V21=1,F21&lt;&gt;0),1,0)</f>
        <v>1</v>
      </c>
      <c r="AC21" s="57" t="n">
        <f aca="false">IF(AND(AA21=1,AB21=1),IF(COUNTIFS($J$17:J21,J21,$AA$17:AA21,1,$AB$17:AB21,1)=1,1,0),0)</f>
        <v>0</v>
      </c>
      <c r="AD21" s="57" t="n">
        <f aca="false">IF(AND(AA21=1,AB21=1),IF(COUNTIFS($K$17:K21,K21,$AA$17:AA21,1,$AB$17:AB21,1)=1,1,0),0)</f>
        <v>0</v>
      </c>
      <c r="AE21" s="57" t="n">
        <f aca="false">IF(AND(Z21=1,AB21=1),IF(COUNTIFS($J$17:J21,J21,$S$17:S21,S21,$Z$17:Z21,1,$AB$17:AB21,1)=1,1,0),0)</f>
        <v>1</v>
      </c>
      <c r="AF21" s="57" t="n">
        <f aca="false">IF(AND(Z21=1,AB21=1),IF(COUNTIFS($K$17:K21,K21,$S$17:S21,S21,$Z$17:Z21,1,$AB$17:AB21,1)=1,1,0),0)</f>
        <v>1</v>
      </c>
      <c r="AG21" s="57" t="n">
        <f aca="false">IF(AND(AA21=1,AB21=1),IF(COUNTIFS($J$17:J21,J21,$L$17:L21,L21,$AA$17:AA21,1,$AB$17:AB21,1)=1,1,0),0)</f>
        <v>0</v>
      </c>
      <c r="AH21" s="57" t="n">
        <f aca="false">IF(AND(AA21=1,AB21=1),IF(COUNTIFS($J$17:J21,J21,$K$17:K21,K21,$AA$17:AA21,1,$AB$17:AB21,1)=1,1,0),0)</f>
        <v>0</v>
      </c>
      <c r="AI21" s="56" t="n">
        <f aca="false">IF(V21=1,MAX(F21,0),0)</f>
        <v>1705729.89</v>
      </c>
      <c r="AJ21" s="56" t="n">
        <f aca="false">IF(V21=1,MIN(F21,0),0)</f>
        <v>0</v>
      </c>
    </row>
    <row r="22" customFormat="false" ht="40" hidden="false" customHeight="true" outlineLevel="0" collapsed="false">
      <c r="A22" s="66" t="n">
        <v>44924</v>
      </c>
      <c r="B22" s="54" t="str">
        <f aca="false">IF(M22="","",IF(P22="",M22,HYPERLINK(P22,M22)))</f>
        <v>47QTCA19D00GN-49100421F0206</v>
      </c>
      <c r="C22" s="54" t="str">
        <f aca="false">IF(N22="","",IF(Q22="",N22,HYPERLINK(Q22,N22)))</f>
        <v>Lynker Corporation</v>
      </c>
      <c r="D22" s="60" t="s">
        <v>147</v>
      </c>
      <c r="E22" s="54" t="str">
        <f aca="false">IF(O22="","",IF(R22="",O22,HYPERLINK(R22,O22)))</f>
        <v>Division of Social and Economic Science</v>
      </c>
      <c r="F22" s="62" t="n">
        <v>2900000</v>
      </c>
      <c r="G22" s="61" t="s">
        <v>464</v>
      </c>
      <c r="H22" s="58"/>
      <c r="I22" s="58" t="s">
        <v>470</v>
      </c>
      <c r="J22" s="58" t="s">
        <v>260</v>
      </c>
      <c r="K22" s="58" t="s">
        <v>145</v>
      </c>
      <c r="L22" s="58" t="s">
        <v>201</v>
      </c>
      <c r="M22" s="58" t="s">
        <v>261</v>
      </c>
      <c r="N22" s="58" t="s">
        <v>146</v>
      </c>
      <c r="O22" s="58" t="s">
        <v>202</v>
      </c>
      <c r="P22" s="58" t="s">
        <v>262</v>
      </c>
      <c r="Q22" s="58" t="s">
        <v>148</v>
      </c>
      <c r="R22" s="58" t="s">
        <v>204</v>
      </c>
      <c r="S22" s="57" t="n">
        <f aca="false">IF(ISNUMBER(A22),YEAR(A22)+IF(MONTH(A22)&gt;=10,1,0),"")</f>
        <v>2023</v>
      </c>
      <c r="T22" s="57" t="n">
        <f aca="false">IF(ISNUMBER(A22),INT(MOD(MONTH(A22)-10,12)/3)+1,"")</f>
        <v>1</v>
      </c>
      <c r="U22" s="57" t="str">
        <f aca="false">IF(AND(I22&lt;&gt;"",D22&lt;&gt;"",OR(COUNTIFS(TransactionsData[Vendor ID],K22,TransactionsData[UEI],"&lt;&gt;"&amp;D22,TransactionsData[UEI],"?*")&gt;0,COUNTIFS(VendorGroups[Record ID],K22,VendorGroups[Source UEI],"&lt;&gt;"&amp;D22,VendorGroups[Source UEI],"?*")&gt;0)),"Conflicting vendor UEIs",IF(I22="",IF(COUNTA(A22,D22,F22:R22)&gt;0,"Missing transaction ID",""),IF(COUNTIFS(TransactionsData[Transaction ID],I22)&lt;&gt;1,"Duplicate transaction ID",IF(OR(NOT(ISNUMBER(A22)),A22&lt;1,A22&gt;DATE(2099,1,1)),"Use a valid date",IF(OR(A22&lt;$B$4,A22&gt;$D$4),"Outside coverage",IF(NOT(ISNUMBER(F22)),"Missing or invalid amount",IF(OR(K22="",L22="",N22=""),"Add vendor and office identities",IF(G22="Exclude",IF(OR(F22&lt;&gt;0,H22=""),"Review nonzero or unexplained exclusion",""),IF(G22&lt;&gt;"Include","Choose Include or Exclude",IF(COUNTIFS(AwardsData[Award ID],J22)&lt;&gt;1,"Award link needs review",IF(INDEX(AwardsData[Input check],MATCH(J22,AwardsData[Award ID],0))&lt;&gt;"","Check award inputs","")))))))))))</f>
        <v/>
      </c>
      <c r="V22" s="57" t="n">
        <f aca="false">IF(AND(I22&lt;&gt;"",U22="",G22="Include"),1,0)</f>
        <v>1</v>
      </c>
      <c r="W22" s="57" t="str">
        <f aca="false">IF(I22="","",IF(COUNTIFS(AwardsData[Award ID],J22)=1,INDEX(AwardsData[Current award type],MATCH(J22,AwardsData[Award ID],0)),"Unlinked"))</f>
        <v>Delivery Order</v>
      </c>
      <c r="X22" s="57" t="str">
        <f aca="false">IF(I22="","",IF(COUNTIFS(AwardsData[Award ID],J22)=1,INDEX(AwardsData[Current set-aside],MATCH(J22,AwardsData[Award ID],0)),"Unlinked"))</f>
        <v>No Set-Aside Used</v>
      </c>
      <c r="Y22" s="57" t="str">
        <f aca="false">IF(I22="","",IF(COUNTIFS(AwardsData[Award ID],J22)=1,INDEX(AwardsData[Performance state],MATCH(J22,AwardsData[Award ID],0)),"Unlinked"))</f>
        <v>Virginia</v>
      </c>
      <c r="Z22" s="57" t="n">
        <f aca="false">IF(AND(V22=1,OR(Dashboard!$AB$2="All",K22=Dashboard!$AB$2),OR(Dashboard!$AB$3="All",L22=Dashboard!$AB$3),OR(Dashboard!$N$10="All",W22=Dashboard!$N$10)),1,0)</f>
        <v>1</v>
      </c>
      <c r="AA22" s="57" t="n">
        <f aca="false">IF(AND(Z22=1,OR(Dashboard!$B$7="All",S22=Dashboard!$B$7)),1,0)</f>
        <v>0</v>
      </c>
      <c r="AB22" s="57" t="n">
        <f aca="false">IF(AND(V22=1,F22&lt;&gt;0),1,0)</f>
        <v>1</v>
      </c>
      <c r="AC22" s="57" t="n">
        <f aca="false">IF(AND(AA22=1,AB22=1),IF(COUNTIFS($J$17:J22,J22,$AA$17:AA22,1,$AB$17:AB22,1)=1,1,0),0)</f>
        <v>0</v>
      </c>
      <c r="AD22" s="57" t="n">
        <f aca="false">IF(AND(AA22=1,AB22=1),IF(COUNTIFS($K$17:K22,K22,$AA$17:AA22,1,$AB$17:AB22,1)=1,1,0),0)</f>
        <v>0</v>
      </c>
      <c r="AE22" s="57" t="n">
        <f aca="false">IF(AND(Z22=1,AB22=1),IF(COUNTIFS($J$17:J22,J22,$S$17:S22,S22,$Z$17:Z22,1,$AB$17:AB22,1)=1,1,0),0)</f>
        <v>1</v>
      </c>
      <c r="AF22" s="57" t="n">
        <f aca="false">IF(AND(Z22=1,AB22=1),IF(COUNTIFS($K$17:K22,K22,$S$17:S22,S22,$Z$17:Z22,1,$AB$17:AB22,1)=1,1,0),0)</f>
        <v>1</v>
      </c>
      <c r="AG22" s="57" t="n">
        <f aca="false">IF(AND(AA22=1,AB22=1),IF(COUNTIFS($J$17:J22,J22,$L$17:L22,L22,$AA$17:AA22,1,$AB$17:AB22,1)=1,1,0),0)</f>
        <v>0</v>
      </c>
      <c r="AH22" s="57" t="n">
        <f aca="false">IF(AND(AA22=1,AB22=1),IF(COUNTIFS($J$17:J22,J22,$K$17:K22,K22,$AA$17:AA22,1,$AB$17:AB22,1)=1,1,0),0)</f>
        <v>0</v>
      </c>
      <c r="AI22" s="56" t="n">
        <f aca="false">IF(V22=1,MAX(F22,0),0)</f>
        <v>2900000</v>
      </c>
      <c r="AJ22" s="56" t="n">
        <f aca="false">IF(V22=1,MIN(F22,0),0)</f>
        <v>0</v>
      </c>
    </row>
    <row r="23" customFormat="false" ht="40" hidden="false" customHeight="true" outlineLevel="0" collapsed="false">
      <c r="A23" s="66" t="n">
        <v>44943</v>
      </c>
      <c r="B23" s="54" t="str">
        <f aca="false">IF(M23="","",IF(P23="",M23,HYPERLINK(P23,M23)))</f>
        <v>47QTCB21D0005-49100422F0014</v>
      </c>
      <c r="C23" s="54" t="str">
        <f aca="false">IF(N23="","",IF(Q23="",N23,HYPERLINK(Q23,N23)))</f>
        <v>GBS Dakota IT, LLC</v>
      </c>
      <c r="D23" s="60" t="s">
        <v>135</v>
      </c>
      <c r="E23" s="54" t="str">
        <f aca="false">IF(O23="","",IF(R23="",O23,HYPERLINK(R23,O23)))</f>
        <v>National Science Board</v>
      </c>
      <c r="F23" s="62" t="n">
        <v>156901.32</v>
      </c>
      <c r="G23" s="61" t="s">
        <v>464</v>
      </c>
      <c r="H23" s="58"/>
      <c r="I23" s="58" t="s">
        <v>471</v>
      </c>
      <c r="J23" s="58" t="s">
        <v>272</v>
      </c>
      <c r="K23" s="58" t="s">
        <v>133</v>
      </c>
      <c r="L23" s="58" t="s">
        <v>209</v>
      </c>
      <c r="M23" s="58" t="s">
        <v>273</v>
      </c>
      <c r="N23" s="58" t="s">
        <v>134</v>
      </c>
      <c r="O23" s="58" t="s">
        <v>210</v>
      </c>
      <c r="P23" s="58" t="s">
        <v>274</v>
      </c>
      <c r="Q23" s="58" t="s">
        <v>136</v>
      </c>
      <c r="R23" s="58" t="s">
        <v>212</v>
      </c>
      <c r="S23" s="57" t="n">
        <f aca="false">IF(ISNUMBER(A23),YEAR(A23)+IF(MONTH(A23)&gt;=10,1,0),"")</f>
        <v>2023</v>
      </c>
      <c r="T23" s="57" t="n">
        <f aca="false">IF(ISNUMBER(A23),INT(MOD(MONTH(A23)-10,12)/3)+1,"")</f>
        <v>2</v>
      </c>
      <c r="U23" s="57" t="str">
        <f aca="false">IF(AND(I23&lt;&gt;"",D23&lt;&gt;"",OR(COUNTIFS(TransactionsData[Vendor ID],K23,TransactionsData[UEI],"&lt;&gt;"&amp;D23,TransactionsData[UEI],"?*")&gt;0,COUNTIFS(VendorGroups[Record ID],K23,VendorGroups[Source UEI],"&lt;&gt;"&amp;D23,VendorGroups[Source UEI],"?*")&gt;0)),"Conflicting vendor UEIs",IF(I23="",IF(COUNTA(A23,D23,F23:R23)&gt;0,"Missing transaction ID",""),IF(COUNTIFS(TransactionsData[Transaction ID],I23)&lt;&gt;1,"Duplicate transaction ID",IF(OR(NOT(ISNUMBER(A23)),A23&lt;1,A23&gt;DATE(2099,1,1)),"Use a valid date",IF(OR(A23&lt;$B$4,A23&gt;$D$4),"Outside coverage",IF(NOT(ISNUMBER(F23)),"Missing or invalid amount",IF(OR(K23="",L23="",N23=""),"Add vendor and office identities",IF(G23="Exclude",IF(OR(F23&lt;&gt;0,H23=""),"Review nonzero or unexplained exclusion",""),IF(G23&lt;&gt;"Include","Choose Include or Exclude",IF(COUNTIFS(AwardsData[Award ID],J23)&lt;&gt;1,"Award link needs review",IF(INDEX(AwardsData[Input check],MATCH(J23,AwardsData[Award ID],0))&lt;&gt;"","Check award inputs","")))))))))))</f>
        <v/>
      </c>
      <c r="V23" s="57" t="n">
        <f aca="false">IF(AND(I23&lt;&gt;"",U23="",G23="Include"),1,0)</f>
        <v>1</v>
      </c>
      <c r="W23" s="57" t="str">
        <f aca="false">IF(I23="","",IF(COUNTIFS(AwardsData[Award ID],J23)=1,INDEX(AwardsData[Current award type],MATCH(J23,AwardsData[Award ID],0)),"Unlinked"))</f>
        <v>Delivery Order</v>
      </c>
      <c r="X23" s="57" t="str">
        <f aca="false">IF(I23="","",IF(COUNTIFS(AwardsData[Award ID],J23)=1,INDEX(AwardsData[Current set-aside],MATCH(J23,AwardsData[Award ID],0)),"Unlinked"))</f>
        <v>No Set-Aside Used</v>
      </c>
      <c r="Y23" s="57" t="str">
        <f aca="false">IF(I23="","",IF(COUNTIFS(AwardsData[Award ID],J23)=1,INDEX(AwardsData[Performance state],MATCH(J23,AwardsData[Award ID],0)),"Unlinked"))</f>
        <v>Virginia</v>
      </c>
      <c r="Z23" s="57" t="n">
        <f aca="false">IF(AND(V23=1,OR(Dashboard!$AB$2="All",K23=Dashboard!$AB$2),OR(Dashboard!$AB$3="All",L23=Dashboard!$AB$3),OR(Dashboard!$N$10="All",W23=Dashboard!$N$10)),1,0)</f>
        <v>1</v>
      </c>
      <c r="AA23" s="57" t="n">
        <f aca="false">IF(AND(Z23=1,OR(Dashboard!$B$7="All",S23=Dashboard!$B$7)),1,0)</f>
        <v>0</v>
      </c>
      <c r="AB23" s="57" t="n">
        <f aca="false">IF(AND(V23=1,F23&lt;&gt;0),1,0)</f>
        <v>1</v>
      </c>
      <c r="AC23" s="57" t="n">
        <f aca="false">IF(AND(AA23=1,AB23=1),IF(COUNTIFS($J$17:J23,J23,$AA$17:AA23,1,$AB$17:AB23,1)=1,1,0),0)</f>
        <v>0</v>
      </c>
      <c r="AD23" s="57" t="n">
        <f aca="false">IF(AND(AA23=1,AB23=1),IF(COUNTIFS($K$17:K23,K23,$AA$17:AA23,1,$AB$17:AB23,1)=1,1,0),0)</f>
        <v>0</v>
      </c>
      <c r="AE23" s="57" t="n">
        <f aca="false">IF(AND(Z23=1,AB23=1),IF(COUNTIFS($J$17:J23,J23,$S$17:S23,S23,$Z$17:Z23,1,$AB$17:AB23,1)=1,1,0),0)</f>
        <v>1</v>
      </c>
      <c r="AF23" s="57" t="n">
        <f aca="false">IF(AND(Z23=1,AB23=1),IF(COUNTIFS($K$17:K23,K23,$S$17:S23,S23,$Z$17:Z23,1,$AB$17:AB23,1)=1,1,0),0)</f>
        <v>1</v>
      </c>
      <c r="AG23" s="57" t="n">
        <f aca="false">IF(AND(AA23=1,AB23=1),IF(COUNTIFS($J$17:J23,J23,$L$17:L23,L23,$AA$17:AA23,1,$AB$17:AB23,1)=1,1,0),0)</f>
        <v>0</v>
      </c>
      <c r="AH23" s="57" t="n">
        <f aca="false">IF(AND(AA23=1,AB23=1),IF(COUNTIFS($J$17:J23,J23,$K$17:K23,K23,$AA$17:AA23,1,$AB$17:AB23,1)=1,1,0),0)</f>
        <v>0</v>
      </c>
      <c r="AI23" s="56" t="n">
        <f aca="false">IF(V23=1,MAX(F23,0),0)</f>
        <v>156901.32</v>
      </c>
      <c r="AJ23" s="56" t="n">
        <f aca="false">IF(V23=1,MIN(F23,0),0)</f>
        <v>0</v>
      </c>
    </row>
    <row r="24" customFormat="false" ht="40" hidden="false" customHeight="true" outlineLevel="0" collapsed="false">
      <c r="A24" s="66" t="n">
        <v>44943</v>
      </c>
      <c r="B24" s="54" t="str">
        <f aca="false">IF(M24="","",IF(P24="",M24,HYPERLINK(P24,M24)))</f>
        <v>49100422C0029</v>
      </c>
      <c r="C24" s="54" t="str">
        <f aca="false">IF(N24="","",IF(Q24="",N24,HYPERLINK(Q24,N24)))</f>
        <v>Rei Systems, Inc.</v>
      </c>
      <c r="D24" s="60" t="s">
        <v>158</v>
      </c>
      <c r="E24" s="54" t="str">
        <f aca="false">IF(O24="","",IF(R24="",O24,HYPERLINK(R24,O24)))</f>
        <v>Division of Information Systems</v>
      </c>
      <c r="F24" s="62" t="n">
        <v>300000</v>
      </c>
      <c r="G24" s="61" t="s">
        <v>464</v>
      </c>
      <c r="H24" s="58"/>
      <c r="I24" s="58" t="s">
        <v>472</v>
      </c>
      <c r="J24" s="58" t="s">
        <v>327</v>
      </c>
      <c r="K24" s="58" t="s">
        <v>156</v>
      </c>
      <c r="L24" s="58" t="s">
        <v>197</v>
      </c>
      <c r="M24" s="58" t="s">
        <v>327</v>
      </c>
      <c r="N24" s="58" t="s">
        <v>157</v>
      </c>
      <c r="O24" s="58" t="s">
        <v>198</v>
      </c>
      <c r="P24" s="58" t="s">
        <v>328</v>
      </c>
      <c r="Q24" s="58" t="s">
        <v>159</v>
      </c>
      <c r="R24" s="58" t="s">
        <v>200</v>
      </c>
      <c r="S24" s="57" t="n">
        <f aca="false">IF(ISNUMBER(A24),YEAR(A24)+IF(MONTH(A24)&gt;=10,1,0),"")</f>
        <v>2023</v>
      </c>
      <c r="T24" s="57" t="n">
        <f aca="false">IF(ISNUMBER(A24),INT(MOD(MONTH(A24)-10,12)/3)+1,"")</f>
        <v>2</v>
      </c>
      <c r="U24" s="57" t="str">
        <f aca="false">IF(AND(I24&lt;&gt;"",D24&lt;&gt;"",OR(COUNTIFS(TransactionsData[Vendor ID],K24,TransactionsData[UEI],"&lt;&gt;"&amp;D24,TransactionsData[UEI],"?*")&gt;0,COUNTIFS(VendorGroups[Record ID],K24,VendorGroups[Source UEI],"&lt;&gt;"&amp;D24,VendorGroups[Source UEI],"?*")&gt;0)),"Conflicting vendor UEIs",IF(I24="",IF(COUNTA(A24,D24,F24:R24)&gt;0,"Missing transaction ID",""),IF(COUNTIFS(TransactionsData[Transaction ID],I24)&lt;&gt;1,"Duplicate transaction ID",IF(OR(NOT(ISNUMBER(A24)),A24&lt;1,A24&gt;DATE(2099,1,1)),"Use a valid date",IF(OR(A24&lt;$B$4,A24&gt;$D$4),"Outside coverage",IF(NOT(ISNUMBER(F24)),"Missing or invalid amount",IF(OR(K24="",L24="",N24=""),"Add vendor and office identities",IF(G24="Exclude",IF(OR(F24&lt;&gt;0,H24=""),"Review nonzero or unexplained exclusion",""),IF(G24&lt;&gt;"Include","Choose Include or Exclude",IF(COUNTIFS(AwardsData[Award ID],J24)&lt;&gt;1,"Award link needs review",IF(INDEX(AwardsData[Input check],MATCH(J24,AwardsData[Award ID],0))&lt;&gt;"","Check award inputs","")))))))))))</f>
        <v/>
      </c>
      <c r="V24" s="57" t="n">
        <f aca="false">IF(AND(I24&lt;&gt;"",U24="",G24="Include"),1,0)</f>
        <v>1</v>
      </c>
      <c r="W24" s="57" t="str">
        <f aca="false">IF(I24="","",IF(COUNTIFS(AwardsData[Award ID],J24)=1,INDEX(AwardsData[Current award type],MATCH(J24,AwardsData[Award ID],0)),"Unlinked"))</f>
        <v>Definitive Contract</v>
      </c>
      <c r="X24" s="57" t="str">
        <f aca="false">IF(I24="","",IF(COUNTIFS(AwardsData[Award ID],J24)=1,INDEX(AwardsData[Current set-aside],MATCH(J24,AwardsData[Award ID],0)),"Unlinked"))</f>
        <v>No Set-Aside Used</v>
      </c>
      <c r="Y24" s="57" t="str">
        <f aca="false">IF(I24="","",IF(COUNTIFS(AwardsData[Award ID],J24)=1,INDEX(AwardsData[Performance state],MATCH(J24,AwardsData[Award ID],0)),"Unlinked"))</f>
        <v>Virginia</v>
      </c>
      <c r="Z24" s="57" t="n">
        <f aca="false">IF(AND(V24=1,OR(Dashboard!$AB$2="All",K24=Dashboard!$AB$2),OR(Dashboard!$AB$3="All",L24=Dashboard!$AB$3),OR(Dashboard!$N$10="All",W24=Dashboard!$N$10)),1,0)</f>
        <v>1</v>
      </c>
      <c r="AA24" s="57" t="n">
        <f aca="false">IF(AND(Z24=1,OR(Dashboard!$B$7="All",S24=Dashboard!$B$7)),1,0)</f>
        <v>0</v>
      </c>
      <c r="AB24" s="57" t="n">
        <f aca="false">IF(AND(V24=1,F24&lt;&gt;0),1,0)</f>
        <v>1</v>
      </c>
      <c r="AC24" s="57" t="n">
        <f aca="false">IF(AND(AA24=1,AB24=1),IF(COUNTIFS($J$17:J24,J24,$AA$17:AA24,1,$AB$17:AB24,1)=1,1,0),0)</f>
        <v>0</v>
      </c>
      <c r="AD24" s="57" t="n">
        <f aca="false">IF(AND(AA24=1,AB24=1),IF(COUNTIFS($K$17:K24,K24,$AA$17:AA24,1,$AB$17:AB24,1)=1,1,0),0)</f>
        <v>0</v>
      </c>
      <c r="AE24" s="57" t="n">
        <f aca="false">IF(AND(Z24=1,AB24=1),IF(COUNTIFS($J$17:J24,J24,$S$17:S24,S24,$Z$17:Z24,1,$AB$17:AB24,1)=1,1,0),0)</f>
        <v>0</v>
      </c>
      <c r="AF24" s="57" t="n">
        <f aca="false">IF(AND(Z24=1,AB24=1),IF(COUNTIFS($K$17:K24,K24,$S$17:S24,S24,$Z$17:Z24,1,$AB$17:AB24,1)=1,1,0),0)</f>
        <v>0</v>
      </c>
      <c r="AG24" s="57" t="n">
        <f aca="false">IF(AND(AA24=1,AB24=1),IF(COUNTIFS($J$17:J24,J24,$L$17:L24,L24,$AA$17:AA24,1,$AB$17:AB24,1)=1,1,0),0)</f>
        <v>0</v>
      </c>
      <c r="AH24" s="57" t="n">
        <f aca="false">IF(AND(AA24=1,AB24=1),IF(COUNTIFS($J$17:J24,J24,$K$17:K24,K24,$AA$17:AA24,1,$AB$17:AB24,1)=1,1,0),0)</f>
        <v>0</v>
      </c>
      <c r="AI24" s="56" t="n">
        <f aca="false">IF(V24=1,MAX(F24,0),0)</f>
        <v>300000</v>
      </c>
      <c r="AJ24" s="56" t="n">
        <f aca="false">IF(V24=1,MIN(F24,0),0)</f>
        <v>0</v>
      </c>
    </row>
    <row r="25" customFormat="false" ht="40" hidden="false" customHeight="true" outlineLevel="0" collapsed="false">
      <c r="A25" s="66" t="n">
        <v>44972</v>
      </c>
      <c r="B25" s="54" t="str">
        <f aca="false">IF(M25="","",IF(P25="",M25,HYPERLINK(P25,M25)))</f>
        <v>49100422A0002-49100423F0008</v>
      </c>
      <c r="C25" s="54" t="str">
        <f aca="false">IF(N25="","",IF(Q25="",N25,HYPERLINK(Q25,N25)))</f>
        <v>Directviz Solutions, LLC</v>
      </c>
      <c r="D25" s="60" t="s">
        <v>123</v>
      </c>
      <c r="E25" s="54" t="str">
        <f aca="false">IF(O25="","",IF(R25="",O25,HYPERLINK(R25,O25)))</f>
        <v>Division of Information Systems</v>
      </c>
      <c r="F25" s="62" t="n">
        <v>5857141.13</v>
      </c>
      <c r="G25" s="61" t="s">
        <v>464</v>
      </c>
      <c r="H25" s="58"/>
      <c r="I25" s="58" t="s">
        <v>473</v>
      </c>
      <c r="J25" s="58" t="s">
        <v>301</v>
      </c>
      <c r="K25" s="58" t="s">
        <v>121</v>
      </c>
      <c r="L25" s="58" t="s">
        <v>197</v>
      </c>
      <c r="M25" s="58" t="s">
        <v>302</v>
      </c>
      <c r="N25" s="58" t="s">
        <v>122</v>
      </c>
      <c r="O25" s="58" t="s">
        <v>198</v>
      </c>
      <c r="P25" s="58" t="s">
        <v>303</v>
      </c>
      <c r="Q25" s="58" t="s">
        <v>124</v>
      </c>
      <c r="R25" s="58" t="s">
        <v>200</v>
      </c>
      <c r="S25" s="57" t="n">
        <f aca="false">IF(ISNUMBER(A25),YEAR(A25)+IF(MONTH(A25)&gt;=10,1,0),"")</f>
        <v>2023</v>
      </c>
      <c r="T25" s="57" t="n">
        <f aca="false">IF(ISNUMBER(A25),INT(MOD(MONTH(A25)-10,12)/3)+1,"")</f>
        <v>2</v>
      </c>
      <c r="U25" s="57" t="str">
        <f aca="false">IF(AND(I25&lt;&gt;"",D25&lt;&gt;"",OR(COUNTIFS(TransactionsData[Vendor ID],K25,TransactionsData[UEI],"&lt;&gt;"&amp;D25,TransactionsData[UEI],"?*")&gt;0,COUNTIFS(VendorGroups[Record ID],K25,VendorGroups[Source UEI],"&lt;&gt;"&amp;D25,VendorGroups[Source UEI],"?*")&gt;0)),"Conflicting vendor UEIs",IF(I25="",IF(COUNTA(A25,D25,F25:R25)&gt;0,"Missing transaction ID",""),IF(COUNTIFS(TransactionsData[Transaction ID],I25)&lt;&gt;1,"Duplicate transaction ID",IF(OR(NOT(ISNUMBER(A25)),A25&lt;1,A25&gt;DATE(2099,1,1)),"Use a valid date",IF(OR(A25&lt;$B$4,A25&gt;$D$4),"Outside coverage",IF(NOT(ISNUMBER(F25)),"Missing or invalid amount",IF(OR(K25="",L25="",N25=""),"Add vendor and office identities",IF(G25="Exclude",IF(OR(F25&lt;&gt;0,H25=""),"Review nonzero or unexplained exclusion",""),IF(G25&lt;&gt;"Include","Choose Include or Exclude",IF(COUNTIFS(AwardsData[Award ID],J25)&lt;&gt;1,"Award link needs review",IF(INDEX(AwardsData[Input check],MATCH(J25,AwardsData[Award ID],0))&lt;&gt;"","Check award inputs","")))))))))))</f>
        <v/>
      </c>
      <c r="V25" s="57" t="n">
        <f aca="false">IF(AND(I25&lt;&gt;"",U25="",G25="Include"),1,0)</f>
        <v>1</v>
      </c>
      <c r="W25" s="57" t="str">
        <f aca="false">IF(I25="","",IF(COUNTIFS(AwardsData[Award ID],J25)=1,INDEX(AwardsData[Current award type],MATCH(J25,AwardsData[Award ID],0)),"Unlinked"))</f>
        <v>BPA Call</v>
      </c>
      <c r="X25" s="57" t="str">
        <f aca="false">IF(I25="","",IF(COUNTIFS(AwardsData[Award ID],J25)=1,INDEX(AwardsData[Current set-aside],MATCH(J25,AwardsData[Award ID],0)),"Unlinked"))</f>
        <v>No Set-Aside Used</v>
      </c>
      <c r="Y25" s="57" t="str">
        <f aca="false">IF(I25="","",IF(COUNTIFS(AwardsData[Award ID],J25)=1,INDEX(AwardsData[Performance state],MATCH(J25,AwardsData[Award ID],0)),"Unlinked"))</f>
        <v>Virginia</v>
      </c>
      <c r="Z25" s="57" t="n">
        <f aca="false">IF(AND(V25=1,OR(Dashboard!$AB$2="All",K25=Dashboard!$AB$2),OR(Dashboard!$AB$3="All",L25=Dashboard!$AB$3),OR(Dashboard!$N$10="All",W25=Dashboard!$N$10)),1,0)</f>
        <v>1</v>
      </c>
      <c r="AA25" s="57" t="n">
        <f aca="false">IF(AND(Z25=1,OR(Dashboard!$B$7="All",S25=Dashboard!$B$7)),1,0)</f>
        <v>0</v>
      </c>
      <c r="AB25" s="57" t="n">
        <f aca="false">IF(AND(V25=1,F25&lt;&gt;0),1,0)</f>
        <v>1</v>
      </c>
      <c r="AC25" s="57" t="n">
        <f aca="false">IF(AND(AA25=1,AB25=1),IF(COUNTIFS($J$17:J25,J25,$AA$17:AA25,1,$AB$17:AB25,1)=1,1,0),0)</f>
        <v>0</v>
      </c>
      <c r="AD25" s="57" t="n">
        <f aca="false">IF(AND(AA25=1,AB25=1),IF(COUNTIFS($K$17:K25,K25,$AA$17:AA25,1,$AB$17:AB25,1)=1,1,0),0)</f>
        <v>0</v>
      </c>
      <c r="AE25" s="57" t="n">
        <f aca="false">IF(AND(Z25=1,AB25=1),IF(COUNTIFS($J$17:J25,J25,$S$17:S25,S25,$Z$17:Z25,1,$AB$17:AB25,1)=1,1,0),0)</f>
        <v>0</v>
      </c>
      <c r="AF25" s="57" t="n">
        <f aca="false">IF(AND(Z25=1,AB25=1),IF(COUNTIFS($K$17:K25,K25,$S$17:S25,S25,$Z$17:Z25,1,$AB$17:AB25,1)=1,1,0),0)</f>
        <v>0</v>
      </c>
      <c r="AG25" s="57" t="n">
        <f aca="false">IF(AND(AA25=1,AB25=1),IF(COUNTIFS($J$17:J25,J25,$L$17:L25,L25,$AA$17:AA25,1,$AB$17:AB25,1)=1,1,0),0)</f>
        <v>0</v>
      </c>
      <c r="AH25" s="57" t="n">
        <f aca="false">IF(AND(AA25=1,AB25=1),IF(COUNTIFS($J$17:J25,J25,$K$17:K25,K25,$AA$17:AA25,1,$AB$17:AB25,1)=1,1,0),0)</f>
        <v>0</v>
      </c>
      <c r="AI25" s="56" t="n">
        <f aca="false">IF(V25=1,MAX(F25,0),0)</f>
        <v>5857141.13</v>
      </c>
      <c r="AJ25" s="56" t="n">
        <f aca="false">IF(V25=1,MIN(F25,0),0)</f>
        <v>0</v>
      </c>
    </row>
    <row r="26" customFormat="false" ht="40" hidden="false" customHeight="true" outlineLevel="0" collapsed="false">
      <c r="A26" s="66" t="n">
        <v>44974</v>
      </c>
      <c r="B26" s="54" t="str">
        <f aca="false">IF(M26="","",IF(P26="",M26,HYPERLINK(P26,M26)))</f>
        <v>49100422A0002-49100423F0032</v>
      </c>
      <c r="C26" s="54" t="str">
        <f aca="false">IF(N26="","",IF(Q26="",N26,HYPERLINK(Q26,N26)))</f>
        <v>Directviz Solutions, LLC</v>
      </c>
      <c r="D26" s="60" t="s">
        <v>123</v>
      </c>
      <c r="E26" s="54" t="str">
        <f aca="false">IF(O26="","",IF(R26="",O26,HYPERLINK(R26,O26)))</f>
        <v>Division of Information Systems</v>
      </c>
      <c r="F26" s="62" t="n">
        <v>1634418</v>
      </c>
      <c r="G26" s="61" t="s">
        <v>464</v>
      </c>
      <c r="H26" s="58"/>
      <c r="I26" s="58" t="s">
        <v>474</v>
      </c>
      <c r="J26" s="58" t="s">
        <v>304</v>
      </c>
      <c r="K26" s="58" t="s">
        <v>121</v>
      </c>
      <c r="L26" s="58" t="s">
        <v>197</v>
      </c>
      <c r="M26" s="58" t="s">
        <v>305</v>
      </c>
      <c r="N26" s="58" t="s">
        <v>122</v>
      </c>
      <c r="O26" s="58" t="s">
        <v>198</v>
      </c>
      <c r="P26" s="58" t="s">
        <v>306</v>
      </c>
      <c r="Q26" s="58" t="s">
        <v>124</v>
      </c>
      <c r="R26" s="58" t="s">
        <v>200</v>
      </c>
      <c r="S26" s="57" t="n">
        <f aca="false">IF(ISNUMBER(A26),YEAR(A26)+IF(MONTH(A26)&gt;=10,1,0),"")</f>
        <v>2023</v>
      </c>
      <c r="T26" s="57" t="n">
        <f aca="false">IF(ISNUMBER(A26),INT(MOD(MONTH(A26)-10,12)/3)+1,"")</f>
        <v>2</v>
      </c>
      <c r="U26" s="57" t="str">
        <f aca="false">IF(AND(I26&lt;&gt;"",D26&lt;&gt;"",OR(COUNTIFS(TransactionsData[Vendor ID],K26,TransactionsData[UEI],"&lt;&gt;"&amp;D26,TransactionsData[UEI],"?*")&gt;0,COUNTIFS(VendorGroups[Record ID],K26,VendorGroups[Source UEI],"&lt;&gt;"&amp;D26,VendorGroups[Source UEI],"?*")&gt;0)),"Conflicting vendor UEIs",IF(I26="",IF(COUNTA(A26,D26,F26:R26)&gt;0,"Missing transaction ID",""),IF(COUNTIFS(TransactionsData[Transaction ID],I26)&lt;&gt;1,"Duplicate transaction ID",IF(OR(NOT(ISNUMBER(A26)),A26&lt;1,A26&gt;DATE(2099,1,1)),"Use a valid date",IF(OR(A26&lt;$B$4,A26&gt;$D$4),"Outside coverage",IF(NOT(ISNUMBER(F26)),"Missing or invalid amount",IF(OR(K26="",L26="",N26=""),"Add vendor and office identities",IF(G26="Exclude",IF(OR(F26&lt;&gt;0,H26=""),"Review nonzero or unexplained exclusion",""),IF(G26&lt;&gt;"Include","Choose Include or Exclude",IF(COUNTIFS(AwardsData[Award ID],J26)&lt;&gt;1,"Award link needs review",IF(INDEX(AwardsData[Input check],MATCH(J26,AwardsData[Award ID],0))&lt;&gt;"","Check award inputs","")))))))))))</f>
        <v/>
      </c>
      <c r="V26" s="57" t="n">
        <f aca="false">IF(AND(I26&lt;&gt;"",U26="",G26="Include"),1,0)</f>
        <v>1</v>
      </c>
      <c r="W26" s="57" t="str">
        <f aca="false">IF(I26="","",IF(COUNTIFS(AwardsData[Award ID],J26)=1,INDEX(AwardsData[Current award type],MATCH(J26,AwardsData[Award ID],0)),"Unlinked"))</f>
        <v>BPA Call</v>
      </c>
      <c r="X26" s="57" t="str">
        <f aca="false">IF(I26="","",IF(COUNTIFS(AwardsData[Award ID],J26)=1,INDEX(AwardsData[Current set-aside],MATCH(J26,AwardsData[Award ID],0)),"Unlinked"))</f>
        <v>No Set-Aside Used</v>
      </c>
      <c r="Y26" s="57" t="str">
        <f aca="false">IF(I26="","",IF(COUNTIFS(AwardsData[Award ID],J26)=1,INDEX(AwardsData[Performance state],MATCH(J26,AwardsData[Award ID],0)),"Unlinked"))</f>
        <v>Virginia</v>
      </c>
      <c r="Z26" s="57" t="n">
        <f aca="false">IF(AND(V26=1,OR(Dashboard!$AB$2="All",K26=Dashboard!$AB$2),OR(Dashboard!$AB$3="All",L26=Dashboard!$AB$3),OR(Dashboard!$N$10="All",W26=Dashboard!$N$10)),1,0)</f>
        <v>1</v>
      </c>
      <c r="AA26" s="57" t="n">
        <f aca="false">IF(AND(Z26=1,OR(Dashboard!$B$7="All",S26=Dashboard!$B$7)),1,0)</f>
        <v>0</v>
      </c>
      <c r="AB26" s="57" t="n">
        <f aca="false">IF(AND(V26=1,F26&lt;&gt;0),1,0)</f>
        <v>1</v>
      </c>
      <c r="AC26" s="57" t="n">
        <f aca="false">IF(AND(AA26=1,AB26=1),IF(COUNTIFS($J$17:J26,J26,$AA$17:AA26,1,$AB$17:AB26,1)=1,1,0),0)</f>
        <v>0</v>
      </c>
      <c r="AD26" s="57" t="n">
        <f aca="false">IF(AND(AA26=1,AB26=1),IF(COUNTIFS($K$17:K26,K26,$AA$17:AA26,1,$AB$17:AB26,1)=1,1,0),0)</f>
        <v>0</v>
      </c>
      <c r="AE26" s="57" t="n">
        <f aca="false">IF(AND(Z26=1,AB26=1),IF(COUNTIFS($J$17:J26,J26,$S$17:S26,S26,$Z$17:Z26,1,$AB$17:AB26,1)=1,1,0),0)</f>
        <v>1</v>
      </c>
      <c r="AF26" s="57" t="n">
        <f aca="false">IF(AND(Z26=1,AB26=1),IF(COUNTIFS($K$17:K26,K26,$S$17:S26,S26,$Z$17:Z26,1,$AB$17:AB26,1)=1,1,0),0)</f>
        <v>0</v>
      </c>
      <c r="AG26" s="57" t="n">
        <f aca="false">IF(AND(AA26=1,AB26=1),IF(COUNTIFS($J$17:J26,J26,$L$17:L26,L26,$AA$17:AA26,1,$AB$17:AB26,1)=1,1,0),0)</f>
        <v>0</v>
      </c>
      <c r="AH26" s="57" t="n">
        <f aca="false">IF(AND(AA26=1,AB26=1),IF(COUNTIFS($J$17:J26,J26,$K$17:K26,K26,$AA$17:AA26,1,$AB$17:AB26,1)=1,1,0),0)</f>
        <v>0</v>
      </c>
      <c r="AI26" s="56" t="n">
        <f aca="false">IF(V26=1,MAX(F26,0),0)</f>
        <v>1634418</v>
      </c>
      <c r="AJ26" s="56" t="n">
        <f aca="false">IF(V26=1,MIN(F26,0),0)</f>
        <v>0</v>
      </c>
    </row>
    <row r="27" customFormat="false" ht="40" hidden="false" customHeight="true" outlineLevel="0" collapsed="false">
      <c r="A27" s="66" t="n">
        <v>44984</v>
      </c>
      <c r="B27" s="54" t="str">
        <f aca="false">IF(M27="","",IF(P27="",M27,HYPERLINK(P27,M27)))</f>
        <v>49100422A0002-49100423F0032</v>
      </c>
      <c r="C27" s="54" t="str">
        <f aca="false">IF(N27="","",IF(Q27="",N27,HYPERLINK(Q27,N27)))</f>
        <v>Directviz Solutions, LLC</v>
      </c>
      <c r="D27" s="60" t="s">
        <v>123</v>
      </c>
      <c r="E27" s="54" t="str">
        <f aca="false">IF(O27="","",IF(R27="",O27,HYPERLINK(R27,O27)))</f>
        <v>Division of Information Systems</v>
      </c>
      <c r="F27" s="62" t="n">
        <v>155233.8</v>
      </c>
      <c r="G27" s="61" t="s">
        <v>464</v>
      </c>
      <c r="H27" s="58"/>
      <c r="I27" s="58" t="s">
        <v>475</v>
      </c>
      <c r="J27" s="58" t="s">
        <v>304</v>
      </c>
      <c r="K27" s="58" t="s">
        <v>121</v>
      </c>
      <c r="L27" s="58" t="s">
        <v>197</v>
      </c>
      <c r="M27" s="58" t="s">
        <v>305</v>
      </c>
      <c r="N27" s="58" t="s">
        <v>122</v>
      </c>
      <c r="O27" s="58" t="s">
        <v>198</v>
      </c>
      <c r="P27" s="58" t="s">
        <v>306</v>
      </c>
      <c r="Q27" s="58" t="s">
        <v>124</v>
      </c>
      <c r="R27" s="58" t="s">
        <v>200</v>
      </c>
      <c r="S27" s="57" t="n">
        <f aca="false">IF(ISNUMBER(A27),YEAR(A27)+IF(MONTH(A27)&gt;=10,1,0),"")</f>
        <v>2023</v>
      </c>
      <c r="T27" s="57" t="n">
        <f aca="false">IF(ISNUMBER(A27),INT(MOD(MONTH(A27)-10,12)/3)+1,"")</f>
        <v>2</v>
      </c>
      <c r="U27" s="57" t="str">
        <f aca="false">IF(AND(I27&lt;&gt;"",D27&lt;&gt;"",OR(COUNTIFS(TransactionsData[Vendor ID],K27,TransactionsData[UEI],"&lt;&gt;"&amp;D27,TransactionsData[UEI],"?*")&gt;0,COUNTIFS(VendorGroups[Record ID],K27,VendorGroups[Source UEI],"&lt;&gt;"&amp;D27,VendorGroups[Source UEI],"?*")&gt;0)),"Conflicting vendor UEIs",IF(I27="",IF(COUNTA(A27,D27,F27:R27)&gt;0,"Missing transaction ID",""),IF(COUNTIFS(TransactionsData[Transaction ID],I27)&lt;&gt;1,"Duplicate transaction ID",IF(OR(NOT(ISNUMBER(A27)),A27&lt;1,A27&gt;DATE(2099,1,1)),"Use a valid date",IF(OR(A27&lt;$B$4,A27&gt;$D$4),"Outside coverage",IF(NOT(ISNUMBER(F27)),"Missing or invalid amount",IF(OR(K27="",L27="",N27=""),"Add vendor and office identities",IF(G27="Exclude",IF(OR(F27&lt;&gt;0,H27=""),"Review nonzero or unexplained exclusion",""),IF(G27&lt;&gt;"Include","Choose Include or Exclude",IF(COUNTIFS(AwardsData[Award ID],J27)&lt;&gt;1,"Award link needs review",IF(INDEX(AwardsData[Input check],MATCH(J27,AwardsData[Award ID],0))&lt;&gt;"","Check award inputs","")))))))))))</f>
        <v/>
      </c>
      <c r="V27" s="57" t="n">
        <f aca="false">IF(AND(I27&lt;&gt;"",U27="",G27="Include"),1,0)</f>
        <v>1</v>
      </c>
      <c r="W27" s="57" t="str">
        <f aca="false">IF(I27="","",IF(COUNTIFS(AwardsData[Award ID],J27)=1,INDEX(AwardsData[Current award type],MATCH(J27,AwardsData[Award ID],0)),"Unlinked"))</f>
        <v>BPA Call</v>
      </c>
      <c r="X27" s="57" t="str">
        <f aca="false">IF(I27="","",IF(COUNTIFS(AwardsData[Award ID],J27)=1,INDEX(AwardsData[Current set-aside],MATCH(J27,AwardsData[Award ID],0)),"Unlinked"))</f>
        <v>No Set-Aside Used</v>
      </c>
      <c r="Y27" s="57" t="str">
        <f aca="false">IF(I27="","",IF(COUNTIFS(AwardsData[Award ID],J27)=1,INDEX(AwardsData[Performance state],MATCH(J27,AwardsData[Award ID],0)),"Unlinked"))</f>
        <v>Virginia</v>
      </c>
      <c r="Z27" s="57" t="n">
        <f aca="false">IF(AND(V27=1,OR(Dashboard!$AB$2="All",K27=Dashboard!$AB$2),OR(Dashboard!$AB$3="All",L27=Dashboard!$AB$3),OR(Dashboard!$N$10="All",W27=Dashboard!$N$10)),1,0)</f>
        <v>1</v>
      </c>
      <c r="AA27" s="57" t="n">
        <f aca="false">IF(AND(Z27=1,OR(Dashboard!$B$7="All",S27=Dashboard!$B$7)),1,0)</f>
        <v>0</v>
      </c>
      <c r="AB27" s="57" t="n">
        <f aca="false">IF(AND(V27=1,F27&lt;&gt;0),1,0)</f>
        <v>1</v>
      </c>
      <c r="AC27" s="57" t="n">
        <f aca="false">IF(AND(AA27=1,AB27=1),IF(COUNTIFS($J$17:J27,J27,$AA$17:AA27,1,$AB$17:AB27,1)=1,1,0),0)</f>
        <v>0</v>
      </c>
      <c r="AD27" s="57" t="n">
        <f aca="false">IF(AND(AA27=1,AB27=1),IF(COUNTIFS($K$17:K27,K27,$AA$17:AA27,1,$AB$17:AB27,1)=1,1,0),0)</f>
        <v>0</v>
      </c>
      <c r="AE27" s="57" t="n">
        <f aca="false">IF(AND(Z27=1,AB27=1),IF(COUNTIFS($J$17:J27,J27,$S$17:S27,S27,$Z$17:Z27,1,$AB$17:AB27,1)=1,1,0),0)</f>
        <v>0</v>
      </c>
      <c r="AF27" s="57" t="n">
        <f aca="false">IF(AND(Z27=1,AB27=1),IF(COUNTIFS($K$17:K27,K27,$S$17:S27,S27,$Z$17:Z27,1,$AB$17:AB27,1)=1,1,0),0)</f>
        <v>0</v>
      </c>
      <c r="AG27" s="57" t="n">
        <f aca="false">IF(AND(AA27=1,AB27=1),IF(COUNTIFS($J$17:J27,J27,$L$17:L27,L27,$AA$17:AA27,1,$AB$17:AB27,1)=1,1,0),0)</f>
        <v>0</v>
      </c>
      <c r="AH27" s="57" t="n">
        <f aca="false">IF(AND(AA27=1,AB27=1),IF(COUNTIFS($J$17:J27,J27,$K$17:K27,K27,$AA$17:AA27,1,$AB$17:AB27,1)=1,1,0),0)</f>
        <v>0</v>
      </c>
      <c r="AI27" s="56" t="n">
        <f aca="false">IF(V27=1,MAX(F27,0),0)</f>
        <v>155233.8</v>
      </c>
      <c r="AJ27" s="56" t="n">
        <f aca="false">IF(V27=1,MIN(F27,0),0)</f>
        <v>0</v>
      </c>
    </row>
    <row r="28" customFormat="false" ht="40" hidden="false" customHeight="true" outlineLevel="0" collapsed="false">
      <c r="A28" s="66" t="n">
        <v>45014</v>
      </c>
      <c r="B28" s="54" t="str">
        <f aca="false">IF(M28="","",IF(P28="",M28,HYPERLINK(P28,M28)))</f>
        <v>GS35F337BA-49100421F0078</v>
      </c>
      <c r="C28" s="54" t="str">
        <f aca="false">IF(N28="","",IF(Q28="",N28,HYPERLINK(Q28,N28)))</f>
        <v>Civicactions, Inc.</v>
      </c>
      <c r="D28" s="60" t="s">
        <v>115</v>
      </c>
      <c r="E28" s="54" t="str">
        <f aca="false">IF(O28="","",IF(R28="",O28,HYPERLINK(R28,O28)))</f>
        <v>Division of Information Systems</v>
      </c>
      <c r="F28" s="62" t="n">
        <v>1114576.8</v>
      </c>
      <c r="G28" s="61" t="s">
        <v>464</v>
      </c>
      <c r="H28" s="58"/>
      <c r="I28" s="58" t="s">
        <v>476</v>
      </c>
      <c r="J28" s="58" t="s">
        <v>414</v>
      </c>
      <c r="K28" s="58" t="s">
        <v>113</v>
      </c>
      <c r="L28" s="58" t="s">
        <v>197</v>
      </c>
      <c r="M28" s="58" t="s">
        <v>415</v>
      </c>
      <c r="N28" s="58" t="s">
        <v>114</v>
      </c>
      <c r="O28" s="58" t="s">
        <v>198</v>
      </c>
      <c r="P28" s="58" t="s">
        <v>416</v>
      </c>
      <c r="Q28" s="58" t="s">
        <v>116</v>
      </c>
      <c r="R28" s="58" t="s">
        <v>200</v>
      </c>
      <c r="S28" s="57" t="n">
        <f aca="false">IF(ISNUMBER(A28),YEAR(A28)+IF(MONTH(A28)&gt;=10,1,0),"")</f>
        <v>2023</v>
      </c>
      <c r="T28" s="57" t="n">
        <f aca="false">IF(ISNUMBER(A28),INT(MOD(MONTH(A28)-10,12)/3)+1,"")</f>
        <v>2</v>
      </c>
      <c r="U28" s="57" t="str">
        <f aca="false">IF(AND(I28&lt;&gt;"",D28&lt;&gt;"",OR(COUNTIFS(TransactionsData[Vendor ID],K28,TransactionsData[UEI],"&lt;&gt;"&amp;D28,TransactionsData[UEI],"?*")&gt;0,COUNTIFS(VendorGroups[Record ID],K28,VendorGroups[Source UEI],"&lt;&gt;"&amp;D28,VendorGroups[Source UEI],"?*")&gt;0)),"Conflicting vendor UEIs",IF(I28="",IF(COUNTA(A28,D28,F28:R28)&gt;0,"Missing transaction ID",""),IF(COUNTIFS(TransactionsData[Transaction ID],I28)&lt;&gt;1,"Duplicate transaction ID",IF(OR(NOT(ISNUMBER(A28)),A28&lt;1,A28&gt;DATE(2099,1,1)),"Use a valid date",IF(OR(A28&lt;$B$4,A28&gt;$D$4),"Outside coverage",IF(NOT(ISNUMBER(F28)),"Missing or invalid amount",IF(OR(K28="",L28="",N28=""),"Add vendor and office identities",IF(G28="Exclude",IF(OR(F28&lt;&gt;0,H28=""),"Review nonzero or unexplained exclusion",""),IF(G28&lt;&gt;"Include","Choose Include or Exclude",IF(COUNTIFS(AwardsData[Award ID],J28)&lt;&gt;1,"Award link needs review",IF(INDEX(AwardsData[Input check],MATCH(J28,AwardsData[Award ID],0))&lt;&gt;"","Check award inputs","")))))))))))</f>
        <v/>
      </c>
      <c r="V28" s="57" t="n">
        <f aca="false">IF(AND(I28&lt;&gt;"",U28="",G28="Include"),1,0)</f>
        <v>1</v>
      </c>
      <c r="W28" s="57" t="str">
        <f aca="false">IF(I28="","",IF(COUNTIFS(AwardsData[Award ID],J28)=1,INDEX(AwardsData[Current award type],MATCH(J28,AwardsData[Award ID],0)),"Unlinked"))</f>
        <v>Delivery Order</v>
      </c>
      <c r="X28" s="57" t="str">
        <f aca="false">IF(I28="","",IF(COUNTIFS(AwardsData[Award ID],J28)=1,INDEX(AwardsData[Current set-aside],MATCH(J28,AwardsData[Award ID],0)),"Unlinked"))</f>
        <v>Total Small Business</v>
      </c>
      <c r="Y28" s="57" t="str">
        <f aca="false">IF(I28="","",IF(COUNTIFS(AwardsData[Award ID],J28)=1,INDEX(AwardsData[Performance state],MATCH(J28,AwardsData[Award ID],0)),"Unlinked"))</f>
        <v>California</v>
      </c>
      <c r="Z28" s="57" t="n">
        <f aca="false">IF(AND(V28=1,OR(Dashboard!$AB$2="All",K28=Dashboard!$AB$2),OR(Dashboard!$AB$3="All",L28=Dashboard!$AB$3),OR(Dashboard!$N$10="All",W28=Dashboard!$N$10)),1,0)</f>
        <v>1</v>
      </c>
      <c r="AA28" s="57" t="n">
        <f aca="false">IF(AND(Z28=1,OR(Dashboard!$B$7="All",S28=Dashboard!$B$7)),1,0)</f>
        <v>0</v>
      </c>
      <c r="AB28" s="57" t="n">
        <f aca="false">IF(AND(V28=1,F28&lt;&gt;0),1,0)</f>
        <v>1</v>
      </c>
      <c r="AC28" s="57" t="n">
        <f aca="false">IF(AND(AA28=1,AB28=1),IF(COUNTIFS($J$17:J28,J28,$AA$17:AA28,1,$AB$17:AB28,1)=1,1,0),0)</f>
        <v>0</v>
      </c>
      <c r="AD28" s="57" t="n">
        <f aca="false">IF(AND(AA28=1,AB28=1),IF(COUNTIFS($K$17:K28,K28,$AA$17:AA28,1,$AB$17:AB28,1)=1,1,0),0)</f>
        <v>0</v>
      </c>
      <c r="AE28" s="57" t="n">
        <f aca="false">IF(AND(Z28=1,AB28=1),IF(COUNTIFS($J$17:J28,J28,$S$17:S28,S28,$Z$17:Z28,1,$AB$17:AB28,1)=1,1,0),0)</f>
        <v>0</v>
      </c>
      <c r="AF28" s="57" t="n">
        <f aca="false">IF(AND(Z28=1,AB28=1),IF(COUNTIFS($K$17:K28,K28,$S$17:S28,S28,$Z$17:Z28,1,$AB$17:AB28,1)=1,1,0),0)</f>
        <v>0</v>
      </c>
      <c r="AG28" s="57" t="n">
        <f aca="false">IF(AND(AA28=1,AB28=1),IF(COUNTIFS($J$17:J28,J28,$L$17:L28,L28,$AA$17:AA28,1,$AB$17:AB28,1)=1,1,0),0)</f>
        <v>0</v>
      </c>
      <c r="AH28" s="57" t="n">
        <f aca="false">IF(AND(AA28=1,AB28=1),IF(COUNTIFS($J$17:J28,J28,$K$17:K28,K28,$AA$17:AA28,1,$AB$17:AB28,1)=1,1,0),0)</f>
        <v>0</v>
      </c>
      <c r="AI28" s="56" t="n">
        <f aca="false">IF(V28=1,MAX(F28,0),0)</f>
        <v>1114576.8</v>
      </c>
      <c r="AJ28" s="56" t="n">
        <f aca="false">IF(V28=1,MIN(F28,0),0)</f>
        <v>0</v>
      </c>
    </row>
    <row r="29" customFormat="false" ht="40" hidden="false" customHeight="true" outlineLevel="0" collapsed="false">
      <c r="A29" s="66" t="n">
        <v>45022</v>
      </c>
      <c r="B29" s="54" t="str">
        <f aca="false">IF(M29="","",IF(P29="",M29,HYPERLINK(P29,M29)))</f>
        <v>47QTCB21D0005-49100423F0061</v>
      </c>
      <c r="C29" s="54" t="str">
        <f aca="false">IF(N29="","",IF(Q29="",N29,HYPERLINK(Q29,N29)))</f>
        <v>GBS Dakota IT, LLC</v>
      </c>
      <c r="D29" s="60" t="s">
        <v>135</v>
      </c>
      <c r="E29" s="54" t="str">
        <f aca="false">IF(O29="","",IF(R29="",O29,HYPERLINK(R29,O29)))</f>
        <v>NSF — office not specified</v>
      </c>
      <c r="F29" s="62" t="n">
        <v>498592.8</v>
      </c>
      <c r="G29" s="61" t="s">
        <v>464</v>
      </c>
      <c r="H29" s="58"/>
      <c r="I29" s="58" t="s">
        <v>477</v>
      </c>
      <c r="J29" s="58" t="s">
        <v>279</v>
      </c>
      <c r="K29" s="58" t="s">
        <v>133</v>
      </c>
      <c r="L29" s="58" t="s">
        <v>213</v>
      </c>
      <c r="M29" s="58" t="s">
        <v>280</v>
      </c>
      <c r="N29" s="58" t="s">
        <v>134</v>
      </c>
      <c r="O29" s="58" t="s">
        <v>214</v>
      </c>
      <c r="P29" s="58" t="s">
        <v>281</v>
      </c>
      <c r="Q29" s="58" t="s">
        <v>136</v>
      </c>
      <c r="R29" s="58" t="s">
        <v>215</v>
      </c>
      <c r="S29" s="57" t="n">
        <f aca="false">IF(ISNUMBER(A29),YEAR(A29)+IF(MONTH(A29)&gt;=10,1,0),"")</f>
        <v>2023</v>
      </c>
      <c r="T29" s="57" t="n">
        <f aca="false">IF(ISNUMBER(A29),INT(MOD(MONTH(A29)-10,12)/3)+1,"")</f>
        <v>3</v>
      </c>
      <c r="U29" s="57" t="str">
        <f aca="false">IF(AND(I29&lt;&gt;"",D29&lt;&gt;"",OR(COUNTIFS(TransactionsData[Vendor ID],K29,TransactionsData[UEI],"&lt;&gt;"&amp;D29,TransactionsData[UEI],"?*")&gt;0,COUNTIFS(VendorGroups[Record ID],K29,VendorGroups[Source UEI],"&lt;&gt;"&amp;D29,VendorGroups[Source UEI],"?*")&gt;0)),"Conflicting vendor UEIs",IF(I29="",IF(COUNTA(A29,D29,F29:R29)&gt;0,"Missing transaction ID",""),IF(COUNTIFS(TransactionsData[Transaction ID],I29)&lt;&gt;1,"Duplicate transaction ID",IF(OR(NOT(ISNUMBER(A29)),A29&lt;1,A29&gt;DATE(2099,1,1)),"Use a valid date",IF(OR(A29&lt;$B$4,A29&gt;$D$4),"Outside coverage",IF(NOT(ISNUMBER(F29)),"Missing or invalid amount",IF(OR(K29="",L29="",N29=""),"Add vendor and office identities",IF(G29="Exclude",IF(OR(F29&lt;&gt;0,H29=""),"Review nonzero or unexplained exclusion",""),IF(G29&lt;&gt;"Include","Choose Include or Exclude",IF(COUNTIFS(AwardsData[Award ID],J29)&lt;&gt;1,"Award link needs review",IF(INDEX(AwardsData[Input check],MATCH(J29,AwardsData[Award ID],0))&lt;&gt;"","Check award inputs","")))))))))))</f>
        <v/>
      </c>
      <c r="V29" s="57" t="n">
        <f aca="false">IF(AND(I29&lt;&gt;"",U29="",G29="Include"),1,0)</f>
        <v>1</v>
      </c>
      <c r="W29" s="57" t="str">
        <f aca="false">IF(I29="","",IF(COUNTIFS(AwardsData[Award ID],J29)=1,INDEX(AwardsData[Current award type],MATCH(J29,AwardsData[Award ID],0)),"Unlinked"))</f>
        <v>Delivery Order</v>
      </c>
      <c r="X29" s="57" t="str">
        <f aca="false">IF(I29="","",IF(COUNTIFS(AwardsData[Award ID],J29)=1,INDEX(AwardsData[Current set-aside],MATCH(J29,AwardsData[Award ID],0)),"Unlinked"))</f>
        <v>No Set-Aside Used</v>
      </c>
      <c r="Y29" s="57" t="str">
        <f aca="false">IF(I29="","",IF(COUNTIFS(AwardsData[Award ID],J29)=1,INDEX(AwardsData[Performance state],MATCH(J29,AwardsData[Award ID],0)),"Unlinked"))</f>
        <v>Utah</v>
      </c>
      <c r="Z29" s="57" t="n">
        <f aca="false">IF(AND(V29=1,OR(Dashboard!$AB$2="All",K29=Dashboard!$AB$2),OR(Dashboard!$AB$3="All",L29=Dashboard!$AB$3),OR(Dashboard!$N$10="All",W29=Dashboard!$N$10)),1,0)</f>
        <v>1</v>
      </c>
      <c r="AA29" s="57" t="n">
        <f aca="false">IF(AND(Z29=1,OR(Dashboard!$B$7="All",S29=Dashboard!$B$7)),1,0)</f>
        <v>0</v>
      </c>
      <c r="AB29" s="57" t="n">
        <f aca="false">IF(AND(V29=1,F29&lt;&gt;0),1,0)</f>
        <v>1</v>
      </c>
      <c r="AC29" s="57" t="n">
        <f aca="false">IF(AND(AA29=1,AB29=1),IF(COUNTIFS($J$17:J29,J29,$AA$17:AA29,1,$AB$17:AB29,1)=1,1,0),0)</f>
        <v>0</v>
      </c>
      <c r="AD29" s="57" t="n">
        <f aca="false">IF(AND(AA29=1,AB29=1),IF(COUNTIFS($K$17:K29,K29,$AA$17:AA29,1,$AB$17:AB29,1)=1,1,0),0)</f>
        <v>0</v>
      </c>
      <c r="AE29" s="57" t="n">
        <f aca="false">IF(AND(Z29=1,AB29=1),IF(COUNTIFS($J$17:J29,J29,$S$17:S29,S29,$Z$17:Z29,1,$AB$17:AB29,1)=1,1,0),0)</f>
        <v>1</v>
      </c>
      <c r="AF29" s="57" t="n">
        <f aca="false">IF(AND(Z29=1,AB29=1),IF(COUNTIFS($K$17:K29,K29,$S$17:S29,S29,$Z$17:Z29,1,$AB$17:AB29,1)=1,1,0),0)</f>
        <v>0</v>
      </c>
      <c r="AG29" s="57" t="n">
        <f aca="false">IF(AND(AA29=1,AB29=1),IF(COUNTIFS($J$17:J29,J29,$L$17:L29,L29,$AA$17:AA29,1,$AB$17:AB29,1)=1,1,0),0)</f>
        <v>0</v>
      </c>
      <c r="AH29" s="57" t="n">
        <f aca="false">IF(AND(AA29=1,AB29=1),IF(COUNTIFS($J$17:J29,J29,$K$17:K29,K29,$AA$17:AA29,1,$AB$17:AB29,1)=1,1,0),0)</f>
        <v>0</v>
      </c>
      <c r="AI29" s="56" t="n">
        <f aca="false">IF(V29=1,MAX(F29,0),0)</f>
        <v>498592.8</v>
      </c>
      <c r="AJ29" s="56" t="n">
        <f aca="false">IF(V29=1,MIN(F29,0),0)</f>
        <v>0</v>
      </c>
    </row>
    <row r="30" customFormat="false" ht="40" hidden="false" customHeight="true" outlineLevel="0" collapsed="false">
      <c r="A30" s="66" t="n">
        <v>45037</v>
      </c>
      <c r="B30" s="54" t="str">
        <f aca="false">IF(M30="","",IF(P30="",M30,HYPERLINK(P30,M30)))</f>
        <v>49100422C0029</v>
      </c>
      <c r="C30" s="54" t="str">
        <f aca="false">IF(N30="","",IF(Q30="",N30,HYPERLINK(Q30,N30)))</f>
        <v>Rei Systems, Inc.</v>
      </c>
      <c r="D30" s="60" t="s">
        <v>158</v>
      </c>
      <c r="E30" s="54" t="str">
        <f aca="false">IF(O30="","",IF(R30="",O30,HYPERLINK(R30,O30)))</f>
        <v>Division of Information Systems</v>
      </c>
      <c r="F30" s="62" t="n">
        <v>0</v>
      </c>
      <c r="G30" s="61" t="s">
        <v>464</v>
      </c>
      <c r="H30" s="58"/>
      <c r="I30" s="58" t="s">
        <v>478</v>
      </c>
      <c r="J30" s="58" t="s">
        <v>327</v>
      </c>
      <c r="K30" s="58" t="s">
        <v>156</v>
      </c>
      <c r="L30" s="58" t="s">
        <v>197</v>
      </c>
      <c r="M30" s="58" t="s">
        <v>327</v>
      </c>
      <c r="N30" s="58" t="s">
        <v>157</v>
      </c>
      <c r="O30" s="58" t="s">
        <v>198</v>
      </c>
      <c r="P30" s="58" t="s">
        <v>328</v>
      </c>
      <c r="Q30" s="58" t="s">
        <v>159</v>
      </c>
      <c r="R30" s="58" t="s">
        <v>200</v>
      </c>
      <c r="S30" s="57" t="n">
        <f aca="false">IF(ISNUMBER(A30),YEAR(A30)+IF(MONTH(A30)&gt;=10,1,0),"")</f>
        <v>2023</v>
      </c>
      <c r="T30" s="57" t="n">
        <f aca="false">IF(ISNUMBER(A30),INT(MOD(MONTH(A30)-10,12)/3)+1,"")</f>
        <v>3</v>
      </c>
      <c r="U30" s="57" t="str">
        <f aca="false">IF(AND(I30&lt;&gt;"",D30&lt;&gt;"",OR(COUNTIFS(TransactionsData[Vendor ID],K30,TransactionsData[UEI],"&lt;&gt;"&amp;D30,TransactionsData[UEI],"?*")&gt;0,COUNTIFS(VendorGroups[Record ID],K30,VendorGroups[Source UEI],"&lt;&gt;"&amp;D30,VendorGroups[Source UEI],"?*")&gt;0)),"Conflicting vendor UEIs",IF(I30="",IF(COUNTA(A30,D30,F30:R30)&gt;0,"Missing transaction ID",""),IF(COUNTIFS(TransactionsData[Transaction ID],I30)&lt;&gt;1,"Duplicate transaction ID",IF(OR(NOT(ISNUMBER(A30)),A30&lt;1,A30&gt;DATE(2099,1,1)),"Use a valid date",IF(OR(A30&lt;$B$4,A30&gt;$D$4),"Outside coverage",IF(NOT(ISNUMBER(F30)),"Missing or invalid amount",IF(OR(K30="",L30="",N30=""),"Add vendor and office identities",IF(G30="Exclude",IF(OR(F30&lt;&gt;0,H30=""),"Review nonzero or unexplained exclusion",""),IF(G30&lt;&gt;"Include","Choose Include or Exclude",IF(COUNTIFS(AwardsData[Award ID],J30)&lt;&gt;1,"Award link needs review",IF(INDEX(AwardsData[Input check],MATCH(J30,AwardsData[Award ID],0))&lt;&gt;"","Check award inputs","")))))))))))</f>
        <v/>
      </c>
      <c r="V30" s="57" t="n">
        <f aca="false">IF(AND(I30&lt;&gt;"",U30="",G30="Include"),1,0)</f>
        <v>1</v>
      </c>
      <c r="W30" s="57" t="str">
        <f aca="false">IF(I30="","",IF(COUNTIFS(AwardsData[Award ID],J30)=1,INDEX(AwardsData[Current award type],MATCH(J30,AwardsData[Award ID],0)),"Unlinked"))</f>
        <v>Definitive Contract</v>
      </c>
      <c r="X30" s="57" t="str">
        <f aca="false">IF(I30="","",IF(COUNTIFS(AwardsData[Award ID],J30)=1,INDEX(AwardsData[Current set-aside],MATCH(J30,AwardsData[Award ID],0)),"Unlinked"))</f>
        <v>No Set-Aside Used</v>
      </c>
      <c r="Y30" s="57" t="str">
        <f aca="false">IF(I30="","",IF(COUNTIFS(AwardsData[Award ID],J30)=1,INDEX(AwardsData[Performance state],MATCH(J30,AwardsData[Award ID],0)),"Unlinked"))</f>
        <v>Virginia</v>
      </c>
      <c r="Z30" s="57" t="n">
        <f aca="false">IF(AND(V30=1,OR(Dashboard!$AB$2="All",K30=Dashboard!$AB$2),OR(Dashboard!$AB$3="All",L30=Dashboard!$AB$3),OR(Dashboard!$N$10="All",W30=Dashboard!$N$10)),1,0)</f>
        <v>1</v>
      </c>
      <c r="AA30" s="57" t="n">
        <f aca="false">IF(AND(Z30=1,OR(Dashboard!$B$7="All",S30=Dashboard!$B$7)),1,0)</f>
        <v>0</v>
      </c>
      <c r="AB30" s="57" t="n">
        <f aca="false">IF(AND(V30=1,F30&lt;&gt;0),1,0)</f>
        <v>0</v>
      </c>
      <c r="AC30" s="57" t="n">
        <f aca="false">IF(AND(AA30=1,AB30=1),IF(COUNTIFS($J$17:J30,J30,$AA$17:AA30,1,$AB$17:AB30,1)=1,1,0),0)</f>
        <v>0</v>
      </c>
      <c r="AD30" s="57" t="n">
        <f aca="false">IF(AND(AA30=1,AB30=1),IF(COUNTIFS($K$17:K30,K30,$AA$17:AA30,1,$AB$17:AB30,1)=1,1,0),0)</f>
        <v>0</v>
      </c>
      <c r="AE30" s="57" t="n">
        <f aca="false">IF(AND(Z30=1,AB30=1),IF(COUNTIFS($J$17:J30,J30,$S$17:S30,S30,$Z$17:Z30,1,$AB$17:AB30,1)=1,1,0),0)</f>
        <v>0</v>
      </c>
      <c r="AF30" s="57" t="n">
        <f aca="false">IF(AND(Z30=1,AB30=1),IF(COUNTIFS($K$17:K30,K30,$S$17:S30,S30,$Z$17:Z30,1,$AB$17:AB30,1)=1,1,0),0)</f>
        <v>0</v>
      </c>
      <c r="AG30" s="57" t="n">
        <f aca="false">IF(AND(AA30=1,AB30=1),IF(COUNTIFS($J$17:J30,J30,$L$17:L30,L30,$AA$17:AA30,1,$AB$17:AB30,1)=1,1,0),0)</f>
        <v>0</v>
      </c>
      <c r="AH30" s="57" t="n">
        <f aca="false">IF(AND(AA30=1,AB30=1),IF(COUNTIFS($J$17:J30,J30,$K$17:K30,K30,$AA$17:AA30,1,$AB$17:AB30,1)=1,1,0),0)</f>
        <v>0</v>
      </c>
      <c r="AI30" s="56" t="n">
        <f aca="false">IF(V30=1,MAX(F30,0),0)</f>
        <v>0</v>
      </c>
      <c r="AJ30" s="56" t="n">
        <f aca="false">IF(V30=1,MIN(F30,0),0)</f>
        <v>0</v>
      </c>
    </row>
    <row r="31" customFormat="false" ht="40" hidden="false" customHeight="true" outlineLevel="0" collapsed="false">
      <c r="A31" s="66" t="n">
        <v>45050</v>
      </c>
      <c r="B31" s="54" t="str">
        <f aca="false">IF(M31="","",IF(P31="",M31,HYPERLINK(P31,M31)))</f>
        <v>49100422A0002-49100423F0032</v>
      </c>
      <c r="C31" s="54" t="str">
        <f aca="false">IF(N31="","",IF(Q31="",N31,HYPERLINK(Q31,N31)))</f>
        <v>Directviz Solutions, LLC</v>
      </c>
      <c r="D31" s="60" t="s">
        <v>123</v>
      </c>
      <c r="E31" s="54" t="str">
        <f aca="false">IF(O31="","",IF(R31="",O31,HYPERLINK(R31,O31)))</f>
        <v>Division of Information Systems</v>
      </c>
      <c r="F31" s="62" t="n">
        <v>254448</v>
      </c>
      <c r="G31" s="61" t="s">
        <v>464</v>
      </c>
      <c r="H31" s="58"/>
      <c r="I31" s="58" t="s">
        <v>479</v>
      </c>
      <c r="J31" s="58" t="s">
        <v>304</v>
      </c>
      <c r="K31" s="58" t="s">
        <v>121</v>
      </c>
      <c r="L31" s="58" t="s">
        <v>197</v>
      </c>
      <c r="M31" s="58" t="s">
        <v>305</v>
      </c>
      <c r="N31" s="58" t="s">
        <v>122</v>
      </c>
      <c r="O31" s="58" t="s">
        <v>198</v>
      </c>
      <c r="P31" s="58" t="s">
        <v>306</v>
      </c>
      <c r="Q31" s="58" t="s">
        <v>124</v>
      </c>
      <c r="R31" s="58" t="s">
        <v>200</v>
      </c>
      <c r="S31" s="57" t="n">
        <f aca="false">IF(ISNUMBER(A31),YEAR(A31)+IF(MONTH(A31)&gt;=10,1,0),"")</f>
        <v>2023</v>
      </c>
      <c r="T31" s="57" t="n">
        <f aca="false">IF(ISNUMBER(A31),INT(MOD(MONTH(A31)-10,12)/3)+1,"")</f>
        <v>3</v>
      </c>
      <c r="U31" s="57" t="str">
        <f aca="false">IF(AND(I31&lt;&gt;"",D31&lt;&gt;"",OR(COUNTIFS(TransactionsData[Vendor ID],K31,TransactionsData[UEI],"&lt;&gt;"&amp;D31,TransactionsData[UEI],"?*")&gt;0,COUNTIFS(VendorGroups[Record ID],K31,VendorGroups[Source UEI],"&lt;&gt;"&amp;D31,VendorGroups[Source UEI],"?*")&gt;0)),"Conflicting vendor UEIs",IF(I31="",IF(COUNTA(A31,D31,F31:R31)&gt;0,"Missing transaction ID",""),IF(COUNTIFS(TransactionsData[Transaction ID],I31)&lt;&gt;1,"Duplicate transaction ID",IF(OR(NOT(ISNUMBER(A31)),A31&lt;1,A31&gt;DATE(2099,1,1)),"Use a valid date",IF(OR(A31&lt;$B$4,A31&gt;$D$4),"Outside coverage",IF(NOT(ISNUMBER(F31)),"Missing or invalid amount",IF(OR(K31="",L31="",N31=""),"Add vendor and office identities",IF(G31="Exclude",IF(OR(F31&lt;&gt;0,H31=""),"Review nonzero or unexplained exclusion",""),IF(G31&lt;&gt;"Include","Choose Include or Exclude",IF(COUNTIFS(AwardsData[Award ID],J31)&lt;&gt;1,"Award link needs review",IF(INDEX(AwardsData[Input check],MATCH(J31,AwardsData[Award ID],0))&lt;&gt;"","Check award inputs","")))))))))))</f>
        <v/>
      </c>
      <c r="V31" s="57" t="n">
        <f aca="false">IF(AND(I31&lt;&gt;"",U31="",G31="Include"),1,0)</f>
        <v>1</v>
      </c>
      <c r="W31" s="57" t="str">
        <f aca="false">IF(I31="","",IF(COUNTIFS(AwardsData[Award ID],J31)=1,INDEX(AwardsData[Current award type],MATCH(J31,AwardsData[Award ID],0)),"Unlinked"))</f>
        <v>BPA Call</v>
      </c>
      <c r="X31" s="57" t="str">
        <f aca="false">IF(I31="","",IF(COUNTIFS(AwardsData[Award ID],J31)=1,INDEX(AwardsData[Current set-aside],MATCH(J31,AwardsData[Award ID],0)),"Unlinked"))</f>
        <v>No Set-Aside Used</v>
      </c>
      <c r="Y31" s="57" t="str">
        <f aca="false">IF(I31="","",IF(COUNTIFS(AwardsData[Award ID],J31)=1,INDEX(AwardsData[Performance state],MATCH(J31,AwardsData[Award ID],0)),"Unlinked"))</f>
        <v>Virginia</v>
      </c>
      <c r="Z31" s="57" t="n">
        <f aca="false">IF(AND(V31=1,OR(Dashboard!$AB$2="All",K31=Dashboard!$AB$2),OR(Dashboard!$AB$3="All",L31=Dashboard!$AB$3),OR(Dashboard!$N$10="All",W31=Dashboard!$N$10)),1,0)</f>
        <v>1</v>
      </c>
      <c r="AA31" s="57" t="n">
        <f aca="false">IF(AND(Z31=1,OR(Dashboard!$B$7="All",S31=Dashboard!$B$7)),1,0)</f>
        <v>0</v>
      </c>
      <c r="AB31" s="57" t="n">
        <f aca="false">IF(AND(V31=1,F31&lt;&gt;0),1,0)</f>
        <v>1</v>
      </c>
      <c r="AC31" s="57" t="n">
        <f aca="false">IF(AND(AA31=1,AB31=1),IF(COUNTIFS($J$17:J31,J31,$AA$17:AA31,1,$AB$17:AB31,1)=1,1,0),0)</f>
        <v>0</v>
      </c>
      <c r="AD31" s="57" t="n">
        <f aca="false">IF(AND(AA31=1,AB31=1),IF(COUNTIFS($K$17:K31,K31,$AA$17:AA31,1,$AB$17:AB31,1)=1,1,0),0)</f>
        <v>0</v>
      </c>
      <c r="AE31" s="57" t="n">
        <f aca="false">IF(AND(Z31=1,AB31=1),IF(COUNTIFS($J$17:J31,J31,$S$17:S31,S31,$Z$17:Z31,1,$AB$17:AB31,1)=1,1,0),0)</f>
        <v>0</v>
      </c>
      <c r="AF31" s="57" t="n">
        <f aca="false">IF(AND(Z31=1,AB31=1),IF(COUNTIFS($K$17:K31,K31,$S$17:S31,S31,$Z$17:Z31,1,$AB$17:AB31,1)=1,1,0),0)</f>
        <v>0</v>
      </c>
      <c r="AG31" s="57" t="n">
        <f aca="false">IF(AND(AA31=1,AB31=1),IF(COUNTIFS($J$17:J31,J31,$L$17:L31,L31,$AA$17:AA31,1,$AB$17:AB31,1)=1,1,0),0)</f>
        <v>0</v>
      </c>
      <c r="AH31" s="57" t="n">
        <f aca="false">IF(AND(AA31=1,AB31=1),IF(COUNTIFS($J$17:J31,J31,$K$17:K31,K31,$AA$17:AA31,1,$AB$17:AB31,1)=1,1,0),0)</f>
        <v>0</v>
      </c>
      <c r="AI31" s="56" t="n">
        <f aca="false">IF(V31=1,MAX(F31,0),0)</f>
        <v>254448</v>
      </c>
      <c r="AJ31" s="56" t="n">
        <f aca="false">IF(V31=1,MIN(F31,0),0)</f>
        <v>0</v>
      </c>
    </row>
    <row r="32" customFormat="false" ht="40" hidden="false" customHeight="true" outlineLevel="0" collapsed="false">
      <c r="A32" s="66" t="n">
        <v>45054</v>
      </c>
      <c r="B32" s="54" t="str">
        <f aca="false">IF(M32="","",IF(P32="",M32,HYPERLINK(P32,M32)))</f>
        <v>49100422D0010-49100423F0076</v>
      </c>
      <c r="C32" s="54" t="str">
        <f aca="false">IF(N32="","",IF(Q32="",N32,HYPERLINK(Q32,N32)))</f>
        <v>Agility Technologies Inc.</v>
      </c>
      <c r="D32" s="60" t="s">
        <v>103</v>
      </c>
      <c r="E32" s="54" t="str">
        <f aca="false">IF(O32="","",IF(R32="",O32,HYPERLINK(R32,O32)))</f>
        <v>NSF — office not specified</v>
      </c>
      <c r="F32" s="62" t="n">
        <v>33848.24</v>
      </c>
      <c r="G32" s="61" t="s">
        <v>464</v>
      </c>
      <c r="H32" s="58"/>
      <c r="I32" s="58" t="s">
        <v>480</v>
      </c>
      <c r="J32" s="58" t="s">
        <v>337</v>
      </c>
      <c r="K32" s="58" t="s">
        <v>101</v>
      </c>
      <c r="L32" s="58" t="s">
        <v>213</v>
      </c>
      <c r="M32" s="58" t="s">
        <v>338</v>
      </c>
      <c r="N32" s="58" t="s">
        <v>102</v>
      </c>
      <c r="O32" s="58" t="s">
        <v>214</v>
      </c>
      <c r="P32" s="58" t="s">
        <v>339</v>
      </c>
      <c r="Q32" s="58" t="s">
        <v>104</v>
      </c>
      <c r="R32" s="58" t="s">
        <v>215</v>
      </c>
      <c r="S32" s="57" t="n">
        <f aca="false">IF(ISNUMBER(A32),YEAR(A32)+IF(MONTH(A32)&gt;=10,1,0),"")</f>
        <v>2023</v>
      </c>
      <c r="T32" s="57" t="n">
        <f aca="false">IF(ISNUMBER(A32),INT(MOD(MONTH(A32)-10,12)/3)+1,"")</f>
        <v>3</v>
      </c>
      <c r="U32" s="57" t="str">
        <f aca="false">IF(AND(I32&lt;&gt;"",D32&lt;&gt;"",OR(COUNTIFS(TransactionsData[Vendor ID],K32,TransactionsData[UEI],"&lt;&gt;"&amp;D32,TransactionsData[UEI],"?*")&gt;0,COUNTIFS(VendorGroups[Record ID],K32,VendorGroups[Source UEI],"&lt;&gt;"&amp;D32,VendorGroups[Source UEI],"?*")&gt;0)),"Conflicting vendor UEIs",IF(I32="",IF(COUNTA(A32,D32,F32:R32)&gt;0,"Missing transaction ID",""),IF(COUNTIFS(TransactionsData[Transaction ID],I32)&lt;&gt;1,"Duplicate transaction ID",IF(OR(NOT(ISNUMBER(A32)),A32&lt;1,A32&gt;DATE(2099,1,1)),"Use a valid date",IF(OR(A32&lt;$B$4,A32&gt;$D$4),"Outside coverage",IF(NOT(ISNUMBER(F32)),"Missing or invalid amount",IF(OR(K32="",L32="",N32=""),"Add vendor and office identities",IF(G32="Exclude",IF(OR(F32&lt;&gt;0,H32=""),"Review nonzero or unexplained exclusion",""),IF(G32&lt;&gt;"Include","Choose Include or Exclude",IF(COUNTIFS(AwardsData[Award ID],J32)&lt;&gt;1,"Award link needs review",IF(INDEX(AwardsData[Input check],MATCH(J32,AwardsData[Award ID],0))&lt;&gt;"","Check award inputs","")))))))))))</f>
        <v/>
      </c>
      <c r="V32" s="57" t="n">
        <f aca="false">IF(AND(I32&lt;&gt;"",U32="",G32="Include"),1,0)</f>
        <v>1</v>
      </c>
      <c r="W32" s="57" t="str">
        <f aca="false">IF(I32="","",IF(COUNTIFS(AwardsData[Award ID],J32)=1,INDEX(AwardsData[Current award type],MATCH(J32,AwardsData[Award ID],0)),"Unlinked"))</f>
        <v>Delivery Order</v>
      </c>
      <c r="X32" s="57" t="str">
        <f aca="false">IF(I32="","",IF(COUNTIFS(AwardsData[Award ID],J32)=1,INDEX(AwardsData[Current set-aside],MATCH(J32,AwardsData[Award ID],0)),"Unlinked"))</f>
        <v>No Set-Aside Used</v>
      </c>
      <c r="Y32" s="57" t="str">
        <f aca="false">IF(I32="","",IF(COUNTIFS(AwardsData[Award ID],J32)=1,INDEX(AwardsData[Performance state],MATCH(J32,AwardsData[Award ID],0)),"Unlinked"))</f>
        <v>Virginia</v>
      </c>
      <c r="Z32" s="57" t="n">
        <f aca="false">IF(AND(V32=1,OR(Dashboard!$AB$2="All",K32=Dashboard!$AB$2),OR(Dashboard!$AB$3="All",L32=Dashboard!$AB$3),OR(Dashboard!$N$10="All",W32=Dashboard!$N$10)),1,0)</f>
        <v>1</v>
      </c>
      <c r="AA32" s="57" t="n">
        <f aca="false">IF(AND(Z32=1,OR(Dashboard!$B$7="All",S32=Dashboard!$B$7)),1,0)</f>
        <v>0</v>
      </c>
      <c r="AB32" s="57" t="n">
        <f aca="false">IF(AND(V32=1,F32&lt;&gt;0),1,0)</f>
        <v>1</v>
      </c>
      <c r="AC32" s="57" t="n">
        <f aca="false">IF(AND(AA32=1,AB32=1),IF(COUNTIFS($J$17:J32,J32,$AA$17:AA32,1,$AB$17:AB32,1)=1,1,0),0)</f>
        <v>0</v>
      </c>
      <c r="AD32" s="57" t="n">
        <f aca="false">IF(AND(AA32=1,AB32=1),IF(COUNTIFS($K$17:K32,K32,$AA$17:AA32,1,$AB$17:AB32,1)=1,1,0),0)</f>
        <v>0</v>
      </c>
      <c r="AE32" s="57" t="n">
        <f aca="false">IF(AND(Z32=1,AB32=1),IF(COUNTIFS($J$17:J32,J32,$S$17:S32,S32,$Z$17:Z32,1,$AB$17:AB32,1)=1,1,0),0)</f>
        <v>1</v>
      </c>
      <c r="AF32" s="57" t="n">
        <f aca="false">IF(AND(Z32=1,AB32=1),IF(COUNTIFS($K$17:K32,K32,$S$17:S32,S32,$Z$17:Z32,1,$AB$17:AB32,1)=1,1,0),0)</f>
        <v>0</v>
      </c>
      <c r="AG32" s="57" t="n">
        <f aca="false">IF(AND(AA32=1,AB32=1),IF(COUNTIFS($J$17:J32,J32,$L$17:L32,L32,$AA$17:AA32,1,$AB$17:AB32,1)=1,1,0),0)</f>
        <v>0</v>
      </c>
      <c r="AH32" s="57" t="n">
        <f aca="false">IF(AND(AA32=1,AB32=1),IF(COUNTIFS($J$17:J32,J32,$K$17:K32,K32,$AA$17:AA32,1,$AB$17:AB32,1)=1,1,0),0)</f>
        <v>0</v>
      </c>
      <c r="AI32" s="56" t="n">
        <f aca="false">IF(V32=1,MAX(F32,0),0)</f>
        <v>33848.24</v>
      </c>
      <c r="AJ32" s="56" t="n">
        <f aca="false">IF(V32=1,MIN(F32,0),0)</f>
        <v>0</v>
      </c>
    </row>
    <row r="33" customFormat="false" ht="40" hidden="false" customHeight="true" outlineLevel="0" collapsed="false">
      <c r="A33" s="66" t="n">
        <v>45057</v>
      </c>
      <c r="B33" s="54" t="str">
        <f aca="false">IF(M33="","",IF(P33="",M33,HYPERLINK(P33,M33)))</f>
        <v>GS35F337BA-49100421F0078</v>
      </c>
      <c r="C33" s="54" t="str">
        <f aca="false">IF(N33="","",IF(Q33="",N33,HYPERLINK(Q33,N33)))</f>
        <v>Civicactions, Inc.</v>
      </c>
      <c r="D33" s="60" t="s">
        <v>115</v>
      </c>
      <c r="E33" s="54" t="str">
        <f aca="false">IF(O33="","",IF(R33="",O33,HYPERLINK(R33,O33)))</f>
        <v>Division of Information Systems</v>
      </c>
      <c r="F33" s="62" t="n">
        <v>0</v>
      </c>
      <c r="G33" s="61" t="s">
        <v>464</v>
      </c>
      <c r="H33" s="58"/>
      <c r="I33" s="58" t="s">
        <v>481</v>
      </c>
      <c r="J33" s="58" t="s">
        <v>414</v>
      </c>
      <c r="K33" s="58" t="s">
        <v>113</v>
      </c>
      <c r="L33" s="58" t="s">
        <v>197</v>
      </c>
      <c r="M33" s="58" t="s">
        <v>415</v>
      </c>
      <c r="N33" s="58" t="s">
        <v>114</v>
      </c>
      <c r="O33" s="58" t="s">
        <v>198</v>
      </c>
      <c r="P33" s="58" t="s">
        <v>416</v>
      </c>
      <c r="Q33" s="58" t="s">
        <v>116</v>
      </c>
      <c r="R33" s="58" t="s">
        <v>200</v>
      </c>
      <c r="S33" s="57" t="n">
        <f aca="false">IF(ISNUMBER(A33),YEAR(A33)+IF(MONTH(A33)&gt;=10,1,0),"")</f>
        <v>2023</v>
      </c>
      <c r="T33" s="57" t="n">
        <f aca="false">IF(ISNUMBER(A33),INT(MOD(MONTH(A33)-10,12)/3)+1,"")</f>
        <v>3</v>
      </c>
      <c r="U33" s="57" t="str">
        <f aca="false">IF(AND(I33&lt;&gt;"",D33&lt;&gt;"",OR(COUNTIFS(TransactionsData[Vendor ID],K33,TransactionsData[UEI],"&lt;&gt;"&amp;D33,TransactionsData[UEI],"?*")&gt;0,COUNTIFS(VendorGroups[Record ID],K33,VendorGroups[Source UEI],"&lt;&gt;"&amp;D33,VendorGroups[Source UEI],"?*")&gt;0)),"Conflicting vendor UEIs",IF(I33="",IF(COUNTA(A33,D33,F33:R33)&gt;0,"Missing transaction ID",""),IF(COUNTIFS(TransactionsData[Transaction ID],I33)&lt;&gt;1,"Duplicate transaction ID",IF(OR(NOT(ISNUMBER(A33)),A33&lt;1,A33&gt;DATE(2099,1,1)),"Use a valid date",IF(OR(A33&lt;$B$4,A33&gt;$D$4),"Outside coverage",IF(NOT(ISNUMBER(F33)),"Missing or invalid amount",IF(OR(K33="",L33="",N33=""),"Add vendor and office identities",IF(G33="Exclude",IF(OR(F33&lt;&gt;0,H33=""),"Review nonzero or unexplained exclusion",""),IF(G33&lt;&gt;"Include","Choose Include or Exclude",IF(COUNTIFS(AwardsData[Award ID],J33)&lt;&gt;1,"Award link needs review",IF(INDEX(AwardsData[Input check],MATCH(J33,AwardsData[Award ID],0))&lt;&gt;"","Check award inputs","")))))))))))</f>
        <v/>
      </c>
      <c r="V33" s="57" t="n">
        <f aca="false">IF(AND(I33&lt;&gt;"",U33="",G33="Include"),1,0)</f>
        <v>1</v>
      </c>
      <c r="W33" s="57" t="str">
        <f aca="false">IF(I33="","",IF(COUNTIFS(AwardsData[Award ID],J33)=1,INDEX(AwardsData[Current award type],MATCH(J33,AwardsData[Award ID],0)),"Unlinked"))</f>
        <v>Delivery Order</v>
      </c>
      <c r="X33" s="57" t="str">
        <f aca="false">IF(I33="","",IF(COUNTIFS(AwardsData[Award ID],J33)=1,INDEX(AwardsData[Current set-aside],MATCH(J33,AwardsData[Award ID],0)),"Unlinked"))</f>
        <v>Total Small Business</v>
      </c>
      <c r="Y33" s="57" t="str">
        <f aca="false">IF(I33="","",IF(COUNTIFS(AwardsData[Award ID],J33)=1,INDEX(AwardsData[Performance state],MATCH(J33,AwardsData[Award ID],0)),"Unlinked"))</f>
        <v>California</v>
      </c>
      <c r="Z33" s="57" t="n">
        <f aca="false">IF(AND(V33=1,OR(Dashboard!$AB$2="All",K33=Dashboard!$AB$2),OR(Dashboard!$AB$3="All",L33=Dashboard!$AB$3),OR(Dashboard!$N$10="All",W33=Dashboard!$N$10)),1,0)</f>
        <v>1</v>
      </c>
      <c r="AA33" s="57" t="n">
        <f aca="false">IF(AND(Z33=1,OR(Dashboard!$B$7="All",S33=Dashboard!$B$7)),1,0)</f>
        <v>0</v>
      </c>
      <c r="AB33" s="57" t="n">
        <f aca="false">IF(AND(V33=1,F33&lt;&gt;0),1,0)</f>
        <v>0</v>
      </c>
      <c r="AC33" s="57" t="n">
        <f aca="false">IF(AND(AA33=1,AB33=1),IF(COUNTIFS($J$17:J33,J33,$AA$17:AA33,1,$AB$17:AB33,1)=1,1,0),0)</f>
        <v>0</v>
      </c>
      <c r="AD33" s="57" t="n">
        <f aca="false">IF(AND(AA33=1,AB33=1),IF(COUNTIFS($K$17:K33,K33,$AA$17:AA33,1,$AB$17:AB33,1)=1,1,0),0)</f>
        <v>0</v>
      </c>
      <c r="AE33" s="57" t="n">
        <f aca="false">IF(AND(Z33=1,AB33=1),IF(COUNTIFS($J$17:J33,J33,$S$17:S33,S33,$Z$17:Z33,1,$AB$17:AB33,1)=1,1,0),0)</f>
        <v>0</v>
      </c>
      <c r="AF33" s="57" t="n">
        <f aca="false">IF(AND(Z33=1,AB33=1),IF(COUNTIFS($K$17:K33,K33,$S$17:S33,S33,$Z$17:Z33,1,$AB$17:AB33,1)=1,1,0),0)</f>
        <v>0</v>
      </c>
      <c r="AG33" s="57" t="n">
        <f aca="false">IF(AND(AA33=1,AB33=1),IF(COUNTIFS($J$17:J33,J33,$L$17:L33,L33,$AA$17:AA33,1,$AB$17:AB33,1)=1,1,0),0)</f>
        <v>0</v>
      </c>
      <c r="AH33" s="57" t="n">
        <f aca="false">IF(AND(AA33=1,AB33=1),IF(COUNTIFS($J$17:J33,J33,$K$17:K33,K33,$AA$17:AA33,1,$AB$17:AB33,1)=1,1,0),0)</f>
        <v>0</v>
      </c>
      <c r="AI33" s="56" t="n">
        <f aca="false">IF(V33=1,MAX(F33,0),0)</f>
        <v>0</v>
      </c>
      <c r="AJ33" s="56" t="n">
        <f aca="false">IF(V33=1,MIN(F33,0),0)</f>
        <v>0</v>
      </c>
    </row>
    <row r="34" customFormat="false" ht="40" hidden="false" customHeight="true" outlineLevel="0" collapsed="false">
      <c r="A34" s="66" t="n">
        <v>45105</v>
      </c>
      <c r="B34" s="54" t="str">
        <f aca="false">IF(M34="","",IF(P34="",M34,HYPERLINK(P34,M34)))</f>
        <v>47QTCB21D0005-49100422F0104</v>
      </c>
      <c r="C34" s="54" t="str">
        <f aca="false">IF(N34="","",IF(Q34="",N34,HYPERLINK(Q34,N34)))</f>
        <v>GBS Dakota IT, LLC</v>
      </c>
      <c r="D34" s="60" t="s">
        <v>135</v>
      </c>
      <c r="E34" s="54" t="str">
        <f aca="false">IF(O34="","",IF(R34="",O34,HYPERLINK(R34,O34)))</f>
        <v>NSF — office not specified</v>
      </c>
      <c r="F34" s="62" t="n">
        <v>1456784.03</v>
      </c>
      <c r="G34" s="61" t="s">
        <v>464</v>
      </c>
      <c r="H34" s="58"/>
      <c r="I34" s="58" t="s">
        <v>482</v>
      </c>
      <c r="J34" s="58" t="s">
        <v>276</v>
      </c>
      <c r="K34" s="58" t="s">
        <v>133</v>
      </c>
      <c r="L34" s="58" t="s">
        <v>213</v>
      </c>
      <c r="M34" s="58" t="s">
        <v>277</v>
      </c>
      <c r="N34" s="58" t="s">
        <v>134</v>
      </c>
      <c r="O34" s="58" t="s">
        <v>214</v>
      </c>
      <c r="P34" s="58" t="s">
        <v>278</v>
      </c>
      <c r="Q34" s="58" t="s">
        <v>136</v>
      </c>
      <c r="R34" s="58" t="s">
        <v>215</v>
      </c>
      <c r="S34" s="57" t="n">
        <f aca="false">IF(ISNUMBER(A34),YEAR(A34)+IF(MONTH(A34)&gt;=10,1,0),"")</f>
        <v>2023</v>
      </c>
      <c r="T34" s="57" t="n">
        <f aca="false">IF(ISNUMBER(A34),INT(MOD(MONTH(A34)-10,12)/3)+1,"")</f>
        <v>3</v>
      </c>
      <c r="U34" s="57" t="str">
        <f aca="false">IF(AND(I34&lt;&gt;"",D34&lt;&gt;"",OR(COUNTIFS(TransactionsData[Vendor ID],K34,TransactionsData[UEI],"&lt;&gt;"&amp;D34,TransactionsData[UEI],"?*")&gt;0,COUNTIFS(VendorGroups[Record ID],K34,VendorGroups[Source UEI],"&lt;&gt;"&amp;D34,VendorGroups[Source UEI],"?*")&gt;0)),"Conflicting vendor UEIs",IF(I34="",IF(COUNTA(A34,D34,F34:R34)&gt;0,"Missing transaction ID",""),IF(COUNTIFS(TransactionsData[Transaction ID],I34)&lt;&gt;1,"Duplicate transaction ID",IF(OR(NOT(ISNUMBER(A34)),A34&lt;1,A34&gt;DATE(2099,1,1)),"Use a valid date",IF(OR(A34&lt;$B$4,A34&gt;$D$4),"Outside coverage",IF(NOT(ISNUMBER(F34)),"Missing or invalid amount",IF(OR(K34="",L34="",N34=""),"Add vendor and office identities",IF(G34="Exclude",IF(OR(F34&lt;&gt;0,H34=""),"Review nonzero or unexplained exclusion",""),IF(G34&lt;&gt;"Include","Choose Include or Exclude",IF(COUNTIFS(AwardsData[Award ID],J34)&lt;&gt;1,"Award link needs review",IF(INDEX(AwardsData[Input check],MATCH(J34,AwardsData[Award ID],0))&lt;&gt;"","Check award inputs","")))))))))))</f>
        <v/>
      </c>
      <c r="V34" s="57" t="n">
        <f aca="false">IF(AND(I34&lt;&gt;"",U34="",G34="Include"),1,0)</f>
        <v>1</v>
      </c>
      <c r="W34" s="57" t="str">
        <f aca="false">IF(I34="","",IF(COUNTIFS(AwardsData[Award ID],J34)=1,INDEX(AwardsData[Current award type],MATCH(J34,AwardsData[Award ID],0)),"Unlinked"))</f>
        <v>Delivery Order</v>
      </c>
      <c r="X34" s="57" t="str">
        <f aca="false">IF(I34="","",IF(COUNTIFS(AwardsData[Award ID],J34)=1,INDEX(AwardsData[Current set-aside],MATCH(J34,AwardsData[Award ID],0)),"Unlinked"))</f>
        <v>Competitive 8(a)</v>
      </c>
      <c r="Y34" s="57" t="str">
        <f aca="false">IF(I34="","",IF(COUNTIFS(AwardsData[Award ID],J34)=1,INDEX(AwardsData[Performance state],MATCH(J34,AwardsData[Award ID],0)),"Unlinked"))</f>
        <v>Utah</v>
      </c>
      <c r="Z34" s="57" t="n">
        <f aca="false">IF(AND(V34=1,OR(Dashboard!$AB$2="All",K34=Dashboard!$AB$2),OR(Dashboard!$AB$3="All",L34=Dashboard!$AB$3),OR(Dashboard!$N$10="All",W34=Dashboard!$N$10)),1,0)</f>
        <v>1</v>
      </c>
      <c r="AA34" s="57" t="n">
        <f aca="false">IF(AND(Z34=1,OR(Dashboard!$B$7="All",S34=Dashboard!$B$7)),1,0)</f>
        <v>0</v>
      </c>
      <c r="AB34" s="57" t="n">
        <f aca="false">IF(AND(V34=1,F34&lt;&gt;0),1,0)</f>
        <v>1</v>
      </c>
      <c r="AC34" s="57" t="n">
        <f aca="false">IF(AND(AA34=1,AB34=1),IF(COUNTIFS($J$17:J34,J34,$AA$17:AA34,1,$AB$17:AB34,1)=1,1,0),0)</f>
        <v>0</v>
      </c>
      <c r="AD34" s="57" t="n">
        <f aca="false">IF(AND(AA34=1,AB34=1),IF(COUNTIFS($K$17:K34,K34,$AA$17:AA34,1,$AB$17:AB34,1)=1,1,0),0)</f>
        <v>0</v>
      </c>
      <c r="AE34" s="57" t="n">
        <f aca="false">IF(AND(Z34=1,AB34=1),IF(COUNTIFS($J$17:J34,J34,$S$17:S34,S34,$Z$17:Z34,1,$AB$17:AB34,1)=1,1,0),0)</f>
        <v>1</v>
      </c>
      <c r="AF34" s="57" t="n">
        <f aca="false">IF(AND(Z34=1,AB34=1),IF(COUNTIFS($K$17:K34,K34,$S$17:S34,S34,$Z$17:Z34,1,$AB$17:AB34,1)=1,1,0),0)</f>
        <v>0</v>
      </c>
      <c r="AG34" s="57" t="n">
        <f aca="false">IF(AND(AA34=1,AB34=1),IF(COUNTIFS($J$17:J34,J34,$L$17:L34,L34,$AA$17:AA34,1,$AB$17:AB34,1)=1,1,0),0)</f>
        <v>0</v>
      </c>
      <c r="AH34" s="57" t="n">
        <f aca="false">IF(AND(AA34=1,AB34=1),IF(COUNTIFS($J$17:J34,J34,$K$17:K34,K34,$AA$17:AA34,1,$AB$17:AB34,1)=1,1,0),0)</f>
        <v>0</v>
      </c>
      <c r="AI34" s="56" t="n">
        <f aca="false">IF(V34=1,MAX(F34,0),0)</f>
        <v>1456784.03</v>
      </c>
      <c r="AJ34" s="56" t="n">
        <f aca="false">IF(V34=1,MIN(F34,0),0)</f>
        <v>0</v>
      </c>
    </row>
    <row r="35" customFormat="false" ht="40" hidden="false" customHeight="true" outlineLevel="0" collapsed="false">
      <c r="A35" s="66" t="n">
        <v>45106</v>
      </c>
      <c r="B35" s="54" t="str">
        <f aca="false">IF(M35="","",IF(P35="",M35,HYPERLINK(P35,M35)))</f>
        <v>GS35F337BA-49100421F0078</v>
      </c>
      <c r="C35" s="54" t="str">
        <f aca="false">IF(N35="","",IF(Q35="",N35,HYPERLINK(Q35,N35)))</f>
        <v>Civicactions, Inc.</v>
      </c>
      <c r="D35" s="60" t="s">
        <v>115</v>
      </c>
      <c r="E35" s="54" t="str">
        <f aca="false">IF(O35="","",IF(R35="",O35,HYPERLINK(R35,O35)))</f>
        <v>Division of Information Systems</v>
      </c>
      <c r="F35" s="62" t="n">
        <v>1206229.85</v>
      </c>
      <c r="G35" s="61" t="s">
        <v>464</v>
      </c>
      <c r="H35" s="58"/>
      <c r="I35" s="58" t="s">
        <v>483</v>
      </c>
      <c r="J35" s="58" t="s">
        <v>414</v>
      </c>
      <c r="K35" s="58" t="s">
        <v>113</v>
      </c>
      <c r="L35" s="58" t="s">
        <v>197</v>
      </c>
      <c r="M35" s="58" t="s">
        <v>415</v>
      </c>
      <c r="N35" s="58" t="s">
        <v>114</v>
      </c>
      <c r="O35" s="58" t="s">
        <v>198</v>
      </c>
      <c r="P35" s="58" t="s">
        <v>416</v>
      </c>
      <c r="Q35" s="58" t="s">
        <v>116</v>
      </c>
      <c r="R35" s="58" t="s">
        <v>200</v>
      </c>
      <c r="S35" s="57" t="n">
        <f aca="false">IF(ISNUMBER(A35),YEAR(A35)+IF(MONTH(A35)&gt;=10,1,0),"")</f>
        <v>2023</v>
      </c>
      <c r="T35" s="57" t="n">
        <f aca="false">IF(ISNUMBER(A35),INT(MOD(MONTH(A35)-10,12)/3)+1,"")</f>
        <v>3</v>
      </c>
      <c r="U35" s="57" t="str">
        <f aca="false">IF(AND(I35&lt;&gt;"",D35&lt;&gt;"",OR(COUNTIFS(TransactionsData[Vendor ID],K35,TransactionsData[UEI],"&lt;&gt;"&amp;D35,TransactionsData[UEI],"?*")&gt;0,COUNTIFS(VendorGroups[Record ID],K35,VendorGroups[Source UEI],"&lt;&gt;"&amp;D35,VendorGroups[Source UEI],"?*")&gt;0)),"Conflicting vendor UEIs",IF(I35="",IF(COUNTA(A35,D35,F35:R35)&gt;0,"Missing transaction ID",""),IF(COUNTIFS(TransactionsData[Transaction ID],I35)&lt;&gt;1,"Duplicate transaction ID",IF(OR(NOT(ISNUMBER(A35)),A35&lt;1,A35&gt;DATE(2099,1,1)),"Use a valid date",IF(OR(A35&lt;$B$4,A35&gt;$D$4),"Outside coverage",IF(NOT(ISNUMBER(F35)),"Missing or invalid amount",IF(OR(K35="",L35="",N35=""),"Add vendor and office identities",IF(G35="Exclude",IF(OR(F35&lt;&gt;0,H35=""),"Review nonzero or unexplained exclusion",""),IF(G35&lt;&gt;"Include","Choose Include or Exclude",IF(COUNTIFS(AwardsData[Award ID],J35)&lt;&gt;1,"Award link needs review",IF(INDEX(AwardsData[Input check],MATCH(J35,AwardsData[Award ID],0))&lt;&gt;"","Check award inputs","")))))))))))</f>
        <v/>
      </c>
      <c r="V35" s="57" t="n">
        <f aca="false">IF(AND(I35&lt;&gt;"",U35="",G35="Include"),1,0)</f>
        <v>1</v>
      </c>
      <c r="W35" s="57" t="str">
        <f aca="false">IF(I35="","",IF(COUNTIFS(AwardsData[Award ID],J35)=1,INDEX(AwardsData[Current award type],MATCH(J35,AwardsData[Award ID],0)),"Unlinked"))</f>
        <v>Delivery Order</v>
      </c>
      <c r="X35" s="57" t="str">
        <f aca="false">IF(I35="","",IF(COUNTIFS(AwardsData[Award ID],J35)=1,INDEX(AwardsData[Current set-aside],MATCH(J35,AwardsData[Award ID],0)),"Unlinked"))</f>
        <v>Total Small Business</v>
      </c>
      <c r="Y35" s="57" t="str">
        <f aca="false">IF(I35="","",IF(COUNTIFS(AwardsData[Award ID],J35)=1,INDEX(AwardsData[Performance state],MATCH(J35,AwardsData[Award ID],0)),"Unlinked"))</f>
        <v>California</v>
      </c>
      <c r="Z35" s="57" t="n">
        <f aca="false">IF(AND(V35=1,OR(Dashboard!$AB$2="All",K35=Dashboard!$AB$2),OR(Dashboard!$AB$3="All",L35=Dashboard!$AB$3),OR(Dashboard!$N$10="All",W35=Dashboard!$N$10)),1,0)</f>
        <v>1</v>
      </c>
      <c r="AA35" s="57" t="n">
        <f aca="false">IF(AND(Z35=1,OR(Dashboard!$B$7="All",S35=Dashboard!$B$7)),1,0)</f>
        <v>0</v>
      </c>
      <c r="AB35" s="57" t="n">
        <f aca="false">IF(AND(V35=1,F35&lt;&gt;0),1,0)</f>
        <v>1</v>
      </c>
      <c r="AC35" s="57" t="n">
        <f aca="false">IF(AND(AA35=1,AB35=1),IF(COUNTIFS($J$17:J35,J35,$AA$17:AA35,1,$AB$17:AB35,1)=1,1,0),0)</f>
        <v>0</v>
      </c>
      <c r="AD35" s="57" t="n">
        <f aca="false">IF(AND(AA35=1,AB35=1),IF(COUNTIFS($K$17:K35,K35,$AA$17:AA35,1,$AB$17:AB35,1)=1,1,0),0)</f>
        <v>0</v>
      </c>
      <c r="AE35" s="57" t="n">
        <f aca="false">IF(AND(Z35=1,AB35=1),IF(COUNTIFS($J$17:J35,J35,$S$17:S35,S35,$Z$17:Z35,1,$AB$17:AB35,1)=1,1,0),0)</f>
        <v>0</v>
      </c>
      <c r="AF35" s="57" t="n">
        <f aca="false">IF(AND(Z35=1,AB35=1),IF(COUNTIFS($K$17:K35,K35,$S$17:S35,S35,$Z$17:Z35,1,$AB$17:AB35,1)=1,1,0),0)</f>
        <v>0</v>
      </c>
      <c r="AG35" s="57" t="n">
        <f aca="false">IF(AND(AA35=1,AB35=1),IF(COUNTIFS($J$17:J35,J35,$L$17:L35,L35,$AA$17:AA35,1,$AB$17:AB35,1)=1,1,0),0)</f>
        <v>0</v>
      </c>
      <c r="AH35" s="57" t="n">
        <f aca="false">IF(AND(AA35=1,AB35=1),IF(COUNTIFS($J$17:J35,J35,$K$17:K35,K35,$AA$17:AA35,1,$AB$17:AB35,1)=1,1,0),0)</f>
        <v>0</v>
      </c>
      <c r="AI35" s="56" t="n">
        <f aca="false">IF(V35=1,MAX(F35,0),0)</f>
        <v>1206229.85</v>
      </c>
      <c r="AJ35" s="56" t="n">
        <f aca="false">IF(V35=1,MIN(F35,0),0)</f>
        <v>0</v>
      </c>
    </row>
    <row r="36" customFormat="false" ht="40" hidden="false" customHeight="true" outlineLevel="0" collapsed="false">
      <c r="A36" s="66" t="n">
        <v>45132</v>
      </c>
      <c r="B36" s="54" t="str">
        <f aca="false">IF(M36="","",IF(P36="",M36,HYPERLINK(P36,M36)))</f>
        <v>GS35F337BA-49100421F0078</v>
      </c>
      <c r="C36" s="54" t="str">
        <f aca="false">IF(N36="","",IF(Q36="",N36,HYPERLINK(Q36,N36)))</f>
        <v>Civicactions, Inc.</v>
      </c>
      <c r="D36" s="60" t="s">
        <v>115</v>
      </c>
      <c r="E36" s="54" t="str">
        <f aca="false">IF(O36="","",IF(R36="",O36,HYPERLINK(R36,O36)))</f>
        <v>Division of Information Systems</v>
      </c>
      <c r="F36" s="62" t="n">
        <v>156541.78</v>
      </c>
      <c r="G36" s="61" t="s">
        <v>464</v>
      </c>
      <c r="H36" s="58"/>
      <c r="I36" s="58" t="s">
        <v>484</v>
      </c>
      <c r="J36" s="58" t="s">
        <v>414</v>
      </c>
      <c r="K36" s="58" t="s">
        <v>113</v>
      </c>
      <c r="L36" s="58" t="s">
        <v>197</v>
      </c>
      <c r="M36" s="58" t="s">
        <v>415</v>
      </c>
      <c r="N36" s="58" t="s">
        <v>114</v>
      </c>
      <c r="O36" s="58" t="s">
        <v>198</v>
      </c>
      <c r="P36" s="58" t="s">
        <v>416</v>
      </c>
      <c r="Q36" s="58" t="s">
        <v>116</v>
      </c>
      <c r="R36" s="58" t="s">
        <v>200</v>
      </c>
      <c r="S36" s="57" t="n">
        <f aca="false">IF(ISNUMBER(A36),YEAR(A36)+IF(MONTH(A36)&gt;=10,1,0),"")</f>
        <v>2023</v>
      </c>
      <c r="T36" s="57" t="n">
        <f aca="false">IF(ISNUMBER(A36),INT(MOD(MONTH(A36)-10,12)/3)+1,"")</f>
        <v>4</v>
      </c>
      <c r="U36" s="57" t="str">
        <f aca="false">IF(AND(I36&lt;&gt;"",D36&lt;&gt;"",OR(COUNTIFS(TransactionsData[Vendor ID],K36,TransactionsData[UEI],"&lt;&gt;"&amp;D36,TransactionsData[UEI],"?*")&gt;0,COUNTIFS(VendorGroups[Record ID],K36,VendorGroups[Source UEI],"&lt;&gt;"&amp;D36,VendorGroups[Source UEI],"?*")&gt;0)),"Conflicting vendor UEIs",IF(I36="",IF(COUNTA(A36,D36,F36:R36)&gt;0,"Missing transaction ID",""),IF(COUNTIFS(TransactionsData[Transaction ID],I36)&lt;&gt;1,"Duplicate transaction ID",IF(OR(NOT(ISNUMBER(A36)),A36&lt;1,A36&gt;DATE(2099,1,1)),"Use a valid date",IF(OR(A36&lt;$B$4,A36&gt;$D$4),"Outside coverage",IF(NOT(ISNUMBER(F36)),"Missing or invalid amount",IF(OR(K36="",L36="",N36=""),"Add vendor and office identities",IF(G36="Exclude",IF(OR(F36&lt;&gt;0,H36=""),"Review nonzero or unexplained exclusion",""),IF(G36&lt;&gt;"Include","Choose Include or Exclude",IF(COUNTIFS(AwardsData[Award ID],J36)&lt;&gt;1,"Award link needs review",IF(INDEX(AwardsData[Input check],MATCH(J36,AwardsData[Award ID],0))&lt;&gt;"","Check award inputs","")))))))))))</f>
        <v/>
      </c>
      <c r="V36" s="57" t="n">
        <f aca="false">IF(AND(I36&lt;&gt;"",U36="",G36="Include"),1,0)</f>
        <v>1</v>
      </c>
      <c r="W36" s="57" t="str">
        <f aca="false">IF(I36="","",IF(COUNTIFS(AwardsData[Award ID],J36)=1,INDEX(AwardsData[Current award type],MATCH(J36,AwardsData[Award ID],0)),"Unlinked"))</f>
        <v>Delivery Order</v>
      </c>
      <c r="X36" s="57" t="str">
        <f aca="false">IF(I36="","",IF(COUNTIFS(AwardsData[Award ID],J36)=1,INDEX(AwardsData[Current set-aside],MATCH(J36,AwardsData[Award ID],0)),"Unlinked"))</f>
        <v>Total Small Business</v>
      </c>
      <c r="Y36" s="57" t="str">
        <f aca="false">IF(I36="","",IF(COUNTIFS(AwardsData[Award ID],J36)=1,INDEX(AwardsData[Performance state],MATCH(J36,AwardsData[Award ID],0)),"Unlinked"))</f>
        <v>California</v>
      </c>
      <c r="Z36" s="57" t="n">
        <f aca="false">IF(AND(V36=1,OR(Dashboard!$AB$2="All",K36=Dashboard!$AB$2),OR(Dashboard!$AB$3="All",L36=Dashboard!$AB$3),OR(Dashboard!$N$10="All",W36=Dashboard!$N$10)),1,0)</f>
        <v>1</v>
      </c>
      <c r="AA36" s="57" t="n">
        <f aca="false">IF(AND(Z36=1,OR(Dashboard!$B$7="All",S36=Dashboard!$B$7)),1,0)</f>
        <v>0</v>
      </c>
      <c r="AB36" s="57" t="n">
        <f aca="false">IF(AND(V36=1,F36&lt;&gt;0),1,0)</f>
        <v>1</v>
      </c>
      <c r="AC36" s="57" t="n">
        <f aca="false">IF(AND(AA36=1,AB36=1),IF(COUNTIFS($J$17:J36,J36,$AA$17:AA36,1,$AB$17:AB36,1)=1,1,0),0)</f>
        <v>0</v>
      </c>
      <c r="AD36" s="57" t="n">
        <f aca="false">IF(AND(AA36=1,AB36=1),IF(COUNTIFS($K$17:K36,K36,$AA$17:AA36,1,$AB$17:AB36,1)=1,1,0),0)</f>
        <v>0</v>
      </c>
      <c r="AE36" s="57" t="n">
        <f aca="false">IF(AND(Z36=1,AB36=1),IF(COUNTIFS($J$17:J36,J36,$S$17:S36,S36,$Z$17:Z36,1,$AB$17:AB36,1)=1,1,0),0)</f>
        <v>0</v>
      </c>
      <c r="AF36" s="57" t="n">
        <f aca="false">IF(AND(Z36=1,AB36=1),IF(COUNTIFS($K$17:K36,K36,$S$17:S36,S36,$Z$17:Z36,1,$AB$17:AB36,1)=1,1,0),0)</f>
        <v>0</v>
      </c>
      <c r="AG36" s="57" t="n">
        <f aca="false">IF(AND(AA36=1,AB36=1),IF(COUNTIFS($J$17:J36,J36,$L$17:L36,L36,$AA$17:AA36,1,$AB$17:AB36,1)=1,1,0),0)</f>
        <v>0</v>
      </c>
      <c r="AH36" s="57" t="n">
        <f aca="false">IF(AND(AA36=1,AB36=1),IF(COUNTIFS($J$17:J36,J36,$K$17:K36,K36,$AA$17:AA36,1,$AB$17:AB36,1)=1,1,0),0)</f>
        <v>0</v>
      </c>
      <c r="AI36" s="56" t="n">
        <f aca="false">IF(V36=1,MAX(F36,0),0)</f>
        <v>156541.78</v>
      </c>
      <c r="AJ36" s="56" t="n">
        <f aca="false">IF(V36=1,MIN(F36,0),0)</f>
        <v>0</v>
      </c>
    </row>
    <row r="37" customFormat="false" ht="40" hidden="false" customHeight="true" outlineLevel="0" collapsed="false">
      <c r="A37" s="66" t="n">
        <v>45135</v>
      </c>
      <c r="B37" s="54" t="str">
        <f aca="false">IF(M37="","",IF(P37="",M37,HYPERLINK(P37,M37)))</f>
        <v>49100422C0029</v>
      </c>
      <c r="C37" s="54" t="str">
        <f aca="false">IF(N37="","",IF(Q37="",N37,HYPERLINK(Q37,N37)))</f>
        <v>Rei Systems, Inc.</v>
      </c>
      <c r="D37" s="60" t="s">
        <v>158</v>
      </c>
      <c r="E37" s="54" t="str">
        <f aca="false">IF(O37="","",IF(R37="",O37,HYPERLINK(R37,O37)))</f>
        <v>Division of Information Systems</v>
      </c>
      <c r="F37" s="62" t="n">
        <v>683461.09</v>
      </c>
      <c r="G37" s="61" t="s">
        <v>464</v>
      </c>
      <c r="H37" s="58"/>
      <c r="I37" s="58" t="s">
        <v>485</v>
      </c>
      <c r="J37" s="58" t="s">
        <v>327</v>
      </c>
      <c r="K37" s="58" t="s">
        <v>156</v>
      </c>
      <c r="L37" s="58" t="s">
        <v>197</v>
      </c>
      <c r="M37" s="58" t="s">
        <v>327</v>
      </c>
      <c r="N37" s="58" t="s">
        <v>157</v>
      </c>
      <c r="O37" s="58" t="s">
        <v>198</v>
      </c>
      <c r="P37" s="58" t="s">
        <v>328</v>
      </c>
      <c r="Q37" s="58" t="s">
        <v>159</v>
      </c>
      <c r="R37" s="58" t="s">
        <v>200</v>
      </c>
      <c r="S37" s="57" t="n">
        <f aca="false">IF(ISNUMBER(A37),YEAR(A37)+IF(MONTH(A37)&gt;=10,1,0),"")</f>
        <v>2023</v>
      </c>
      <c r="T37" s="57" t="n">
        <f aca="false">IF(ISNUMBER(A37),INT(MOD(MONTH(A37)-10,12)/3)+1,"")</f>
        <v>4</v>
      </c>
      <c r="U37" s="57" t="str">
        <f aca="false">IF(AND(I37&lt;&gt;"",D37&lt;&gt;"",OR(COUNTIFS(TransactionsData[Vendor ID],K37,TransactionsData[UEI],"&lt;&gt;"&amp;D37,TransactionsData[UEI],"?*")&gt;0,COUNTIFS(VendorGroups[Record ID],K37,VendorGroups[Source UEI],"&lt;&gt;"&amp;D37,VendorGroups[Source UEI],"?*")&gt;0)),"Conflicting vendor UEIs",IF(I37="",IF(COUNTA(A37,D37,F37:R37)&gt;0,"Missing transaction ID",""),IF(COUNTIFS(TransactionsData[Transaction ID],I37)&lt;&gt;1,"Duplicate transaction ID",IF(OR(NOT(ISNUMBER(A37)),A37&lt;1,A37&gt;DATE(2099,1,1)),"Use a valid date",IF(OR(A37&lt;$B$4,A37&gt;$D$4),"Outside coverage",IF(NOT(ISNUMBER(F37)),"Missing or invalid amount",IF(OR(K37="",L37="",N37=""),"Add vendor and office identities",IF(G37="Exclude",IF(OR(F37&lt;&gt;0,H37=""),"Review nonzero or unexplained exclusion",""),IF(G37&lt;&gt;"Include","Choose Include or Exclude",IF(COUNTIFS(AwardsData[Award ID],J37)&lt;&gt;1,"Award link needs review",IF(INDEX(AwardsData[Input check],MATCH(J37,AwardsData[Award ID],0))&lt;&gt;"","Check award inputs","")))))))))))</f>
        <v/>
      </c>
      <c r="V37" s="57" t="n">
        <f aca="false">IF(AND(I37&lt;&gt;"",U37="",G37="Include"),1,0)</f>
        <v>1</v>
      </c>
      <c r="W37" s="57" t="str">
        <f aca="false">IF(I37="","",IF(COUNTIFS(AwardsData[Award ID],J37)=1,INDEX(AwardsData[Current award type],MATCH(J37,AwardsData[Award ID],0)),"Unlinked"))</f>
        <v>Definitive Contract</v>
      </c>
      <c r="X37" s="57" t="str">
        <f aca="false">IF(I37="","",IF(COUNTIFS(AwardsData[Award ID],J37)=1,INDEX(AwardsData[Current set-aside],MATCH(J37,AwardsData[Award ID],0)),"Unlinked"))</f>
        <v>No Set-Aside Used</v>
      </c>
      <c r="Y37" s="57" t="str">
        <f aca="false">IF(I37="","",IF(COUNTIFS(AwardsData[Award ID],J37)=1,INDEX(AwardsData[Performance state],MATCH(J37,AwardsData[Award ID],0)),"Unlinked"))</f>
        <v>Virginia</v>
      </c>
      <c r="Z37" s="57" t="n">
        <f aca="false">IF(AND(V37=1,OR(Dashboard!$AB$2="All",K37=Dashboard!$AB$2),OR(Dashboard!$AB$3="All",L37=Dashboard!$AB$3),OR(Dashboard!$N$10="All",W37=Dashboard!$N$10)),1,0)</f>
        <v>1</v>
      </c>
      <c r="AA37" s="57" t="n">
        <f aca="false">IF(AND(Z37=1,OR(Dashboard!$B$7="All",S37=Dashboard!$B$7)),1,0)</f>
        <v>0</v>
      </c>
      <c r="AB37" s="57" t="n">
        <f aca="false">IF(AND(V37=1,F37&lt;&gt;0),1,0)</f>
        <v>1</v>
      </c>
      <c r="AC37" s="57" t="n">
        <f aca="false">IF(AND(AA37=1,AB37=1),IF(COUNTIFS($J$17:J37,J37,$AA$17:AA37,1,$AB$17:AB37,1)=1,1,0),0)</f>
        <v>0</v>
      </c>
      <c r="AD37" s="57" t="n">
        <f aca="false">IF(AND(AA37=1,AB37=1),IF(COUNTIFS($K$17:K37,K37,$AA$17:AA37,1,$AB$17:AB37,1)=1,1,0),0)</f>
        <v>0</v>
      </c>
      <c r="AE37" s="57" t="n">
        <f aca="false">IF(AND(Z37=1,AB37=1),IF(COUNTIFS($J$17:J37,J37,$S$17:S37,S37,$Z$17:Z37,1,$AB$17:AB37,1)=1,1,0),0)</f>
        <v>0</v>
      </c>
      <c r="AF37" s="57" t="n">
        <f aca="false">IF(AND(Z37=1,AB37=1),IF(COUNTIFS($K$17:K37,K37,$S$17:S37,S37,$Z$17:Z37,1,$AB$17:AB37,1)=1,1,0),0)</f>
        <v>0</v>
      </c>
      <c r="AG37" s="57" t="n">
        <f aca="false">IF(AND(AA37=1,AB37=1),IF(COUNTIFS($J$17:J37,J37,$L$17:L37,L37,$AA$17:AA37,1,$AB$17:AB37,1)=1,1,0),0)</f>
        <v>0</v>
      </c>
      <c r="AH37" s="57" t="n">
        <f aca="false">IF(AND(AA37=1,AB37=1),IF(COUNTIFS($J$17:J37,J37,$K$17:K37,K37,$AA$17:AA37,1,$AB$17:AB37,1)=1,1,0),0)</f>
        <v>0</v>
      </c>
      <c r="AI37" s="56" t="n">
        <f aca="false">IF(V37=1,MAX(F37,0),0)</f>
        <v>683461.09</v>
      </c>
      <c r="AJ37" s="56" t="n">
        <f aca="false">IF(V37=1,MIN(F37,0),0)</f>
        <v>0</v>
      </c>
    </row>
    <row r="38" customFormat="false" ht="40" hidden="false" customHeight="true" outlineLevel="0" collapsed="false">
      <c r="A38" s="66" t="n">
        <v>45138</v>
      </c>
      <c r="B38" s="54" t="str">
        <f aca="false">IF(M38="","",IF(P38="",M38,HYPERLINK(P38,M38)))</f>
        <v>GS35F337BA-49100421F0078</v>
      </c>
      <c r="C38" s="54" t="str">
        <f aca="false">IF(N38="","",IF(Q38="",N38,HYPERLINK(Q38,N38)))</f>
        <v>Civicactions, Inc.</v>
      </c>
      <c r="D38" s="60" t="s">
        <v>115</v>
      </c>
      <c r="E38" s="54" t="str">
        <f aca="false">IF(O38="","",IF(R38="",O38,HYPERLINK(R38,O38)))</f>
        <v>Division of Information Systems</v>
      </c>
      <c r="F38" s="62" t="n">
        <v>0</v>
      </c>
      <c r="G38" s="61" t="s">
        <v>464</v>
      </c>
      <c r="H38" s="58"/>
      <c r="I38" s="58" t="s">
        <v>486</v>
      </c>
      <c r="J38" s="58" t="s">
        <v>414</v>
      </c>
      <c r="K38" s="58" t="s">
        <v>113</v>
      </c>
      <c r="L38" s="58" t="s">
        <v>197</v>
      </c>
      <c r="M38" s="58" t="s">
        <v>415</v>
      </c>
      <c r="N38" s="58" t="s">
        <v>114</v>
      </c>
      <c r="O38" s="58" t="s">
        <v>198</v>
      </c>
      <c r="P38" s="58" t="s">
        <v>416</v>
      </c>
      <c r="Q38" s="58" t="s">
        <v>116</v>
      </c>
      <c r="R38" s="58" t="s">
        <v>200</v>
      </c>
      <c r="S38" s="57" t="n">
        <f aca="false">IF(ISNUMBER(A38),YEAR(A38)+IF(MONTH(A38)&gt;=10,1,0),"")</f>
        <v>2023</v>
      </c>
      <c r="T38" s="57" t="n">
        <f aca="false">IF(ISNUMBER(A38),INT(MOD(MONTH(A38)-10,12)/3)+1,"")</f>
        <v>4</v>
      </c>
      <c r="U38" s="57" t="str">
        <f aca="false">IF(AND(I38&lt;&gt;"",D38&lt;&gt;"",OR(COUNTIFS(TransactionsData[Vendor ID],K38,TransactionsData[UEI],"&lt;&gt;"&amp;D38,TransactionsData[UEI],"?*")&gt;0,COUNTIFS(VendorGroups[Record ID],K38,VendorGroups[Source UEI],"&lt;&gt;"&amp;D38,VendorGroups[Source UEI],"?*")&gt;0)),"Conflicting vendor UEIs",IF(I38="",IF(COUNTA(A38,D38,F38:R38)&gt;0,"Missing transaction ID",""),IF(COUNTIFS(TransactionsData[Transaction ID],I38)&lt;&gt;1,"Duplicate transaction ID",IF(OR(NOT(ISNUMBER(A38)),A38&lt;1,A38&gt;DATE(2099,1,1)),"Use a valid date",IF(OR(A38&lt;$B$4,A38&gt;$D$4),"Outside coverage",IF(NOT(ISNUMBER(F38)),"Missing or invalid amount",IF(OR(K38="",L38="",N38=""),"Add vendor and office identities",IF(G38="Exclude",IF(OR(F38&lt;&gt;0,H38=""),"Review nonzero or unexplained exclusion",""),IF(G38&lt;&gt;"Include","Choose Include or Exclude",IF(COUNTIFS(AwardsData[Award ID],J38)&lt;&gt;1,"Award link needs review",IF(INDEX(AwardsData[Input check],MATCH(J38,AwardsData[Award ID],0))&lt;&gt;"","Check award inputs","")))))))))))</f>
        <v/>
      </c>
      <c r="V38" s="57" t="n">
        <f aca="false">IF(AND(I38&lt;&gt;"",U38="",G38="Include"),1,0)</f>
        <v>1</v>
      </c>
      <c r="W38" s="57" t="str">
        <f aca="false">IF(I38="","",IF(COUNTIFS(AwardsData[Award ID],J38)=1,INDEX(AwardsData[Current award type],MATCH(J38,AwardsData[Award ID],0)),"Unlinked"))</f>
        <v>Delivery Order</v>
      </c>
      <c r="X38" s="57" t="str">
        <f aca="false">IF(I38="","",IF(COUNTIFS(AwardsData[Award ID],J38)=1,INDEX(AwardsData[Current set-aside],MATCH(J38,AwardsData[Award ID],0)),"Unlinked"))</f>
        <v>Total Small Business</v>
      </c>
      <c r="Y38" s="57" t="str">
        <f aca="false">IF(I38="","",IF(COUNTIFS(AwardsData[Award ID],J38)=1,INDEX(AwardsData[Performance state],MATCH(J38,AwardsData[Award ID],0)),"Unlinked"))</f>
        <v>California</v>
      </c>
      <c r="Z38" s="57" t="n">
        <f aca="false">IF(AND(V38=1,OR(Dashboard!$AB$2="All",K38=Dashboard!$AB$2),OR(Dashboard!$AB$3="All",L38=Dashboard!$AB$3),OR(Dashboard!$N$10="All",W38=Dashboard!$N$10)),1,0)</f>
        <v>1</v>
      </c>
      <c r="AA38" s="57" t="n">
        <f aca="false">IF(AND(Z38=1,OR(Dashboard!$B$7="All",S38=Dashboard!$B$7)),1,0)</f>
        <v>0</v>
      </c>
      <c r="AB38" s="57" t="n">
        <f aca="false">IF(AND(V38=1,F38&lt;&gt;0),1,0)</f>
        <v>0</v>
      </c>
      <c r="AC38" s="57" t="n">
        <f aca="false">IF(AND(AA38=1,AB38=1),IF(COUNTIFS($J$17:J38,J38,$AA$17:AA38,1,$AB$17:AB38,1)=1,1,0),0)</f>
        <v>0</v>
      </c>
      <c r="AD38" s="57" t="n">
        <f aca="false">IF(AND(AA38=1,AB38=1),IF(COUNTIFS($K$17:K38,K38,$AA$17:AA38,1,$AB$17:AB38,1)=1,1,0),0)</f>
        <v>0</v>
      </c>
      <c r="AE38" s="57" t="n">
        <f aca="false">IF(AND(Z38=1,AB38=1),IF(COUNTIFS($J$17:J38,J38,$S$17:S38,S38,$Z$17:Z38,1,$AB$17:AB38,1)=1,1,0),0)</f>
        <v>0</v>
      </c>
      <c r="AF38" s="57" t="n">
        <f aca="false">IF(AND(Z38=1,AB38=1),IF(COUNTIFS($K$17:K38,K38,$S$17:S38,S38,$Z$17:Z38,1,$AB$17:AB38,1)=1,1,0),0)</f>
        <v>0</v>
      </c>
      <c r="AG38" s="57" t="n">
        <f aca="false">IF(AND(AA38=1,AB38=1),IF(COUNTIFS($J$17:J38,J38,$L$17:L38,L38,$AA$17:AA38,1,$AB$17:AB38,1)=1,1,0),0)</f>
        <v>0</v>
      </c>
      <c r="AH38" s="57" t="n">
        <f aca="false">IF(AND(AA38=1,AB38=1),IF(COUNTIFS($J$17:J38,J38,$K$17:K38,K38,$AA$17:AA38,1,$AB$17:AB38,1)=1,1,0),0)</f>
        <v>0</v>
      </c>
      <c r="AI38" s="56" t="n">
        <f aca="false">IF(V38=1,MAX(F38,0),0)</f>
        <v>0</v>
      </c>
      <c r="AJ38" s="56" t="n">
        <f aca="false">IF(V38=1,MIN(F38,0),0)</f>
        <v>0</v>
      </c>
    </row>
    <row r="39" customFormat="false" ht="40" hidden="false" customHeight="true" outlineLevel="0" collapsed="false">
      <c r="A39" s="66" t="n">
        <v>45140</v>
      </c>
      <c r="B39" s="54" t="str">
        <f aca="false">IF(M39="","",IF(P39="",M39,HYPERLINK(P39,M39)))</f>
        <v>GS35F337BA-49100421F0078</v>
      </c>
      <c r="C39" s="54" t="str">
        <f aca="false">IF(N39="","",IF(Q39="",N39,HYPERLINK(Q39,N39)))</f>
        <v>Civicactions, Inc.</v>
      </c>
      <c r="D39" s="60" t="s">
        <v>115</v>
      </c>
      <c r="E39" s="54" t="str">
        <f aca="false">IF(O39="","",IF(R39="",O39,HYPERLINK(R39,O39)))</f>
        <v>Division of Information Systems</v>
      </c>
      <c r="F39" s="62" t="n">
        <v>0</v>
      </c>
      <c r="G39" s="61" t="s">
        <v>464</v>
      </c>
      <c r="H39" s="58"/>
      <c r="I39" s="58" t="s">
        <v>487</v>
      </c>
      <c r="J39" s="58" t="s">
        <v>414</v>
      </c>
      <c r="K39" s="58" t="s">
        <v>113</v>
      </c>
      <c r="L39" s="58" t="s">
        <v>197</v>
      </c>
      <c r="M39" s="58" t="s">
        <v>415</v>
      </c>
      <c r="N39" s="58" t="s">
        <v>114</v>
      </c>
      <c r="O39" s="58" t="s">
        <v>198</v>
      </c>
      <c r="P39" s="58" t="s">
        <v>416</v>
      </c>
      <c r="Q39" s="58" t="s">
        <v>116</v>
      </c>
      <c r="R39" s="58" t="s">
        <v>200</v>
      </c>
      <c r="S39" s="57" t="n">
        <f aca="false">IF(ISNUMBER(A39),YEAR(A39)+IF(MONTH(A39)&gt;=10,1,0),"")</f>
        <v>2023</v>
      </c>
      <c r="T39" s="57" t="n">
        <f aca="false">IF(ISNUMBER(A39),INT(MOD(MONTH(A39)-10,12)/3)+1,"")</f>
        <v>4</v>
      </c>
      <c r="U39" s="57" t="str">
        <f aca="false">IF(AND(I39&lt;&gt;"",D39&lt;&gt;"",OR(COUNTIFS(TransactionsData[Vendor ID],K39,TransactionsData[UEI],"&lt;&gt;"&amp;D39,TransactionsData[UEI],"?*")&gt;0,COUNTIFS(VendorGroups[Record ID],K39,VendorGroups[Source UEI],"&lt;&gt;"&amp;D39,VendorGroups[Source UEI],"?*")&gt;0)),"Conflicting vendor UEIs",IF(I39="",IF(COUNTA(A39,D39,F39:R39)&gt;0,"Missing transaction ID",""),IF(COUNTIFS(TransactionsData[Transaction ID],I39)&lt;&gt;1,"Duplicate transaction ID",IF(OR(NOT(ISNUMBER(A39)),A39&lt;1,A39&gt;DATE(2099,1,1)),"Use a valid date",IF(OR(A39&lt;$B$4,A39&gt;$D$4),"Outside coverage",IF(NOT(ISNUMBER(F39)),"Missing or invalid amount",IF(OR(K39="",L39="",N39=""),"Add vendor and office identities",IF(G39="Exclude",IF(OR(F39&lt;&gt;0,H39=""),"Review nonzero or unexplained exclusion",""),IF(G39&lt;&gt;"Include","Choose Include or Exclude",IF(COUNTIFS(AwardsData[Award ID],J39)&lt;&gt;1,"Award link needs review",IF(INDEX(AwardsData[Input check],MATCH(J39,AwardsData[Award ID],0))&lt;&gt;"","Check award inputs","")))))))))))</f>
        <v/>
      </c>
      <c r="V39" s="57" t="n">
        <f aca="false">IF(AND(I39&lt;&gt;"",U39="",G39="Include"),1,0)</f>
        <v>1</v>
      </c>
      <c r="W39" s="57" t="str">
        <f aca="false">IF(I39="","",IF(COUNTIFS(AwardsData[Award ID],J39)=1,INDEX(AwardsData[Current award type],MATCH(J39,AwardsData[Award ID],0)),"Unlinked"))</f>
        <v>Delivery Order</v>
      </c>
      <c r="X39" s="57" t="str">
        <f aca="false">IF(I39="","",IF(COUNTIFS(AwardsData[Award ID],J39)=1,INDEX(AwardsData[Current set-aside],MATCH(J39,AwardsData[Award ID],0)),"Unlinked"))</f>
        <v>Total Small Business</v>
      </c>
      <c r="Y39" s="57" t="str">
        <f aca="false">IF(I39="","",IF(COUNTIFS(AwardsData[Award ID],J39)=1,INDEX(AwardsData[Performance state],MATCH(J39,AwardsData[Award ID],0)),"Unlinked"))</f>
        <v>California</v>
      </c>
      <c r="Z39" s="57" t="n">
        <f aca="false">IF(AND(V39=1,OR(Dashboard!$AB$2="All",K39=Dashboard!$AB$2),OR(Dashboard!$AB$3="All",L39=Dashboard!$AB$3),OR(Dashboard!$N$10="All",W39=Dashboard!$N$10)),1,0)</f>
        <v>1</v>
      </c>
      <c r="AA39" s="57" t="n">
        <f aca="false">IF(AND(Z39=1,OR(Dashboard!$B$7="All",S39=Dashboard!$B$7)),1,0)</f>
        <v>0</v>
      </c>
      <c r="AB39" s="57" t="n">
        <f aca="false">IF(AND(V39=1,F39&lt;&gt;0),1,0)</f>
        <v>0</v>
      </c>
      <c r="AC39" s="57" t="n">
        <f aca="false">IF(AND(AA39=1,AB39=1),IF(COUNTIFS($J$17:J39,J39,$AA$17:AA39,1,$AB$17:AB39,1)=1,1,0),0)</f>
        <v>0</v>
      </c>
      <c r="AD39" s="57" t="n">
        <f aca="false">IF(AND(AA39=1,AB39=1),IF(COUNTIFS($K$17:K39,K39,$AA$17:AA39,1,$AB$17:AB39,1)=1,1,0),0)</f>
        <v>0</v>
      </c>
      <c r="AE39" s="57" t="n">
        <f aca="false">IF(AND(Z39=1,AB39=1),IF(COUNTIFS($J$17:J39,J39,$S$17:S39,S39,$Z$17:Z39,1,$AB$17:AB39,1)=1,1,0),0)</f>
        <v>0</v>
      </c>
      <c r="AF39" s="57" t="n">
        <f aca="false">IF(AND(Z39=1,AB39=1),IF(COUNTIFS($K$17:K39,K39,$S$17:S39,S39,$Z$17:Z39,1,$AB$17:AB39,1)=1,1,0),0)</f>
        <v>0</v>
      </c>
      <c r="AG39" s="57" t="n">
        <f aca="false">IF(AND(AA39=1,AB39=1),IF(COUNTIFS($J$17:J39,J39,$L$17:L39,L39,$AA$17:AA39,1,$AB$17:AB39,1)=1,1,0),0)</f>
        <v>0</v>
      </c>
      <c r="AH39" s="57" t="n">
        <f aca="false">IF(AND(AA39=1,AB39=1),IF(COUNTIFS($J$17:J39,J39,$K$17:K39,K39,$AA$17:AA39,1,$AB$17:AB39,1)=1,1,0),0)</f>
        <v>0</v>
      </c>
      <c r="AI39" s="56" t="n">
        <f aca="false">IF(V39=1,MAX(F39,0),0)</f>
        <v>0</v>
      </c>
      <c r="AJ39" s="56" t="n">
        <f aca="false">IF(V39=1,MIN(F39,0),0)</f>
        <v>0</v>
      </c>
    </row>
    <row r="40" customFormat="false" ht="40" hidden="false" customHeight="true" outlineLevel="0" collapsed="false">
      <c r="A40" s="66" t="n">
        <v>45154</v>
      </c>
      <c r="B40" s="54" t="str">
        <f aca="false">IF(M40="","",IF(P40="",M40,HYPERLINK(P40,M40)))</f>
        <v>49100423P0060</v>
      </c>
      <c r="C40" s="54" t="str">
        <f aca="false">IF(N40="","",IF(Q40="",N40,HYPERLINK(Q40,N40)))</f>
        <v>University Corporation For Advanced Internet Development</v>
      </c>
      <c r="D40" s="60" t="s">
        <v>178</v>
      </c>
      <c r="E40" s="54" t="str">
        <f aca="false">IF(O40="","",IF(R40="",O40,HYPERLINK(R40,O40)))</f>
        <v>Office of Information Resource Management</v>
      </c>
      <c r="F40" s="62" t="n">
        <v>37941</v>
      </c>
      <c r="G40" s="61" t="s">
        <v>464</v>
      </c>
      <c r="H40" s="58"/>
      <c r="I40" s="58" t="s">
        <v>488</v>
      </c>
      <c r="J40" s="58" t="s">
        <v>361</v>
      </c>
      <c r="K40" s="58" t="s">
        <v>176</v>
      </c>
      <c r="L40" s="58" t="s">
        <v>220</v>
      </c>
      <c r="M40" s="58" t="s">
        <v>361</v>
      </c>
      <c r="N40" s="58" t="s">
        <v>177</v>
      </c>
      <c r="O40" s="58" t="s">
        <v>221</v>
      </c>
      <c r="P40" s="58" t="s">
        <v>362</v>
      </c>
      <c r="Q40" s="58" t="s">
        <v>179</v>
      </c>
      <c r="R40" s="58" t="s">
        <v>223</v>
      </c>
      <c r="S40" s="57" t="n">
        <f aca="false">IF(ISNUMBER(A40),YEAR(A40)+IF(MONTH(A40)&gt;=10,1,0),"")</f>
        <v>2023</v>
      </c>
      <c r="T40" s="57" t="n">
        <f aca="false">IF(ISNUMBER(A40),INT(MOD(MONTH(A40)-10,12)/3)+1,"")</f>
        <v>4</v>
      </c>
      <c r="U40" s="57" t="str">
        <f aca="false">IF(AND(I40&lt;&gt;"",D40&lt;&gt;"",OR(COUNTIFS(TransactionsData[Vendor ID],K40,TransactionsData[UEI],"&lt;&gt;"&amp;D40,TransactionsData[UEI],"?*")&gt;0,COUNTIFS(VendorGroups[Record ID],K40,VendorGroups[Source UEI],"&lt;&gt;"&amp;D40,VendorGroups[Source UEI],"?*")&gt;0)),"Conflicting vendor UEIs",IF(I40="",IF(COUNTA(A40,D40,F40:R40)&gt;0,"Missing transaction ID",""),IF(COUNTIFS(TransactionsData[Transaction ID],I40)&lt;&gt;1,"Duplicate transaction ID",IF(OR(NOT(ISNUMBER(A40)),A40&lt;1,A40&gt;DATE(2099,1,1)),"Use a valid date",IF(OR(A40&lt;$B$4,A40&gt;$D$4),"Outside coverage",IF(NOT(ISNUMBER(F40)),"Missing or invalid amount",IF(OR(K40="",L40="",N40=""),"Add vendor and office identities",IF(G40="Exclude",IF(OR(F40&lt;&gt;0,H40=""),"Review nonzero or unexplained exclusion",""),IF(G40&lt;&gt;"Include","Choose Include or Exclude",IF(COUNTIFS(AwardsData[Award ID],J40)&lt;&gt;1,"Award link needs review",IF(INDEX(AwardsData[Input check],MATCH(J40,AwardsData[Award ID],0))&lt;&gt;"","Check award inputs","")))))))))))</f>
        <v/>
      </c>
      <c r="V40" s="57" t="n">
        <f aca="false">IF(AND(I40&lt;&gt;"",U40="",G40="Include"),1,0)</f>
        <v>1</v>
      </c>
      <c r="W40" s="57" t="str">
        <f aca="false">IF(I40="","",IF(COUNTIFS(AwardsData[Award ID],J40)=1,INDEX(AwardsData[Current award type],MATCH(J40,AwardsData[Award ID],0)),"Unlinked"))</f>
        <v>Purchase Order</v>
      </c>
      <c r="X40" s="57" t="str">
        <f aca="false">IF(I40="","",IF(COUNTIFS(AwardsData[Award ID],J40)=1,INDEX(AwardsData[Current set-aside],MATCH(J40,AwardsData[Award ID],0)),"Unlinked"))</f>
        <v>No Set-Aside Used</v>
      </c>
      <c r="Y40" s="57" t="str">
        <f aca="false">IF(I40="","",IF(COUNTIFS(AwardsData[Award ID],J40)=1,INDEX(AwardsData[Performance state],MATCH(J40,AwardsData[Award ID],0)),"Unlinked"))</f>
        <v>Virginia</v>
      </c>
      <c r="Z40" s="57" t="n">
        <f aca="false">IF(AND(V40=1,OR(Dashboard!$AB$2="All",K40=Dashboard!$AB$2),OR(Dashboard!$AB$3="All",L40=Dashboard!$AB$3),OR(Dashboard!$N$10="All",W40=Dashboard!$N$10)),1,0)</f>
        <v>1</v>
      </c>
      <c r="AA40" s="57" t="n">
        <f aca="false">IF(AND(Z40=1,OR(Dashboard!$B$7="All",S40=Dashboard!$B$7)),1,0)</f>
        <v>0</v>
      </c>
      <c r="AB40" s="57" t="n">
        <f aca="false">IF(AND(V40=1,F40&lt;&gt;0),1,0)</f>
        <v>1</v>
      </c>
      <c r="AC40" s="57" t="n">
        <f aca="false">IF(AND(AA40=1,AB40=1),IF(COUNTIFS($J$17:J40,J40,$AA$17:AA40,1,$AB$17:AB40,1)=1,1,0),0)</f>
        <v>0</v>
      </c>
      <c r="AD40" s="57" t="n">
        <f aca="false">IF(AND(AA40=1,AB40=1),IF(COUNTIFS($K$17:K40,K40,$AA$17:AA40,1,$AB$17:AB40,1)=1,1,0),0)</f>
        <v>0</v>
      </c>
      <c r="AE40" s="57" t="n">
        <f aca="false">IF(AND(Z40=1,AB40=1),IF(COUNTIFS($J$17:J40,J40,$S$17:S40,S40,$Z$17:Z40,1,$AB$17:AB40,1)=1,1,0),0)</f>
        <v>1</v>
      </c>
      <c r="AF40" s="57" t="n">
        <f aca="false">IF(AND(Z40=1,AB40=1),IF(COUNTIFS($K$17:K40,K40,$S$17:S40,S40,$Z$17:Z40,1,$AB$17:AB40,1)=1,1,0),0)</f>
        <v>1</v>
      </c>
      <c r="AG40" s="57" t="n">
        <f aca="false">IF(AND(AA40=1,AB40=1),IF(COUNTIFS($J$17:J40,J40,$L$17:L40,L40,$AA$17:AA40,1,$AB$17:AB40,1)=1,1,0),0)</f>
        <v>0</v>
      </c>
      <c r="AH40" s="57" t="n">
        <f aca="false">IF(AND(AA40=1,AB40=1),IF(COUNTIFS($J$17:J40,J40,$K$17:K40,K40,$AA$17:AA40,1,$AB$17:AB40,1)=1,1,0),0)</f>
        <v>0</v>
      </c>
      <c r="AI40" s="56" t="n">
        <f aca="false">IF(V40=1,MAX(F40,0),0)</f>
        <v>37941</v>
      </c>
      <c r="AJ40" s="56" t="n">
        <f aca="false">IF(V40=1,MIN(F40,0),0)</f>
        <v>0</v>
      </c>
    </row>
    <row r="41" customFormat="false" ht="40" hidden="false" customHeight="true" outlineLevel="0" collapsed="false">
      <c r="A41" s="66" t="n">
        <v>45159</v>
      </c>
      <c r="B41" s="54" t="str">
        <f aca="false">IF(M41="","",IF(P41="",M41,HYPERLINK(P41,M41)))</f>
        <v>GS35F337BA-49100421F0078</v>
      </c>
      <c r="C41" s="54" t="str">
        <f aca="false">IF(N41="","",IF(Q41="",N41,HYPERLINK(Q41,N41)))</f>
        <v>Civicactions, Inc.</v>
      </c>
      <c r="D41" s="60" t="s">
        <v>115</v>
      </c>
      <c r="E41" s="54" t="str">
        <f aca="false">IF(O41="","",IF(R41="",O41,HYPERLINK(R41,O41)))</f>
        <v>Division of Information Systems</v>
      </c>
      <c r="F41" s="62" t="n">
        <v>8000</v>
      </c>
      <c r="G41" s="61" t="s">
        <v>464</v>
      </c>
      <c r="H41" s="58"/>
      <c r="I41" s="58" t="s">
        <v>489</v>
      </c>
      <c r="J41" s="58" t="s">
        <v>414</v>
      </c>
      <c r="K41" s="58" t="s">
        <v>113</v>
      </c>
      <c r="L41" s="58" t="s">
        <v>197</v>
      </c>
      <c r="M41" s="58" t="s">
        <v>415</v>
      </c>
      <c r="N41" s="58" t="s">
        <v>114</v>
      </c>
      <c r="O41" s="58" t="s">
        <v>198</v>
      </c>
      <c r="P41" s="58" t="s">
        <v>416</v>
      </c>
      <c r="Q41" s="58" t="s">
        <v>116</v>
      </c>
      <c r="R41" s="58" t="s">
        <v>200</v>
      </c>
      <c r="S41" s="57" t="n">
        <f aca="false">IF(ISNUMBER(A41),YEAR(A41)+IF(MONTH(A41)&gt;=10,1,0),"")</f>
        <v>2023</v>
      </c>
      <c r="T41" s="57" t="n">
        <f aca="false">IF(ISNUMBER(A41),INT(MOD(MONTH(A41)-10,12)/3)+1,"")</f>
        <v>4</v>
      </c>
      <c r="U41" s="57" t="str">
        <f aca="false">IF(AND(I41&lt;&gt;"",D41&lt;&gt;"",OR(COUNTIFS(TransactionsData[Vendor ID],K41,TransactionsData[UEI],"&lt;&gt;"&amp;D41,TransactionsData[UEI],"?*")&gt;0,COUNTIFS(VendorGroups[Record ID],K41,VendorGroups[Source UEI],"&lt;&gt;"&amp;D41,VendorGroups[Source UEI],"?*")&gt;0)),"Conflicting vendor UEIs",IF(I41="",IF(COUNTA(A41,D41,F41:R41)&gt;0,"Missing transaction ID",""),IF(COUNTIFS(TransactionsData[Transaction ID],I41)&lt;&gt;1,"Duplicate transaction ID",IF(OR(NOT(ISNUMBER(A41)),A41&lt;1,A41&gt;DATE(2099,1,1)),"Use a valid date",IF(OR(A41&lt;$B$4,A41&gt;$D$4),"Outside coverage",IF(NOT(ISNUMBER(F41)),"Missing or invalid amount",IF(OR(K41="",L41="",N41=""),"Add vendor and office identities",IF(G41="Exclude",IF(OR(F41&lt;&gt;0,H41=""),"Review nonzero or unexplained exclusion",""),IF(G41&lt;&gt;"Include","Choose Include or Exclude",IF(COUNTIFS(AwardsData[Award ID],J41)&lt;&gt;1,"Award link needs review",IF(INDEX(AwardsData[Input check],MATCH(J41,AwardsData[Award ID],0))&lt;&gt;"","Check award inputs","")))))))))))</f>
        <v/>
      </c>
      <c r="V41" s="57" t="n">
        <f aca="false">IF(AND(I41&lt;&gt;"",U41="",G41="Include"),1,0)</f>
        <v>1</v>
      </c>
      <c r="W41" s="57" t="str">
        <f aca="false">IF(I41="","",IF(COUNTIFS(AwardsData[Award ID],J41)=1,INDEX(AwardsData[Current award type],MATCH(J41,AwardsData[Award ID],0)),"Unlinked"))</f>
        <v>Delivery Order</v>
      </c>
      <c r="X41" s="57" t="str">
        <f aca="false">IF(I41="","",IF(COUNTIFS(AwardsData[Award ID],J41)=1,INDEX(AwardsData[Current set-aside],MATCH(J41,AwardsData[Award ID],0)),"Unlinked"))</f>
        <v>Total Small Business</v>
      </c>
      <c r="Y41" s="57" t="str">
        <f aca="false">IF(I41="","",IF(COUNTIFS(AwardsData[Award ID],J41)=1,INDEX(AwardsData[Performance state],MATCH(J41,AwardsData[Award ID],0)),"Unlinked"))</f>
        <v>California</v>
      </c>
      <c r="Z41" s="57" t="n">
        <f aca="false">IF(AND(V41=1,OR(Dashboard!$AB$2="All",K41=Dashboard!$AB$2),OR(Dashboard!$AB$3="All",L41=Dashboard!$AB$3),OR(Dashboard!$N$10="All",W41=Dashboard!$N$10)),1,0)</f>
        <v>1</v>
      </c>
      <c r="AA41" s="57" t="n">
        <f aca="false">IF(AND(Z41=1,OR(Dashboard!$B$7="All",S41=Dashboard!$B$7)),1,0)</f>
        <v>0</v>
      </c>
      <c r="AB41" s="57" t="n">
        <f aca="false">IF(AND(V41=1,F41&lt;&gt;0),1,0)</f>
        <v>1</v>
      </c>
      <c r="AC41" s="57" t="n">
        <f aca="false">IF(AND(AA41=1,AB41=1),IF(COUNTIFS($J$17:J41,J41,$AA$17:AA41,1,$AB$17:AB41,1)=1,1,0),0)</f>
        <v>0</v>
      </c>
      <c r="AD41" s="57" t="n">
        <f aca="false">IF(AND(AA41=1,AB41=1),IF(COUNTIFS($K$17:K41,K41,$AA$17:AA41,1,$AB$17:AB41,1)=1,1,0),0)</f>
        <v>0</v>
      </c>
      <c r="AE41" s="57" t="n">
        <f aca="false">IF(AND(Z41=1,AB41=1),IF(COUNTIFS($J$17:J41,J41,$S$17:S41,S41,$Z$17:Z41,1,$AB$17:AB41,1)=1,1,0),0)</f>
        <v>0</v>
      </c>
      <c r="AF41" s="57" t="n">
        <f aca="false">IF(AND(Z41=1,AB41=1),IF(COUNTIFS($K$17:K41,K41,$S$17:S41,S41,$Z$17:Z41,1,$AB$17:AB41,1)=1,1,0),0)</f>
        <v>0</v>
      </c>
      <c r="AG41" s="57" t="n">
        <f aca="false">IF(AND(AA41=1,AB41=1),IF(COUNTIFS($J$17:J41,J41,$L$17:L41,L41,$AA$17:AA41,1,$AB$17:AB41,1)=1,1,0),0)</f>
        <v>0</v>
      </c>
      <c r="AH41" s="57" t="n">
        <f aca="false">IF(AND(AA41=1,AB41=1),IF(COUNTIFS($J$17:J41,J41,$K$17:K41,K41,$AA$17:AA41,1,$AB$17:AB41,1)=1,1,0),0)</f>
        <v>0</v>
      </c>
      <c r="AI41" s="56" t="n">
        <f aca="false">IF(V41=1,MAX(F41,0),0)</f>
        <v>8000</v>
      </c>
      <c r="AJ41" s="56" t="n">
        <f aca="false">IF(V41=1,MIN(F41,0),0)</f>
        <v>0</v>
      </c>
    </row>
    <row r="42" customFormat="false" ht="40" hidden="false" customHeight="true" outlineLevel="0" collapsed="false">
      <c r="A42" s="66" t="n">
        <v>45160</v>
      </c>
      <c r="B42" s="54" t="str">
        <f aca="false">IF(M42="","",IF(P42="",M42,HYPERLINK(P42,M42)))</f>
        <v>47QTCB21D0005-49100422F0104</v>
      </c>
      <c r="C42" s="54" t="str">
        <f aca="false">IF(N42="","",IF(Q42="",N42,HYPERLINK(Q42,N42)))</f>
        <v>GBS Dakota IT, LLC</v>
      </c>
      <c r="D42" s="60" t="s">
        <v>135</v>
      </c>
      <c r="E42" s="54" t="str">
        <f aca="false">IF(O42="","",IF(R42="",O42,HYPERLINK(R42,O42)))</f>
        <v>NSF — office not specified</v>
      </c>
      <c r="F42" s="62" t="n">
        <v>0</v>
      </c>
      <c r="G42" s="61" t="s">
        <v>464</v>
      </c>
      <c r="H42" s="58"/>
      <c r="I42" s="58" t="s">
        <v>490</v>
      </c>
      <c r="J42" s="58" t="s">
        <v>276</v>
      </c>
      <c r="K42" s="58" t="s">
        <v>133</v>
      </c>
      <c r="L42" s="58" t="s">
        <v>213</v>
      </c>
      <c r="M42" s="58" t="s">
        <v>277</v>
      </c>
      <c r="N42" s="58" t="s">
        <v>134</v>
      </c>
      <c r="O42" s="58" t="s">
        <v>214</v>
      </c>
      <c r="P42" s="58" t="s">
        <v>278</v>
      </c>
      <c r="Q42" s="58" t="s">
        <v>136</v>
      </c>
      <c r="R42" s="58" t="s">
        <v>215</v>
      </c>
      <c r="S42" s="57" t="n">
        <f aca="false">IF(ISNUMBER(A42),YEAR(A42)+IF(MONTH(A42)&gt;=10,1,0),"")</f>
        <v>2023</v>
      </c>
      <c r="T42" s="57" t="n">
        <f aca="false">IF(ISNUMBER(A42),INT(MOD(MONTH(A42)-10,12)/3)+1,"")</f>
        <v>4</v>
      </c>
      <c r="U42" s="57" t="str">
        <f aca="false">IF(AND(I42&lt;&gt;"",D42&lt;&gt;"",OR(COUNTIFS(TransactionsData[Vendor ID],K42,TransactionsData[UEI],"&lt;&gt;"&amp;D42,TransactionsData[UEI],"?*")&gt;0,COUNTIFS(VendorGroups[Record ID],K42,VendorGroups[Source UEI],"&lt;&gt;"&amp;D42,VendorGroups[Source UEI],"?*")&gt;0)),"Conflicting vendor UEIs",IF(I42="",IF(COUNTA(A42,D42,F42:R42)&gt;0,"Missing transaction ID",""),IF(COUNTIFS(TransactionsData[Transaction ID],I42)&lt;&gt;1,"Duplicate transaction ID",IF(OR(NOT(ISNUMBER(A42)),A42&lt;1,A42&gt;DATE(2099,1,1)),"Use a valid date",IF(OR(A42&lt;$B$4,A42&gt;$D$4),"Outside coverage",IF(NOT(ISNUMBER(F42)),"Missing or invalid amount",IF(OR(K42="",L42="",N42=""),"Add vendor and office identities",IF(G42="Exclude",IF(OR(F42&lt;&gt;0,H42=""),"Review nonzero or unexplained exclusion",""),IF(G42&lt;&gt;"Include","Choose Include or Exclude",IF(COUNTIFS(AwardsData[Award ID],J42)&lt;&gt;1,"Award link needs review",IF(INDEX(AwardsData[Input check],MATCH(J42,AwardsData[Award ID],0))&lt;&gt;"","Check award inputs","")))))))))))</f>
        <v/>
      </c>
      <c r="V42" s="57" t="n">
        <f aca="false">IF(AND(I42&lt;&gt;"",U42="",G42="Include"),1,0)</f>
        <v>1</v>
      </c>
      <c r="W42" s="57" t="str">
        <f aca="false">IF(I42="","",IF(COUNTIFS(AwardsData[Award ID],J42)=1,INDEX(AwardsData[Current award type],MATCH(J42,AwardsData[Award ID],0)),"Unlinked"))</f>
        <v>Delivery Order</v>
      </c>
      <c r="X42" s="57" t="str">
        <f aca="false">IF(I42="","",IF(COUNTIFS(AwardsData[Award ID],J42)=1,INDEX(AwardsData[Current set-aside],MATCH(J42,AwardsData[Award ID],0)),"Unlinked"))</f>
        <v>Competitive 8(a)</v>
      </c>
      <c r="Y42" s="57" t="str">
        <f aca="false">IF(I42="","",IF(COUNTIFS(AwardsData[Award ID],J42)=1,INDEX(AwardsData[Performance state],MATCH(J42,AwardsData[Award ID],0)),"Unlinked"))</f>
        <v>Utah</v>
      </c>
      <c r="Z42" s="57" t="n">
        <f aca="false">IF(AND(V42=1,OR(Dashboard!$AB$2="All",K42=Dashboard!$AB$2),OR(Dashboard!$AB$3="All",L42=Dashboard!$AB$3),OR(Dashboard!$N$10="All",W42=Dashboard!$N$10)),1,0)</f>
        <v>1</v>
      </c>
      <c r="AA42" s="57" t="n">
        <f aca="false">IF(AND(Z42=1,OR(Dashboard!$B$7="All",S42=Dashboard!$B$7)),1,0)</f>
        <v>0</v>
      </c>
      <c r="AB42" s="57" t="n">
        <f aca="false">IF(AND(V42=1,F42&lt;&gt;0),1,0)</f>
        <v>0</v>
      </c>
      <c r="AC42" s="57" t="n">
        <f aca="false">IF(AND(AA42=1,AB42=1),IF(COUNTIFS($J$17:J42,J42,$AA$17:AA42,1,$AB$17:AB42,1)=1,1,0),0)</f>
        <v>0</v>
      </c>
      <c r="AD42" s="57" t="n">
        <f aca="false">IF(AND(AA42=1,AB42=1),IF(COUNTIFS($K$17:K42,K42,$AA$17:AA42,1,$AB$17:AB42,1)=1,1,0),0)</f>
        <v>0</v>
      </c>
      <c r="AE42" s="57" t="n">
        <f aca="false">IF(AND(Z42=1,AB42=1),IF(COUNTIFS($J$17:J42,J42,$S$17:S42,S42,$Z$17:Z42,1,$AB$17:AB42,1)=1,1,0),0)</f>
        <v>0</v>
      </c>
      <c r="AF42" s="57" t="n">
        <f aca="false">IF(AND(Z42=1,AB42=1),IF(COUNTIFS($K$17:K42,K42,$S$17:S42,S42,$Z$17:Z42,1,$AB$17:AB42,1)=1,1,0),0)</f>
        <v>0</v>
      </c>
      <c r="AG42" s="57" t="n">
        <f aca="false">IF(AND(AA42=1,AB42=1),IF(COUNTIFS($J$17:J42,J42,$L$17:L42,L42,$AA$17:AA42,1,$AB$17:AB42,1)=1,1,0),0)</f>
        <v>0</v>
      </c>
      <c r="AH42" s="57" t="n">
        <f aca="false">IF(AND(AA42=1,AB42=1),IF(COUNTIFS($J$17:J42,J42,$K$17:K42,K42,$AA$17:AA42,1,$AB$17:AB42,1)=1,1,0),0)</f>
        <v>0</v>
      </c>
      <c r="AI42" s="56" t="n">
        <f aca="false">IF(V42=1,MAX(F42,0),0)</f>
        <v>0</v>
      </c>
      <c r="AJ42" s="56" t="n">
        <f aca="false">IF(V42=1,MIN(F42,0),0)</f>
        <v>0</v>
      </c>
    </row>
    <row r="43" customFormat="false" ht="40" hidden="false" customHeight="true" outlineLevel="0" collapsed="false">
      <c r="A43" s="66" t="n">
        <v>45168</v>
      </c>
      <c r="B43" s="54" t="str">
        <f aca="false">IF(M43="","",IF(P43="",M43,HYPERLINK(P43,M43)))</f>
        <v>GS35F337BA-49100421F0078</v>
      </c>
      <c r="C43" s="54" t="str">
        <f aca="false">IF(N43="","",IF(Q43="",N43,HYPERLINK(Q43,N43)))</f>
        <v>Civicactions, Inc.</v>
      </c>
      <c r="D43" s="60" t="s">
        <v>115</v>
      </c>
      <c r="E43" s="54" t="str">
        <f aca="false">IF(O43="","",IF(R43="",O43,HYPERLINK(R43,O43)))</f>
        <v>Division of Information Systems</v>
      </c>
      <c r="F43" s="62" t="n">
        <v>1460000</v>
      </c>
      <c r="G43" s="61" t="s">
        <v>464</v>
      </c>
      <c r="H43" s="58"/>
      <c r="I43" s="58" t="s">
        <v>491</v>
      </c>
      <c r="J43" s="58" t="s">
        <v>414</v>
      </c>
      <c r="K43" s="58" t="s">
        <v>113</v>
      </c>
      <c r="L43" s="58" t="s">
        <v>197</v>
      </c>
      <c r="M43" s="58" t="s">
        <v>415</v>
      </c>
      <c r="N43" s="58" t="s">
        <v>114</v>
      </c>
      <c r="O43" s="58" t="s">
        <v>198</v>
      </c>
      <c r="P43" s="58" t="s">
        <v>416</v>
      </c>
      <c r="Q43" s="58" t="s">
        <v>116</v>
      </c>
      <c r="R43" s="58" t="s">
        <v>200</v>
      </c>
      <c r="S43" s="57" t="n">
        <f aca="false">IF(ISNUMBER(A43),YEAR(A43)+IF(MONTH(A43)&gt;=10,1,0),"")</f>
        <v>2023</v>
      </c>
      <c r="T43" s="57" t="n">
        <f aca="false">IF(ISNUMBER(A43),INT(MOD(MONTH(A43)-10,12)/3)+1,"")</f>
        <v>4</v>
      </c>
      <c r="U43" s="57" t="str">
        <f aca="false">IF(AND(I43&lt;&gt;"",D43&lt;&gt;"",OR(COUNTIFS(TransactionsData[Vendor ID],K43,TransactionsData[UEI],"&lt;&gt;"&amp;D43,TransactionsData[UEI],"?*")&gt;0,COUNTIFS(VendorGroups[Record ID],K43,VendorGroups[Source UEI],"&lt;&gt;"&amp;D43,VendorGroups[Source UEI],"?*")&gt;0)),"Conflicting vendor UEIs",IF(I43="",IF(COUNTA(A43,D43,F43:R43)&gt;0,"Missing transaction ID",""),IF(COUNTIFS(TransactionsData[Transaction ID],I43)&lt;&gt;1,"Duplicate transaction ID",IF(OR(NOT(ISNUMBER(A43)),A43&lt;1,A43&gt;DATE(2099,1,1)),"Use a valid date",IF(OR(A43&lt;$B$4,A43&gt;$D$4),"Outside coverage",IF(NOT(ISNUMBER(F43)),"Missing or invalid amount",IF(OR(K43="",L43="",N43=""),"Add vendor and office identities",IF(G43="Exclude",IF(OR(F43&lt;&gt;0,H43=""),"Review nonzero or unexplained exclusion",""),IF(G43&lt;&gt;"Include","Choose Include or Exclude",IF(COUNTIFS(AwardsData[Award ID],J43)&lt;&gt;1,"Award link needs review",IF(INDEX(AwardsData[Input check],MATCH(J43,AwardsData[Award ID],0))&lt;&gt;"","Check award inputs","")))))))))))</f>
        <v/>
      </c>
      <c r="V43" s="57" t="n">
        <f aca="false">IF(AND(I43&lt;&gt;"",U43="",G43="Include"),1,0)</f>
        <v>1</v>
      </c>
      <c r="W43" s="57" t="str">
        <f aca="false">IF(I43="","",IF(COUNTIFS(AwardsData[Award ID],J43)=1,INDEX(AwardsData[Current award type],MATCH(J43,AwardsData[Award ID],0)),"Unlinked"))</f>
        <v>Delivery Order</v>
      </c>
      <c r="X43" s="57" t="str">
        <f aca="false">IF(I43="","",IF(COUNTIFS(AwardsData[Award ID],J43)=1,INDEX(AwardsData[Current set-aside],MATCH(J43,AwardsData[Award ID],0)),"Unlinked"))</f>
        <v>Total Small Business</v>
      </c>
      <c r="Y43" s="57" t="str">
        <f aca="false">IF(I43="","",IF(COUNTIFS(AwardsData[Award ID],J43)=1,INDEX(AwardsData[Performance state],MATCH(J43,AwardsData[Award ID],0)),"Unlinked"))</f>
        <v>California</v>
      </c>
      <c r="Z43" s="57" t="n">
        <f aca="false">IF(AND(V43=1,OR(Dashboard!$AB$2="All",K43=Dashboard!$AB$2),OR(Dashboard!$AB$3="All",L43=Dashboard!$AB$3),OR(Dashboard!$N$10="All",W43=Dashboard!$N$10)),1,0)</f>
        <v>1</v>
      </c>
      <c r="AA43" s="57" t="n">
        <f aca="false">IF(AND(Z43=1,OR(Dashboard!$B$7="All",S43=Dashboard!$B$7)),1,0)</f>
        <v>0</v>
      </c>
      <c r="AB43" s="57" t="n">
        <f aca="false">IF(AND(V43=1,F43&lt;&gt;0),1,0)</f>
        <v>1</v>
      </c>
      <c r="AC43" s="57" t="n">
        <f aca="false">IF(AND(AA43=1,AB43=1),IF(COUNTIFS($J$17:J43,J43,$AA$17:AA43,1,$AB$17:AB43,1)=1,1,0),0)</f>
        <v>0</v>
      </c>
      <c r="AD43" s="57" t="n">
        <f aca="false">IF(AND(AA43=1,AB43=1),IF(COUNTIFS($K$17:K43,K43,$AA$17:AA43,1,$AB$17:AB43,1)=1,1,0),0)</f>
        <v>0</v>
      </c>
      <c r="AE43" s="57" t="n">
        <f aca="false">IF(AND(Z43=1,AB43=1),IF(COUNTIFS($J$17:J43,J43,$S$17:S43,S43,$Z$17:Z43,1,$AB$17:AB43,1)=1,1,0),0)</f>
        <v>0</v>
      </c>
      <c r="AF43" s="57" t="n">
        <f aca="false">IF(AND(Z43=1,AB43=1),IF(COUNTIFS($K$17:K43,K43,$S$17:S43,S43,$Z$17:Z43,1,$AB$17:AB43,1)=1,1,0),0)</f>
        <v>0</v>
      </c>
      <c r="AG43" s="57" t="n">
        <f aca="false">IF(AND(AA43=1,AB43=1),IF(COUNTIFS($J$17:J43,J43,$L$17:L43,L43,$AA$17:AA43,1,$AB$17:AB43,1)=1,1,0),0)</f>
        <v>0</v>
      </c>
      <c r="AH43" s="57" t="n">
        <f aca="false">IF(AND(AA43=1,AB43=1),IF(COUNTIFS($J$17:J43,J43,$K$17:K43,K43,$AA$17:AA43,1,$AB$17:AB43,1)=1,1,0),0)</f>
        <v>0</v>
      </c>
      <c r="AI43" s="56" t="n">
        <f aca="false">IF(V43=1,MAX(F43,0),0)</f>
        <v>1460000</v>
      </c>
      <c r="AJ43" s="56" t="n">
        <f aca="false">IF(V43=1,MIN(F43,0),0)</f>
        <v>0</v>
      </c>
    </row>
    <row r="44" customFormat="false" ht="40" hidden="false" customHeight="true" outlineLevel="0" collapsed="false">
      <c r="A44" s="66" t="n">
        <v>45170</v>
      </c>
      <c r="B44" s="54" t="str">
        <f aca="false">IF(M44="","",IF(P44="",M44,HYPERLINK(P44,M44)))</f>
        <v>Unlinked</v>
      </c>
      <c r="C44" s="54" t="str">
        <f aca="false">IF(N44="","",IF(Q44="",N44,HYPERLINK(Q44,N44)))</f>
        <v>Agility Technologies Inc.</v>
      </c>
      <c r="D44" s="60" t="s">
        <v>103</v>
      </c>
      <c r="E44" s="54" t="str">
        <f aca="false">IF(O44="","",IF(R44="",O44,HYPERLINK(R44,O44)))</f>
        <v>NSF — office not specified</v>
      </c>
      <c r="F44" s="62" t="n">
        <v>0</v>
      </c>
      <c r="G44" s="61" t="s">
        <v>492</v>
      </c>
      <c r="H44" s="58" t="s">
        <v>493</v>
      </c>
      <c r="I44" s="58" t="s">
        <v>494</v>
      </c>
      <c r="J44" s="58"/>
      <c r="K44" s="58" t="s">
        <v>101</v>
      </c>
      <c r="L44" s="58" t="s">
        <v>213</v>
      </c>
      <c r="M44" s="58" t="s">
        <v>495</v>
      </c>
      <c r="N44" s="58" t="s">
        <v>102</v>
      </c>
      <c r="O44" s="58" t="s">
        <v>214</v>
      </c>
      <c r="P44" s="58"/>
      <c r="Q44" s="58" t="s">
        <v>104</v>
      </c>
      <c r="R44" s="58" t="s">
        <v>215</v>
      </c>
      <c r="S44" s="57" t="n">
        <f aca="false">IF(ISNUMBER(A44),YEAR(A44)+IF(MONTH(A44)&gt;=10,1,0),"")</f>
        <v>2023</v>
      </c>
      <c r="T44" s="57" t="n">
        <f aca="false">IF(ISNUMBER(A44),INT(MOD(MONTH(A44)-10,12)/3)+1,"")</f>
        <v>4</v>
      </c>
      <c r="U44" s="57" t="str">
        <f aca="false">IF(AND(I44&lt;&gt;"",D44&lt;&gt;"",OR(COUNTIFS(TransactionsData[Vendor ID],K44,TransactionsData[UEI],"&lt;&gt;"&amp;D44,TransactionsData[UEI],"?*")&gt;0,COUNTIFS(VendorGroups[Record ID],K44,VendorGroups[Source UEI],"&lt;&gt;"&amp;D44,VendorGroups[Source UEI],"?*")&gt;0)),"Conflicting vendor UEIs",IF(I44="",IF(COUNTA(A44,D44,F44:R44)&gt;0,"Missing transaction ID",""),IF(COUNTIFS(TransactionsData[Transaction ID],I44)&lt;&gt;1,"Duplicate transaction ID",IF(OR(NOT(ISNUMBER(A44)),A44&lt;1,A44&gt;DATE(2099,1,1)),"Use a valid date",IF(OR(A44&lt;$B$4,A44&gt;$D$4),"Outside coverage",IF(NOT(ISNUMBER(F44)),"Missing or invalid amount",IF(OR(K44="",L44="",N44=""),"Add vendor and office identities",IF(G44="Exclude",IF(OR(F44&lt;&gt;0,H44=""),"Review nonzero or unexplained exclusion",""),IF(G44&lt;&gt;"Include","Choose Include or Exclude",IF(COUNTIFS(AwardsData[Award ID],J44)&lt;&gt;1,"Award link needs review",IF(INDEX(AwardsData[Input check],MATCH(J44,AwardsData[Award ID],0))&lt;&gt;"","Check award inputs","")))))))))))</f>
        <v/>
      </c>
      <c r="V44" s="57" t="n">
        <f aca="false">IF(AND(I44&lt;&gt;"",U44="",G44="Include"),1,0)</f>
        <v>0</v>
      </c>
      <c r="W44" s="57" t="str">
        <f aca="false">IF(I44="","",IF(COUNTIFS(AwardsData[Award ID],J44)=1,INDEX(AwardsData[Current award type],MATCH(J44,AwardsData[Award ID],0)),"Unlinked"))</f>
        <v>Unlinked</v>
      </c>
      <c r="X44" s="57" t="str">
        <f aca="false">IF(I44="","",IF(COUNTIFS(AwardsData[Award ID],J44)=1,INDEX(AwardsData[Current set-aside],MATCH(J44,AwardsData[Award ID],0)),"Unlinked"))</f>
        <v>Unlinked</v>
      </c>
      <c r="Y44" s="57" t="str">
        <f aca="false">IF(I44="","",IF(COUNTIFS(AwardsData[Award ID],J44)=1,INDEX(AwardsData[Performance state],MATCH(J44,AwardsData[Award ID],0)),"Unlinked"))</f>
        <v>Unlinked</v>
      </c>
      <c r="Z44" s="57" t="n">
        <f aca="false">IF(AND(V44=1,OR(Dashboard!$AB$2="All",K44=Dashboard!$AB$2),OR(Dashboard!$AB$3="All",L44=Dashboard!$AB$3),OR(Dashboard!$N$10="All",W44=Dashboard!$N$10)),1,0)</f>
        <v>0</v>
      </c>
      <c r="AA44" s="57" t="n">
        <f aca="false">IF(AND(Z44=1,OR(Dashboard!$B$7="All",S44=Dashboard!$B$7)),1,0)</f>
        <v>0</v>
      </c>
      <c r="AB44" s="57" t="n">
        <f aca="false">IF(AND(V44=1,F44&lt;&gt;0),1,0)</f>
        <v>0</v>
      </c>
      <c r="AC44" s="57" t="n">
        <f aca="false">IF(AND(AA44=1,AB44=1),IF(COUNTIFS($J$17:J44,J44,$AA$17:AA44,1,$AB$17:AB44,1)=1,1,0),0)</f>
        <v>0</v>
      </c>
      <c r="AD44" s="57" t="n">
        <f aca="false">IF(AND(AA44=1,AB44=1),IF(COUNTIFS($K$17:K44,K44,$AA$17:AA44,1,$AB$17:AB44,1)=1,1,0),0)</f>
        <v>0</v>
      </c>
      <c r="AE44" s="57" t="n">
        <f aca="false">IF(AND(Z44=1,AB44=1),IF(COUNTIFS($J$17:J44,J44,$S$17:S44,S44,$Z$17:Z44,1,$AB$17:AB44,1)=1,1,0),0)</f>
        <v>0</v>
      </c>
      <c r="AF44" s="57" t="n">
        <f aca="false">IF(AND(Z44=1,AB44=1),IF(COUNTIFS($K$17:K44,K44,$S$17:S44,S44,$Z$17:Z44,1,$AB$17:AB44,1)=1,1,0),0)</f>
        <v>0</v>
      </c>
      <c r="AG44" s="57" t="n">
        <f aca="false">IF(AND(AA44=1,AB44=1),IF(COUNTIFS($J$17:J44,J44,$L$17:L44,L44,$AA$17:AA44,1,$AB$17:AB44,1)=1,1,0),0)</f>
        <v>0</v>
      </c>
      <c r="AH44" s="57" t="n">
        <f aca="false">IF(AND(AA44=1,AB44=1),IF(COUNTIFS($J$17:J44,J44,$K$17:K44,K44,$AA$17:AA44,1,$AB$17:AB44,1)=1,1,0),0)</f>
        <v>0</v>
      </c>
      <c r="AI44" s="56" t="n">
        <f aca="false">IF(V44=1,MAX(F44,0),0)</f>
        <v>0</v>
      </c>
      <c r="AJ44" s="56" t="n">
        <f aca="false">IF(V44=1,MIN(F44,0),0)</f>
        <v>0</v>
      </c>
    </row>
    <row r="45" customFormat="false" ht="40" hidden="false" customHeight="true" outlineLevel="0" collapsed="false">
      <c r="A45" s="66" t="n">
        <v>45180</v>
      </c>
      <c r="B45" s="54" t="str">
        <f aca="false">IF(M45="","",IF(P45="",M45,HYPERLINK(P45,M45)))</f>
        <v>47QTCB22D0076-49100423F0221</v>
      </c>
      <c r="C45" s="54" t="str">
        <f aca="false">IF(N45="","",IF(Q45="",N45,HYPERLINK(Q45,N45)))</f>
        <v>Ibex It Business Experts LLC</v>
      </c>
      <c r="D45" s="60" t="s">
        <v>143</v>
      </c>
      <c r="E45" s="54" t="str">
        <f aca="false">IF(O45="","",IF(R45="",O45,HYPERLINK(R45,O45)))</f>
        <v>NSF — office not specified</v>
      </c>
      <c r="F45" s="62" t="n">
        <v>172323.47</v>
      </c>
      <c r="G45" s="61" t="s">
        <v>464</v>
      </c>
      <c r="H45" s="58"/>
      <c r="I45" s="58" t="s">
        <v>496</v>
      </c>
      <c r="J45" s="58" t="s">
        <v>293</v>
      </c>
      <c r="K45" s="58" t="s">
        <v>141</v>
      </c>
      <c r="L45" s="58" t="s">
        <v>213</v>
      </c>
      <c r="M45" s="58" t="s">
        <v>294</v>
      </c>
      <c r="N45" s="58" t="s">
        <v>142</v>
      </c>
      <c r="O45" s="58" t="s">
        <v>214</v>
      </c>
      <c r="P45" s="58" t="s">
        <v>295</v>
      </c>
      <c r="Q45" s="58" t="s">
        <v>144</v>
      </c>
      <c r="R45" s="58" t="s">
        <v>215</v>
      </c>
      <c r="S45" s="57" t="n">
        <f aca="false">IF(ISNUMBER(A45),YEAR(A45)+IF(MONTH(A45)&gt;=10,1,0),"")</f>
        <v>2023</v>
      </c>
      <c r="T45" s="57" t="n">
        <f aca="false">IF(ISNUMBER(A45),INT(MOD(MONTH(A45)-10,12)/3)+1,"")</f>
        <v>4</v>
      </c>
      <c r="U45" s="57" t="str">
        <f aca="false">IF(AND(I45&lt;&gt;"",D45&lt;&gt;"",OR(COUNTIFS(TransactionsData[Vendor ID],K45,TransactionsData[UEI],"&lt;&gt;"&amp;D45,TransactionsData[UEI],"?*")&gt;0,COUNTIFS(VendorGroups[Record ID],K45,VendorGroups[Source UEI],"&lt;&gt;"&amp;D45,VendorGroups[Source UEI],"?*")&gt;0)),"Conflicting vendor UEIs",IF(I45="",IF(COUNTA(A45,D45,F45:R45)&gt;0,"Missing transaction ID",""),IF(COUNTIFS(TransactionsData[Transaction ID],I45)&lt;&gt;1,"Duplicate transaction ID",IF(OR(NOT(ISNUMBER(A45)),A45&lt;1,A45&gt;DATE(2099,1,1)),"Use a valid date",IF(OR(A45&lt;$B$4,A45&gt;$D$4),"Outside coverage",IF(NOT(ISNUMBER(F45)),"Missing or invalid amount",IF(OR(K45="",L45="",N45=""),"Add vendor and office identities",IF(G45="Exclude",IF(OR(F45&lt;&gt;0,H45=""),"Review nonzero or unexplained exclusion",""),IF(G45&lt;&gt;"Include","Choose Include or Exclude",IF(COUNTIFS(AwardsData[Award ID],J45)&lt;&gt;1,"Award link needs review",IF(INDEX(AwardsData[Input check],MATCH(J45,AwardsData[Award ID],0))&lt;&gt;"","Check award inputs","")))))))))))</f>
        <v/>
      </c>
      <c r="V45" s="57" t="n">
        <f aca="false">IF(AND(I45&lt;&gt;"",U45="",G45="Include"),1,0)</f>
        <v>1</v>
      </c>
      <c r="W45" s="57" t="str">
        <f aca="false">IF(I45="","",IF(COUNTIFS(AwardsData[Award ID],J45)=1,INDEX(AwardsData[Current award type],MATCH(J45,AwardsData[Award ID],0)),"Unlinked"))</f>
        <v>Delivery Order</v>
      </c>
      <c r="X45" s="57" t="str">
        <f aca="false">IF(I45="","",IF(COUNTIFS(AwardsData[Award ID],J45)=1,INDEX(AwardsData[Current set-aside],MATCH(J45,AwardsData[Award ID],0)),"Unlinked"))</f>
        <v>No Set-Aside Used</v>
      </c>
      <c r="Y45" s="57" t="str">
        <f aca="false">IF(I45="","",IF(COUNTIFS(AwardsData[Award ID],J45)=1,INDEX(AwardsData[Performance state],MATCH(J45,AwardsData[Award ID],0)),"Unlinked"))</f>
        <v>Virginia</v>
      </c>
      <c r="Z45" s="57" t="n">
        <f aca="false">IF(AND(V45=1,OR(Dashboard!$AB$2="All",K45=Dashboard!$AB$2),OR(Dashboard!$AB$3="All",L45=Dashboard!$AB$3),OR(Dashboard!$N$10="All",W45=Dashboard!$N$10)),1,0)</f>
        <v>1</v>
      </c>
      <c r="AA45" s="57" t="n">
        <f aca="false">IF(AND(Z45=1,OR(Dashboard!$B$7="All",S45=Dashboard!$B$7)),1,0)</f>
        <v>0</v>
      </c>
      <c r="AB45" s="57" t="n">
        <f aca="false">IF(AND(V45=1,F45&lt;&gt;0),1,0)</f>
        <v>1</v>
      </c>
      <c r="AC45" s="57" t="n">
        <f aca="false">IF(AND(AA45=1,AB45=1),IF(COUNTIFS($J$17:J45,J45,$AA$17:AA45,1,$AB$17:AB45,1)=1,1,0),0)</f>
        <v>0</v>
      </c>
      <c r="AD45" s="57" t="n">
        <f aca="false">IF(AND(AA45=1,AB45=1),IF(COUNTIFS($K$17:K45,K45,$AA$17:AA45,1,$AB$17:AB45,1)=1,1,0),0)</f>
        <v>0</v>
      </c>
      <c r="AE45" s="57" t="n">
        <f aca="false">IF(AND(Z45=1,AB45=1),IF(COUNTIFS($J$17:J45,J45,$S$17:S45,S45,$Z$17:Z45,1,$AB$17:AB45,1)=1,1,0),0)</f>
        <v>1</v>
      </c>
      <c r="AF45" s="57" t="n">
        <f aca="false">IF(AND(Z45=1,AB45=1),IF(COUNTIFS($K$17:K45,K45,$S$17:S45,S45,$Z$17:Z45,1,$AB$17:AB45,1)=1,1,0),0)</f>
        <v>1</v>
      </c>
      <c r="AG45" s="57" t="n">
        <f aca="false">IF(AND(AA45=1,AB45=1),IF(COUNTIFS($J$17:J45,J45,$L$17:L45,L45,$AA$17:AA45,1,$AB$17:AB45,1)=1,1,0),0)</f>
        <v>0</v>
      </c>
      <c r="AH45" s="57" t="n">
        <f aca="false">IF(AND(AA45=1,AB45=1),IF(COUNTIFS($J$17:J45,J45,$K$17:K45,K45,$AA$17:AA45,1,$AB$17:AB45,1)=1,1,0),0)</f>
        <v>0</v>
      </c>
      <c r="AI45" s="56" t="n">
        <f aca="false">IF(V45=1,MAX(F45,0),0)</f>
        <v>172323.47</v>
      </c>
      <c r="AJ45" s="56" t="n">
        <f aca="false">IF(V45=1,MIN(F45,0),0)</f>
        <v>0</v>
      </c>
    </row>
    <row r="46" customFormat="false" ht="40" hidden="false" customHeight="true" outlineLevel="0" collapsed="false">
      <c r="A46" s="66" t="n">
        <v>45180</v>
      </c>
      <c r="B46" s="54" t="str">
        <f aca="false">IF(M46="","",IF(P46="",M46,HYPERLINK(P46,M46)))</f>
        <v>49100422A0002-49100423F0032</v>
      </c>
      <c r="C46" s="54" t="str">
        <f aca="false">IF(N46="","",IF(Q46="",N46,HYPERLINK(Q46,N46)))</f>
        <v>Directviz Solutions, LLC</v>
      </c>
      <c r="D46" s="60" t="s">
        <v>123</v>
      </c>
      <c r="E46" s="54" t="str">
        <f aca="false">IF(O46="","",IF(R46="",O46,HYPERLINK(R46,O46)))</f>
        <v>Division of Information Systems</v>
      </c>
      <c r="F46" s="62" t="n">
        <v>73444.32</v>
      </c>
      <c r="G46" s="61" t="s">
        <v>464</v>
      </c>
      <c r="H46" s="58"/>
      <c r="I46" s="58" t="s">
        <v>497</v>
      </c>
      <c r="J46" s="58" t="s">
        <v>304</v>
      </c>
      <c r="K46" s="58" t="s">
        <v>121</v>
      </c>
      <c r="L46" s="58" t="s">
        <v>197</v>
      </c>
      <c r="M46" s="58" t="s">
        <v>305</v>
      </c>
      <c r="N46" s="58" t="s">
        <v>122</v>
      </c>
      <c r="O46" s="58" t="s">
        <v>198</v>
      </c>
      <c r="P46" s="58" t="s">
        <v>306</v>
      </c>
      <c r="Q46" s="58" t="s">
        <v>124</v>
      </c>
      <c r="R46" s="58" t="s">
        <v>200</v>
      </c>
      <c r="S46" s="57" t="n">
        <f aca="false">IF(ISNUMBER(A46),YEAR(A46)+IF(MONTH(A46)&gt;=10,1,0),"")</f>
        <v>2023</v>
      </c>
      <c r="T46" s="57" t="n">
        <f aca="false">IF(ISNUMBER(A46),INT(MOD(MONTH(A46)-10,12)/3)+1,"")</f>
        <v>4</v>
      </c>
      <c r="U46" s="57" t="str">
        <f aca="false">IF(AND(I46&lt;&gt;"",D46&lt;&gt;"",OR(COUNTIFS(TransactionsData[Vendor ID],K46,TransactionsData[UEI],"&lt;&gt;"&amp;D46,TransactionsData[UEI],"?*")&gt;0,COUNTIFS(VendorGroups[Record ID],K46,VendorGroups[Source UEI],"&lt;&gt;"&amp;D46,VendorGroups[Source UEI],"?*")&gt;0)),"Conflicting vendor UEIs",IF(I46="",IF(COUNTA(A46,D46,F46:R46)&gt;0,"Missing transaction ID",""),IF(COUNTIFS(TransactionsData[Transaction ID],I46)&lt;&gt;1,"Duplicate transaction ID",IF(OR(NOT(ISNUMBER(A46)),A46&lt;1,A46&gt;DATE(2099,1,1)),"Use a valid date",IF(OR(A46&lt;$B$4,A46&gt;$D$4),"Outside coverage",IF(NOT(ISNUMBER(F46)),"Missing or invalid amount",IF(OR(K46="",L46="",N46=""),"Add vendor and office identities",IF(G46="Exclude",IF(OR(F46&lt;&gt;0,H46=""),"Review nonzero or unexplained exclusion",""),IF(G46&lt;&gt;"Include","Choose Include or Exclude",IF(COUNTIFS(AwardsData[Award ID],J46)&lt;&gt;1,"Award link needs review",IF(INDEX(AwardsData[Input check],MATCH(J46,AwardsData[Award ID],0))&lt;&gt;"","Check award inputs","")))))))))))</f>
        <v/>
      </c>
      <c r="V46" s="57" t="n">
        <f aca="false">IF(AND(I46&lt;&gt;"",U46="",G46="Include"),1,0)</f>
        <v>1</v>
      </c>
      <c r="W46" s="57" t="str">
        <f aca="false">IF(I46="","",IF(COUNTIFS(AwardsData[Award ID],J46)=1,INDEX(AwardsData[Current award type],MATCH(J46,AwardsData[Award ID],0)),"Unlinked"))</f>
        <v>BPA Call</v>
      </c>
      <c r="X46" s="57" t="str">
        <f aca="false">IF(I46="","",IF(COUNTIFS(AwardsData[Award ID],J46)=1,INDEX(AwardsData[Current set-aside],MATCH(J46,AwardsData[Award ID],0)),"Unlinked"))</f>
        <v>No Set-Aside Used</v>
      </c>
      <c r="Y46" s="57" t="str">
        <f aca="false">IF(I46="","",IF(COUNTIFS(AwardsData[Award ID],J46)=1,INDEX(AwardsData[Performance state],MATCH(J46,AwardsData[Award ID],0)),"Unlinked"))</f>
        <v>Virginia</v>
      </c>
      <c r="Z46" s="57" t="n">
        <f aca="false">IF(AND(V46=1,OR(Dashboard!$AB$2="All",K46=Dashboard!$AB$2),OR(Dashboard!$AB$3="All",L46=Dashboard!$AB$3),OR(Dashboard!$N$10="All",W46=Dashboard!$N$10)),1,0)</f>
        <v>1</v>
      </c>
      <c r="AA46" s="57" t="n">
        <f aca="false">IF(AND(Z46=1,OR(Dashboard!$B$7="All",S46=Dashboard!$B$7)),1,0)</f>
        <v>0</v>
      </c>
      <c r="AB46" s="57" t="n">
        <f aca="false">IF(AND(V46=1,F46&lt;&gt;0),1,0)</f>
        <v>1</v>
      </c>
      <c r="AC46" s="57" t="n">
        <f aca="false">IF(AND(AA46=1,AB46=1),IF(COUNTIFS($J$17:J46,J46,$AA$17:AA46,1,$AB$17:AB46,1)=1,1,0),0)</f>
        <v>0</v>
      </c>
      <c r="AD46" s="57" t="n">
        <f aca="false">IF(AND(AA46=1,AB46=1),IF(COUNTIFS($K$17:K46,K46,$AA$17:AA46,1,$AB$17:AB46,1)=1,1,0),0)</f>
        <v>0</v>
      </c>
      <c r="AE46" s="57" t="n">
        <f aca="false">IF(AND(Z46=1,AB46=1),IF(COUNTIFS($J$17:J46,J46,$S$17:S46,S46,$Z$17:Z46,1,$AB$17:AB46,1)=1,1,0),0)</f>
        <v>0</v>
      </c>
      <c r="AF46" s="57" t="n">
        <f aca="false">IF(AND(Z46=1,AB46=1),IF(COUNTIFS($K$17:K46,K46,$S$17:S46,S46,$Z$17:Z46,1,$AB$17:AB46,1)=1,1,0),0)</f>
        <v>0</v>
      </c>
      <c r="AG46" s="57" t="n">
        <f aca="false">IF(AND(AA46=1,AB46=1),IF(COUNTIFS($J$17:J46,J46,$L$17:L46,L46,$AA$17:AA46,1,$AB$17:AB46,1)=1,1,0),0)</f>
        <v>0</v>
      </c>
      <c r="AH46" s="57" t="n">
        <f aca="false">IF(AND(AA46=1,AB46=1),IF(COUNTIFS($J$17:J46,J46,$K$17:K46,K46,$AA$17:AA46,1,$AB$17:AB46,1)=1,1,0),0)</f>
        <v>0</v>
      </c>
      <c r="AI46" s="56" t="n">
        <f aca="false">IF(V46=1,MAX(F46,0),0)</f>
        <v>73444.32</v>
      </c>
      <c r="AJ46" s="56" t="n">
        <f aca="false">IF(V46=1,MIN(F46,0),0)</f>
        <v>0</v>
      </c>
    </row>
    <row r="47" customFormat="false" ht="40" hidden="false" customHeight="true" outlineLevel="0" collapsed="false">
      <c r="A47" s="66" t="n">
        <v>45183</v>
      </c>
      <c r="B47" s="54" t="str">
        <f aca="false">IF(M47="","",IF(P47="",M47,HYPERLINK(P47,M47)))</f>
        <v>49100422D0010-49100423F0226</v>
      </c>
      <c r="C47" s="54" t="str">
        <f aca="false">IF(N47="","",IF(Q47="",N47,HYPERLINK(Q47,N47)))</f>
        <v>Agility Technologies Inc.</v>
      </c>
      <c r="D47" s="60" t="s">
        <v>103</v>
      </c>
      <c r="E47" s="54" t="str">
        <f aca="false">IF(O47="","",IF(R47="",O47,HYPERLINK(R47,O47)))</f>
        <v>NSF — office not specified</v>
      </c>
      <c r="F47" s="62" t="n">
        <v>1068350.28</v>
      </c>
      <c r="G47" s="61" t="s">
        <v>464</v>
      </c>
      <c r="H47" s="58"/>
      <c r="I47" s="58" t="s">
        <v>498</v>
      </c>
      <c r="J47" s="58" t="s">
        <v>340</v>
      </c>
      <c r="K47" s="58" t="s">
        <v>101</v>
      </c>
      <c r="L47" s="58" t="s">
        <v>213</v>
      </c>
      <c r="M47" s="58" t="s">
        <v>341</v>
      </c>
      <c r="N47" s="58" t="s">
        <v>102</v>
      </c>
      <c r="O47" s="58" t="s">
        <v>214</v>
      </c>
      <c r="P47" s="58" t="s">
        <v>342</v>
      </c>
      <c r="Q47" s="58" t="s">
        <v>104</v>
      </c>
      <c r="R47" s="58" t="s">
        <v>215</v>
      </c>
      <c r="S47" s="57" t="n">
        <f aca="false">IF(ISNUMBER(A47),YEAR(A47)+IF(MONTH(A47)&gt;=10,1,0),"")</f>
        <v>2023</v>
      </c>
      <c r="T47" s="57" t="n">
        <f aca="false">IF(ISNUMBER(A47),INT(MOD(MONTH(A47)-10,12)/3)+1,"")</f>
        <v>4</v>
      </c>
      <c r="U47" s="57" t="str">
        <f aca="false">IF(AND(I47&lt;&gt;"",D47&lt;&gt;"",OR(COUNTIFS(TransactionsData[Vendor ID],K47,TransactionsData[UEI],"&lt;&gt;"&amp;D47,TransactionsData[UEI],"?*")&gt;0,COUNTIFS(VendorGroups[Record ID],K47,VendorGroups[Source UEI],"&lt;&gt;"&amp;D47,VendorGroups[Source UEI],"?*")&gt;0)),"Conflicting vendor UEIs",IF(I47="",IF(COUNTA(A47,D47,F47:R47)&gt;0,"Missing transaction ID",""),IF(COUNTIFS(TransactionsData[Transaction ID],I47)&lt;&gt;1,"Duplicate transaction ID",IF(OR(NOT(ISNUMBER(A47)),A47&lt;1,A47&gt;DATE(2099,1,1)),"Use a valid date",IF(OR(A47&lt;$B$4,A47&gt;$D$4),"Outside coverage",IF(NOT(ISNUMBER(F47)),"Missing or invalid amount",IF(OR(K47="",L47="",N47=""),"Add vendor and office identities",IF(G47="Exclude",IF(OR(F47&lt;&gt;0,H47=""),"Review nonzero or unexplained exclusion",""),IF(G47&lt;&gt;"Include","Choose Include or Exclude",IF(COUNTIFS(AwardsData[Award ID],J47)&lt;&gt;1,"Award link needs review",IF(INDEX(AwardsData[Input check],MATCH(J47,AwardsData[Award ID],0))&lt;&gt;"","Check award inputs","")))))))))))</f>
        <v/>
      </c>
      <c r="V47" s="57" t="n">
        <f aca="false">IF(AND(I47&lt;&gt;"",U47="",G47="Include"),1,0)</f>
        <v>1</v>
      </c>
      <c r="W47" s="57" t="str">
        <f aca="false">IF(I47="","",IF(COUNTIFS(AwardsData[Award ID],J47)=1,INDEX(AwardsData[Current award type],MATCH(J47,AwardsData[Award ID],0)),"Unlinked"))</f>
        <v>Delivery Order</v>
      </c>
      <c r="X47" s="57" t="str">
        <f aca="false">IF(I47="","",IF(COUNTIFS(AwardsData[Award ID],J47)=1,INDEX(AwardsData[Current set-aside],MATCH(J47,AwardsData[Award ID],0)),"Unlinked"))</f>
        <v>No Set-Aside Used</v>
      </c>
      <c r="Y47" s="57" t="str">
        <f aca="false">IF(I47="","",IF(COUNTIFS(AwardsData[Award ID],J47)=1,INDEX(AwardsData[Performance state],MATCH(J47,AwardsData[Award ID],0)),"Unlinked"))</f>
        <v>Virginia</v>
      </c>
      <c r="Z47" s="57" t="n">
        <f aca="false">IF(AND(V47=1,OR(Dashboard!$AB$2="All",K47=Dashboard!$AB$2),OR(Dashboard!$AB$3="All",L47=Dashboard!$AB$3),OR(Dashboard!$N$10="All",W47=Dashboard!$N$10)),1,0)</f>
        <v>1</v>
      </c>
      <c r="AA47" s="57" t="n">
        <f aca="false">IF(AND(Z47=1,OR(Dashboard!$B$7="All",S47=Dashboard!$B$7)),1,0)</f>
        <v>0</v>
      </c>
      <c r="AB47" s="57" t="n">
        <f aca="false">IF(AND(V47=1,F47&lt;&gt;0),1,0)</f>
        <v>1</v>
      </c>
      <c r="AC47" s="57" t="n">
        <f aca="false">IF(AND(AA47=1,AB47=1),IF(COUNTIFS($J$17:J47,J47,$AA$17:AA47,1,$AB$17:AB47,1)=1,1,0),0)</f>
        <v>0</v>
      </c>
      <c r="AD47" s="57" t="n">
        <f aca="false">IF(AND(AA47=1,AB47=1),IF(COUNTIFS($K$17:K47,K47,$AA$17:AA47,1,$AB$17:AB47,1)=1,1,0),0)</f>
        <v>0</v>
      </c>
      <c r="AE47" s="57" t="n">
        <f aca="false">IF(AND(Z47=1,AB47=1),IF(COUNTIFS($J$17:J47,J47,$S$17:S47,S47,$Z$17:Z47,1,$AB$17:AB47,1)=1,1,0),0)</f>
        <v>1</v>
      </c>
      <c r="AF47" s="57" t="n">
        <f aca="false">IF(AND(Z47=1,AB47=1),IF(COUNTIFS($K$17:K47,K47,$S$17:S47,S47,$Z$17:Z47,1,$AB$17:AB47,1)=1,1,0),0)</f>
        <v>0</v>
      </c>
      <c r="AG47" s="57" t="n">
        <f aca="false">IF(AND(AA47=1,AB47=1),IF(COUNTIFS($J$17:J47,J47,$L$17:L47,L47,$AA$17:AA47,1,$AB$17:AB47,1)=1,1,0),0)</f>
        <v>0</v>
      </c>
      <c r="AH47" s="57" t="n">
        <f aca="false">IF(AND(AA47=1,AB47=1),IF(COUNTIFS($J$17:J47,J47,$K$17:K47,K47,$AA$17:AA47,1,$AB$17:AB47,1)=1,1,0),0)</f>
        <v>0</v>
      </c>
      <c r="AI47" s="56" t="n">
        <f aca="false">IF(V47=1,MAX(F47,0),0)</f>
        <v>1068350.28</v>
      </c>
      <c r="AJ47" s="56" t="n">
        <f aca="false">IF(V47=1,MIN(F47,0),0)</f>
        <v>0</v>
      </c>
    </row>
    <row r="48" customFormat="false" ht="40" hidden="false" customHeight="true" outlineLevel="0" collapsed="false">
      <c r="A48" s="66" t="n">
        <v>45184</v>
      </c>
      <c r="B48" s="54" t="str">
        <f aca="false">IF(M48="","",IF(P48="",M48,HYPERLINK(P48,M48)))</f>
        <v>49100422C0029</v>
      </c>
      <c r="C48" s="54" t="str">
        <f aca="false">IF(N48="","",IF(Q48="",N48,HYPERLINK(Q48,N48)))</f>
        <v>Rei Systems, Inc.</v>
      </c>
      <c r="D48" s="60" t="s">
        <v>158</v>
      </c>
      <c r="E48" s="54" t="str">
        <f aca="false">IF(O48="","",IF(R48="",O48,HYPERLINK(R48,O48)))</f>
        <v>Division of Information Systems</v>
      </c>
      <c r="F48" s="62" t="n">
        <v>250000</v>
      </c>
      <c r="G48" s="61" t="s">
        <v>464</v>
      </c>
      <c r="H48" s="58"/>
      <c r="I48" s="58" t="s">
        <v>499</v>
      </c>
      <c r="J48" s="58" t="s">
        <v>327</v>
      </c>
      <c r="K48" s="58" t="s">
        <v>156</v>
      </c>
      <c r="L48" s="58" t="s">
        <v>197</v>
      </c>
      <c r="M48" s="58" t="s">
        <v>327</v>
      </c>
      <c r="N48" s="58" t="s">
        <v>157</v>
      </c>
      <c r="O48" s="58" t="s">
        <v>198</v>
      </c>
      <c r="P48" s="58" t="s">
        <v>328</v>
      </c>
      <c r="Q48" s="58" t="s">
        <v>159</v>
      </c>
      <c r="R48" s="58" t="s">
        <v>200</v>
      </c>
      <c r="S48" s="57" t="n">
        <f aca="false">IF(ISNUMBER(A48),YEAR(A48)+IF(MONTH(A48)&gt;=10,1,0),"")</f>
        <v>2023</v>
      </c>
      <c r="T48" s="57" t="n">
        <f aca="false">IF(ISNUMBER(A48),INT(MOD(MONTH(A48)-10,12)/3)+1,"")</f>
        <v>4</v>
      </c>
      <c r="U48" s="57" t="str">
        <f aca="false">IF(AND(I48&lt;&gt;"",D48&lt;&gt;"",OR(COUNTIFS(TransactionsData[Vendor ID],K48,TransactionsData[UEI],"&lt;&gt;"&amp;D48,TransactionsData[UEI],"?*")&gt;0,COUNTIFS(VendorGroups[Record ID],K48,VendorGroups[Source UEI],"&lt;&gt;"&amp;D48,VendorGroups[Source UEI],"?*")&gt;0)),"Conflicting vendor UEIs",IF(I48="",IF(COUNTA(A48,D48,F48:R48)&gt;0,"Missing transaction ID",""),IF(COUNTIFS(TransactionsData[Transaction ID],I48)&lt;&gt;1,"Duplicate transaction ID",IF(OR(NOT(ISNUMBER(A48)),A48&lt;1,A48&gt;DATE(2099,1,1)),"Use a valid date",IF(OR(A48&lt;$B$4,A48&gt;$D$4),"Outside coverage",IF(NOT(ISNUMBER(F48)),"Missing or invalid amount",IF(OR(K48="",L48="",N48=""),"Add vendor and office identities",IF(G48="Exclude",IF(OR(F48&lt;&gt;0,H48=""),"Review nonzero or unexplained exclusion",""),IF(G48&lt;&gt;"Include","Choose Include or Exclude",IF(COUNTIFS(AwardsData[Award ID],J48)&lt;&gt;1,"Award link needs review",IF(INDEX(AwardsData[Input check],MATCH(J48,AwardsData[Award ID],0))&lt;&gt;"","Check award inputs","")))))))))))</f>
        <v/>
      </c>
      <c r="V48" s="57" t="n">
        <f aca="false">IF(AND(I48&lt;&gt;"",U48="",G48="Include"),1,0)</f>
        <v>1</v>
      </c>
      <c r="W48" s="57" t="str">
        <f aca="false">IF(I48="","",IF(COUNTIFS(AwardsData[Award ID],J48)=1,INDEX(AwardsData[Current award type],MATCH(J48,AwardsData[Award ID],0)),"Unlinked"))</f>
        <v>Definitive Contract</v>
      </c>
      <c r="X48" s="57" t="str">
        <f aca="false">IF(I48="","",IF(COUNTIFS(AwardsData[Award ID],J48)=1,INDEX(AwardsData[Current set-aside],MATCH(J48,AwardsData[Award ID],0)),"Unlinked"))</f>
        <v>No Set-Aside Used</v>
      </c>
      <c r="Y48" s="57" t="str">
        <f aca="false">IF(I48="","",IF(COUNTIFS(AwardsData[Award ID],J48)=1,INDEX(AwardsData[Performance state],MATCH(J48,AwardsData[Award ID],0)),"Unlinked"))</f>
        <v>Virginia</v>
      </c>
      <c r="Z48" s="57" t="n">
        <f aca="false">IF(AND(V48=1,OR(Dashboard!$AB$2="All",K48=Dashboard!$AB$2),OR(Dashboard!$AB$3="All",L48=Dashboard!$AB$3),OR(Dashboard!$N$10="All",W48=Dashboard!$N$10)),1,0)</f>
        <v>1</v>
      </c>
      <c r="AA48" s="57" t="n">
        <f aca="false">IF(AND(Z48=1,OR(Dashboard!$B$7="All",S48=Dashboard!$B$7)),1,0)</f>
        <v>0</v>
      </c>
      <c r="AB48" s="57" t="n">
        <f aca="false">IF(AND(V48=1,F48&lt;&gt;0),1,0)</f>
        <v>1</v>
      </c>
      <c r="AC48" s="57" t="n">
        <f aca="false">IF(AND(AA48=1,AB48=1),IF(COUNTIFS($J$17:J48,J48,$AA$17:AA48,1,$AB$17:AB48,1)=1,1,0),0)</f>
        <v>0</v>
      </c>
      <c r="AD48" s="57" t="n">
        <f aca="false">IF(AND(AA48=1,AB48=1),IF(COUNTIFS($K$17:K48,K48,$AA$17:AA48,1,$AB$17:AB48,1)=1,1,0),0)</f>
        <v>0</v>
      </c>
      <c r="AE48" s="57" t="n">
        <f aca="false">IF(AND(Z48=1,AB48=1),IF(COUNTIFS($J$17:J48,J48,$S$17:S48,S48,$Z$17:Z48,1,$AB$17:AB48,1)=1,1,0),0)</f>
        <v>0</v>
      </c>
      <c r="AF48" s="57" t="n">
        <f aca="false">IF(AND(Z48=1,AB48=1),IF(COUNTIFS($K$17:K48,K48,$S$17:S48,S48,$Z$17:Z48,1,$AB$17:AB48,1)=1,1,0),0)</f>
        <v>0</v>
      </c>
      <c r="AG48" s="57" t="n">
        <f aca="false">IF(AND(AA48=1,AB48=1),IF(COUNTIFS($J$17:J48,J48,$L$17:L48,L48,$AA$17:AA48,1,$AB$17:AB48,1)=1,1,0),0)</f>
        <v>0</v>
      </c>
      <c r="AH48" s="57" t="n">
        <f aca="false">IF(AND(AA48=1,AB48=1),IF(COUNTIFS($J$17:J48,J48,$K$17:K48,K48,$AA$17:AA48,1,$AB$17:AB48,1)=1,1,0),0)</f>
        <v>0</v>
      </c>
      <c r="AI48" s="56" t="n">
        <f aca="false">IF(V48=1,MAX(F48,0),0)</f>
        <v>250000</v>
      </c>
      <c r="AJ48" s="56" t="n">
        <f aca="false">IF(V48=1,MIN(F48,0),0)</f>
        <v>0</v>
      </c>
    </row>
    <row r="49" customFormat="false" ht="40" hidden="false" customHeight="true" outlineLevel="0" collapsed="false">
      <c r="A49" s="66" t="n">
        <v>45190</v>
      </c>
      <c r="B49" s="54" t="str">
        <f aca="false">IF(M49="","",IF(P49="",M49,HYPERLINK(P49,M49)))</f>
        <v>49100423C0052</v>
      </c>
      <c r="C49" s="54" t="str">
        <f aca="false">IF(N49="","",IF(Q49="",N49,HYPERLINK(Q49,N49)))</f>
        <v>Expediteinfotech, Inc.</v>
      </c>
      <c r="D49" s="60" t="s">
        <v>127</v>
      </c>
      <c r="E49" s="54" t="str">
        <f aca="false">IF(O49="","",IF(R49="",O49,HYPERLINK(R49,O49)))</f>
        <v>Office of Budget Finance and Award Management</v>
      </c>
      <c r="F49" s="62" t="n">
        <v>300000</v>
      </c>
      <c r="G49" s="61" t="s">
        <v>464</v>
      </c>
      <c r="H49" s="58"/>
      <c r="I49" s="58" t="s">
        <v>500</v>
      </c>
      <c r="J49" s="58" t="s">
        <v>358</v>
      </c>
      <c r="K49" s="58" t="s">
        <v>125</v>
      </c>
      <c r="L49" s="58" t="s">
        <v>216</v>
      </c>
      <c r="M49" s="58" t="s">
        <v>358</v>
      </c>
      <c r="N49" s="58" t="s">
        <v>126</v>
      </c>
      <c r="O49" s="58" t="s">
        <v>217</v>
      </c>
      <c r="P49" s="58" t="s">
        <v>359</v>
      </c>
      <c r="Q49" s="58" t="s">
        <v>128</v>
      </c>
      <c r="R49" s="58" t="s">
        <v>219</v>
      </c>
      <c r="S49" s="57" t="n">
        <f aca="false">IF(ISNUMBER(A49),YEAR(A49)+IF(MONTH(A49)&gt;=10,1,0),"")</f>
        <v>2023</v>
      </c>
      <c r="T49" s="57" t="n">
        <f aca="false">IF(ISNUMBER(A49),INT(MOD(MONTH(A49)-10,12)/3)+1,"")</f>
        <v>4</v>
      </c>
      <c r="U49" s="57" t="str">
        <f aca="false">IF(AND(I49&lt;&gt;"",D49&lt;&gt;"",OR(COUNTIFS(TransactionsData[Vendor ID],K49,TransactionsData[UEI],"&lt;&gt;"&amp;D49,TransactionsData[UEI],"?*")&gt;0,COUNTIFS(VendorGroups[Record ID],K49,VendorGroups[Source UEI],"&lt;&gt;"&amp;D49,VendorGroups[Source UEI],"?*")&gt;0)),"Conflicting vendor UEIs",IF(I49="",IF(COUNTA(A49,D49,F49:R49)&gt;0,"Missing transaction ID",""),IF(COUNTIFS(TransactionsData[Transaction ID],I49)&lt;&gt;1,"Duplicate transaction ID",IF(OR(NOT(ISNUMBER(A49)),A49&lt;1,A49&gt;DATE(2099,1,1)),"Use a valid date",IF(OR(A49&lt;$B$4,A49&gt;$D$4),"Outside coverage",IF(NOT(ISNUMBER(F49)),"Missing or invalid amount",IF(OR(K49="",L49="",N49=""),"Add vendor and office identities",IF(G49="Exclude",IF(OR(F49&lt;&gt;0,H49=""),"Review nonzero or unexplained exclusion",""),IF(G49&lt;&gt;"Include","Choose Include or Exclude",IF(COUNTIFS(AwardsData[Award ID],J49)&lt;&gt;1,"Award link needs review",IF(INDEX(AwardsData[Input check],MATCH(J49,AwardsData[Award ID],0))&lt;&gt;"","Check award inputs","")))))))))))</f>
        <v/>
      </c>
      <c r="V49" s="57" t="n">
        <f aca="false">IF(AND(I49&lt;&gt;"",U49="",G49="Include"),1,0)</f>
        <v>1</v>
      </c>
      <c r="W49" s="57" t="str">
        <f aca="false">IF(I49="","",IF(COUNTIFS(AwardsData[Award ID],J49)=1,INDEX(AwardsData[Current award type],MATCH(J49,AwardsData[Award ID],0)),"Unlinked"))</f>
        <v>Definitive Contract</v>
      </c>
      <c r="X49" s="57" t="str">
        <f aca="false">IF(I49="","",IF(COUNTIFS(AwardsData[Award ID],J49)=1,INDEX(AwardsData[Current set-aside],MATCH(J49,AwardsData[Award ID],0)),"Unlinked"))</f>
        <v>8(a) Sole Source</v>
      </c>
      <c r="Y49" s="57" t="str">
        <f aca="false">IF(I49="","",IF(COUNTIFS(AwardsData[Award ID],J49)=1,INDEX(AwardsData[Performance state],MATCH(J49,AwardsData[Award ID],0)),"Unlinked"))</f>
        <v>Maryland</v>
      </c>
      <c r="Z49" s="57" t="n">
        <f aca="false">IF(AND(V49=1,OR(Dashboard!$AB$2="All",K49=Dashboard!$AB$2),OR(Dashboard!$AB$3="All",L49=Dashboard!$AB$3),OR(Dashboard!$N$10="All",W49=Dashboard!$N$10)),1,0)</f>
        <v>1</v>
      </c>
      <c r="AA49" s="57" t="n">
        <f aca="false">IF(AND(Z49=1,OR(Dashboard!$B$7="All",S49=Dashboard!$B$7)),1,0)</f>
        <v>0</v>
      </c>
      <c r="AB49" s="57" t="n">
        <f aca="false">IF(AND(V49=1,F49&lt;&gt;0),1,0)</f>
        <v>1</v>
      </c>
      <c r="AC49" s="57" t="n">
        <f aca="false">IF(AND(AA49=1,AB49=1),IF(COUNTIFS($J$17:J49,J49,$AA$17:AA49,1,$AB$17:AB49,1)=1,1,0),0)</f>
        <v>0</v>
      </c>
      <c r="AD49" s="57" t="n">
        <f aca="false">IF(AND(AA49=1,AB49=1),IF(COUNTIFS($K$17:K49,K49,$AA$17:AA49,1,$AB$17:AB49,1)=1,1,0),0)</f>
        <v>0</v>
      </c>
      <c r="AE49" s="57" t="n">
        <f aca="false">IF(AND(Z49=1,AB49=1),IF(COUNTIFS($J$17:J49,J49,$S$17:S49,S49,$Z$17:Z49,1,$AB$17:AB49,1)=1,1,0),0)</f>
        <v>1</v>
      </c>
      <c r="AF49" s="57" t="n">
        <f aca="false">IF(AND(Z49=1,AB49=1),IF(COUNTIFS($K$17:K49,K49,$S$17:S49,S49,$Z$17:Z49,1,$AB$17:AB49,1)=1,1,0),0)</f>
        <v>1</v>
      </c>
      <c r="AG49" s="57" t="n">
        <f aca="false">IF(AND(AA49=1,AB49=1),IF(COUNTIFS($J$17:J49,J49,$L$17:L49,L49,$AA$17:AA49,1,$AB$17:AB49,1)=1,1,0),0)</f>
        <v>0</v>
      </c>
      <c r="AH49" s="57" t="n">
        <f aca="false">IF(AND(AA49=1,AB49=1),IF(COUNTIFS($J$17:J49,J49,$K$17:K49,K49,$AA$17:AA49,1,$AB$17:AB49,1)=1,1,0),0)</f>
        <v>0</v>
      </c>
      <c r="AI49" s="56" t="n">
        <f aca="false">IF(V49=1,MAX(F49,0),0)</f>
        <v>300000</v>
      </c>
      <c r="AJ49" s="56" t="n">
        <f aca="false">IF(V49=1,MIN(F49,0),0)</f>
        <v>0</v>
      </c>
    </row>
    <row r="50" customFormat="false" ht="40" hidden="false" customHeight="true" outlineLevel="0" collapsed="false">
      <c r="A50" s="66" t="n">
        <v>45191</v>
      </c>
      <c r="B50" s="54" t="str">
        <f aca="false">IF(M50="","",IF(P50="",M50,HYPERLINK(P50,M50)))</f>
        <v>49100423C0050</v>
      </c>
      <c r="C50" s="54" t="str">
        <f aca="false">IF(N50="","",IF(Q50="",N50,HYPERLINK(Q50,N50)))</f>
        <v>Scope It Consulting, LLC</v>
      </c>
      <c r="D50" s="60" t="s">
        <v>162</v>
      </c>
      <c r="E50" s="54" t="str">
        <f aca="false">IF(O50="","",IF(R50="",O50,HYPERLINK(R50,O50)))</f>
        <v>Office of the Inspector General</v>
      </c>
      <c r="F50" s="62" t="n">
        <v>1031147.64</v>
      </c>
      <c r="G50" s="61" t="s">
        <v>464</v>
      </c>
      <c r="H50" s="58"/>
      <c r="I50" s="58" t="s">
        <v>501</v>
      </c>
      <c r="J50" s="58" t="s">
        <v>356</v>
      </c>
      <c r="K50" s="58" t="s">
        <v>160</v>
      </c>
      <c r="L50" s="58" t="s">
        <v>224</v>
      </c>
      <c r="M50" s="58" t="s">
        <v>356</v>
      </c>
      <c r="N50" s="58" t="s">
        <v>161</v>
      </c>
      <c r="O50" s="58" t="s">
        <v>225</v>
      </c>
      <c r="P50" s="58" t="s">
        <v>357</v>
      </c>
      <c r="Q50" s="58" t="s">
        <v>163</v>
      </c>
      <c r="R50" s="58" t="s">
        <v>227</v>
      </c>
      <c r="S50" s="57" t="n">
        <f aca="false">IF(ISNUMBER(A50),YEAR(A50)+IF(MONTH(A50)&gt;=10,1,0),"")</f>
        <v>2023</v>
      </c>
      <c r="T50" s="57" t="n">
        <f aca="false">IF(ISNUMBER(A50),INT(MOD(MONTH(A50)-10,12)/3)+1,"")</f>
        <v>4</v>
      </c>
      <c r="U50" s="57" t="str">
        <f aca="false">IF(AND(I50&lt;&gt;"",D50&lt;&gt;"",OR(COUNTIFS(TransactionsData[Vendor ID],K50,TransactionsData[UEI],"&lt;&gt;"&amp;D50,TransactionsData[UEI],"?*")&gt;0,COUNTIFS(VendorGroups[Record ID],K50,VendorGroups[Source UEI],"&lt;&gt;"&amp;D50,VendorGroups[Source UEI],"?*")&gt;0)),"Conflicting vendor UEIs",IF(I50="",IF(COUNTA(A50,D50,F50:R50)&gt;0,"Missing transaction ID",""),IF(COUNTIFS(TransactionsData[Transaction ID],I50)&lt;&gt;1,"Duplicate transaction ID",IF(OR(NOT(ISNUMBER(A50)),A50&lt;1,A50&gt;DATE(2099,1,1)),"Use a valid date",IF(OR(A50&lt;$B$4,A50&gt;$D$4),"Outside coverage",IF(NOT(ISNUMBER(F50)),"Missing or invalid amount",IF(OR(K50="",L50="",N50=""),"Add vendor and office identities",IF(G50="Exclude",IF(OR(F50&lt;&gt;0,H50=""),"Review nonzero or unexplained exclusion",""),IF(G50&lt;&gt;"Include","Choose Include or Exclude",IF(COUNTIFS(AwardsData[Award ID],J50)&lt;&gt;1,"Award link needs review",IF(INDEX(AwardsData[Input check],MATCH(J50,AwardsData[Award ID],0))&lt;&gt;"","Check award inputs","")))))))))))</f>
        <v/>
      </c>
      <c r="V50" s="57" t="n">
        <f aca="false">IF(AND(I50&lt;&gt;"",U50="",G50="Include"),1,0)</f>
        <v>1</v>
      </c>
      <c r="W50" s="57" t="str">
        <f aca="false">IF(I50="","",IF(COUNTIFS(AwardsData[Award ID],J50)=1,INDEX(AwardsData[Current award type],MATCH(J50,AwardsData[Award ID],0)),"Unlinked"))</f>
        <v>Definitive Contract</v>
      </c>
      <c r="X50" s="57" t="str">
        <f aca="false">IF(I50="","",IF(COUNTIFS(AwardsData[Award ID],J50)=1,INDEX(AwardsData[Current set-aside],MATCH(J50,AwardsData[Award ID],0)),"Unlinked"))</f>
        <v>8(a) Sole Source</v>
      </c>
      <c r="Y50" s="57" t="str">
        <f aca="false">IF(I50="","",IF(COUNTIFS(AwardsData[Award ID],J50)=1,INDEX(AwardsData[Performance state],MATCH(J50,AwardsData[Award ID],0)),"Unlinked"))</f>
        <v>Georgia</v>
      </c>
      <c r="Z50" s="57" t="n">
        <f aca="false">IF(AND(V50=1,OR(Dashboard!$AB$2="All",K50=Dashboard!$AB$2),OR(Dashboard!$AB$3="All",L50=Dashboard!$AB$3),OR(Dashboard!$N$10="All",W50=Dashboard!$N$10)),1,0)</f>
        <v>1</v>
      </c>
      <c r="AA50" s="57" t="n">
        <f aca="false">IF(AND(Z50=1,OR(Dashboard!$B$7="All",S50=Dashboard!$B$7)),1,0)</f>
        <v>0</v>
      </c>
      <c r="AB50" s="57" t="n">
        <f aca="false">IF(AND(V50=1,F50&lt;&gt;0),1,0)</f>
        <v>1</v>
      </c>
      <c r="AC50" s="57" t="n">
        <f aca="false">IF(AND(AA50=1,AB50=1),IF(COUNTIFS($J$17:J50,J50,$AA$17:AA50,1,$AB$17:AB50,1)=1,1,0),0)</f>
        <v>0</v>
      </c>
      <c r="AD50" s="57" t="n">
        <f aca="false">IF(AND(AA50=1,AB50=1),IF(COUNTIFS($K$17:K50,K50,$AA$17:AA50,1,$AB$17:AB50,1)=1,1,0),0)</f>
        <v>0</v>
      </c>
      <c r="AE50" s="57" t="n">
        <f aca="false">IF(AND(Z50=1,AB50=1),IF(COUNTIFS($J$17:J50,J50,$S$17:S50,S50,$Z$17:Z50,1,$AB$17:AB50,1)=1,1,0),0)</f>
        <v>1</v>
      </c>
      <c r="AF50" s="57" t="n">
        <f aca="false">IF(AND(Z50=1,AB50=1),IF(COUNTIFS($K$17:K50,K50,$S$17:S50,S50,$Z$17:Z50,1,$AB$17:AB50,1)=1,1,0),0)</f>
        <v>1</v>
      </c>
      <c r="AG50" s="57" t="n">
        <f aca="false">IF(AND(AA50=1,AB50=1),IF(COUNTIFS($J$17:J50,J50,$L$17:L50,L50,$AA$17:AA50,1,$AB$17:AB50,1)=1,1,0),0)</f>
        <v>0</v>
      </c>
      <c r="AH50" s="57" t="n">
        <f aca="false">IF(AND(AA50=1,AB50=1),IF(COUNTIFS($J$17:J50,J50,$K$17:K50,K50,$AA$17:AA50,1,$AB$17:AB50,1)=1,1,0),0)</f>
        <v>0</v>
      </c>
      <c r="AI50" s="56" t="n">
        <f aca="false">IF(V50=1,MAX(F50,0),0)</f>
        <v>1031147.64</v>
      </c>
      <c r="AJ50" s="56" t="n">
        <f aca="false">IF(V50=1,MIN(F50,0),0)</f>
        <v>0</v>
      </c>
    </row>
    <row r="51" customFormat="false" ht="40" hidden="false" customHeight="true" outlineLevel="0" collapsed="false">
      <c r="A51" s="66" t="n">
        <v>45191</v>
      </c>
      <c r="B51" s="54" t="str">
        <f aca="false">IF(M51="","",IF(P51="",M51,HYPERLINK(P51,M51)))</f>
        <v>GS35F337BA-49100421F0078</v>
      </c>
      <c r="C51" s="54" t="str">
        <f aca="false">IF(N51="","",IF(Q51="",N51,HYPERLINK(Q51,N51)))</f>
        <v>Civicactions, Inc.</v>
      </c>
      <c r="D51" s="60" t="s">
        <v>115</v>
      </c>
      <c r="E51" s="54" t="str">
        <f aca="false">IF(O51="","",IF(R51="",O51,HYPERLINK(R51,O51)))</f>
        <v>Division of Information Systems</v>
      </c>
      <c r="F51" s="62" t="n">
        <v>0</v>
      </c>
      <c r="G51" s="61" t="s">
        <v>464</v>
      </c>
      <c r="H51" s="58"/>
      <c r="I51" s="58" t="s">
        <v>502</v>
      </c>
      <c r="J51" s="58" t="s">
        <v>414</v>
      </c>
      <c r="K51" s="58" t="s">
        <v>113</v>
      </c>
      <c r="L51" s="58" t="s">
        <v>197</v>
      </c>
      <c r="M51" s="58" t="s">
        <v>415</v>
      </c>
      <c r="N51" s="58" t="s">
        <v>114</v>
      </c>
      <c r="O51" s="58" t="s">
        <v>198</v>
      </c>
      <c r="P51" s="58" t="s">
        <v>416</v>
      </c>
      <c r="Q51" s="58" t="s">
        <v>116</v>
      </c>
      <c r="R51" s="58" t="s">
        <v>200</v>
      </c>
      <c r="S51" s="57" t="n">
        <f aca="false">IF(ISNUMBER(A51),YEAR(A51)+IF(MONTH(A51)&gt;=10,1,0),"")</f>
        <v>2023</v>
      </c>
      <c r="T51" s="57" t="n">
        <f aca="false">IF(ISNUMBER(A51),INT(MOD(MONTH(A51)-10,12)/3)+1,"")</f>
        <v>4</v>
      </c>
      <c r="U51" s="57" t="str">
        <f aca="false">IF(AND(I51&lt;&gt;"",D51&lt;&gt;"",OR(COUNTIFS(TransactionsData[Vendor ID],K51,TransactionsData[UEI],"&lt;&gt;"&amp;D51,TransactionsData[UEI],"?*")&gt;0,COUNTIFS(VendorGroups[Record ID],K51,VendorGroups[Source UEI],"&lt;&gt;"&amp;D51,VendorGroups[Source UEI],"?*")&gt;0)),"Conflicting vendor UEIs",IF(I51="",IF(COUNTA(A51,D51,F51:R51)&gt;0,"Missing transaction ID",""),IF(COUNTIFS(TransactionsData[Transaction ID],I51)&lt;&gt;1,"Duplicate transaction ID",IF(OR(NOT(ISNUMBER(A51)),A51&lt;1,A51&gt;DATE(2099,1,1)),"Use a valid date",IF(OR(A51&lt;$B$4,A51&gt;$D$4),"Outside coverage",IF(NOT(ISNUMBER(F51)),"Missing or invalid amount",IF(OR(K51="",L51="",N51=""),"Add vendor and office identities",IF(G51="Exclude",IF(OR(F51&lt;&gt;0,H51=""),"Review nonzero or unexplained exclusion",""),IF(G51&lt;&gt;"Include","Choose Include or Exclude",IF(COUNTIFS(AwardsData[Award ID],J51)&lt;&gt;1,"Award link needs review",IF(INDEX(AwardsData[Input check],MATCH(J51,AwardsData[Award ID],0))&lt;&gt;"","Check award inputs","")))))))))))</f>
        <v/>
      </c>
      <c r="V51" s="57" t="n">
        <f aca="false">IF(AND(I51&lt;&gt;"",U51="",G51="Include"),1,0)</f>
        <v>1</v>
      </c>
      <c r="W51" s="57" t="str">
        <f aca="false">IF(I51="","",IF(COUNTIFS(AwardsData[Award ID],J51)=1,INDEX(AwardsData[Current award type],MATCH(J51,AwardsData[Award ID],0)),"Unlinked"))</f>
        <v>Delivery Order</v>
      </c>
      <c r="X51" s="57" t="str">
        <f aca="false">IF(I51="","",IF(COUNTIFS(AwardsData[Award ID],J51)=1,INDEX(AwardsData[Current set-aside],MATCH(J51,AwardsData[Award ID],0)),"Unlinked"))</f>
        <v>Total Small Business</v>
      </c>
      <c r="Y51" s="57" t="str">
        <f aca="false">IF(I51="","",IF(COUNTIFS(AwardsData[Award ID],J51)=1,INDEX(AwardsData[Performance state],MATCH(J51,AwardsData[Award ID],0)),"Unlinked"))</f>
        <v>California</v>
      </c>
      <c r="Z51" s="57" t="n">
        <f aca="false">IF(AND(V51=1,OR(Dashboard!$AB$2="All",K51=Dashboard!$AB$2),OR(Dashboard!$AB$3="All",L51=Dashboard!$AB$3),OR(Dashboard!$N$10="All",W51=Dashboard!$N$10)),1,0)</f>
        <v>1</v>
      </c>
      <c r="AA51" s="57" t="n">
        <f aca="false">IF(AND(Z51=1,OR(Dashboard!$B$7="All",S51=Dashboard!$B$7)),1,0)</f>
        <v>0</v>
      </c>
      <c r="AB51" s="57" t="n">
        <f aca="false">IF(AND(V51=1,F51&lt;&gt;0),1,0)</f>
        <v>0</v>
      </c>
      <c r="AC51" s="57" t="n">
        <f aca="false">IF(AND(AA51=1,AB51=1),IF(COUNTIFS($J$17:J51,J51,$AA$17:AA51,1,$AB$17:AB51,1)=1,1,0),0)</f>
        <v>0</v>
      </c>
      <c r="AD51" s="57" t="n">
        <f aca="false">IF(AND(AA51=1,AB51=1),IF(COUNTIFS($K$17:K51,K51,$AA$17:AA51,1,$AB$17:AB51,1)=1,1,0),0)</f>
        <v>0</v>
      </c>
      <c r="AE51" s="57" t="n">
        <f aca="false">IF(AND(Z51=1,AB51=1),IF(COUNTIFS($J$17:J51,J51,$S$17:S51,S51,$Z$17:Z51,1,$AB$17:AB51,1)=1,1,0),0)</f>
        <v>0</v>
      </c>
      <c r="AF51" s="57" t="n">
        <f aca="false">IF(AND(Z51=1,AB51=1),IF(COUNTIFS($K$17:K51,K51,$S$17:S51,S51,$Z$17:Z51,1,$AB$17:AB51,1)=1,1,0),0)</f>
        <v>0</v>
      </c>
      <c r="AG51" s="57" t="n">
        <f aca="false">IF(AND(AA51=1,AB51=1),IF(COUNTIFS($J$17:J51,J51,$L$17:L51,L51,$AA$17:AA51,1,$AB$17:AB51,1)=1,1,0),0)</f>
        <v>0</v>
      </c>
      <c r="AH51" s="57" t="n">
        <f aca="false">IF(AND(AA51=1,AB51=1),IF(COUNTIFS($J$17:J51,J51,$K$17:K51,K51,$AA$17:AA51,1,$AB$17:AB51,1)=1,1,0),0)</f>
        <v>0</v>
      </c>
      <c r="AI51" s="56" t="n">
        <f aca="false">IF(V51=1,MAX(F51,0),0)</f>
        <v>0</v>
      </c>
      <c r="AJ51" s="56" t="n">
        <f aca="false">IF(V51=1,MIN(F51,0),0)</f>
        <v>0</v>
      </c>
    </row>
    <row r="52" customFormat="false" ht="40" hidden="false" customHeight="true" outlineLevel="0" collapsed="false">
      <c r="A52" s="66" t="n">
        <v>45229</v>
      </c>
      <c r="B52" s="54" t="str">
        <f aca="false">IF(M52="","",IF(P52="",M52,HYPERLINK(P52,M52)))</f>
        <v>47QTCA19D00GN-49100421F0206</v>
      </c>
      <c r="C52" s="54" t="str">
        <f aca="false">IF(N52="","",IF(Q52="",N52,HYPERLINK(Q52,N52)))</f>
        <v>Lynker Corporation</v>
      </c>
      <c r="D52" s="60" t="s">
        <v>147</v>
      </c>
      <c r="E52" s="54" t="str">
        <f aca="false">IF(O52="","",IF(R52="",O52,HYPERLINK(R52,O52)))</f>
        <v>Division of Social and Economic Science</v>
      </c>
      <c r="F52" s="62" t="n">
        <v>0</v>
      </c>
      <c r="G52" s="61" t="s">
        <v>464</v>
      </c>
      <c r="H52" s="58"/>
      <c r="I52" s="58" t="s">
        <v>503</v>
      </c>
      <c r="J52" s="58" t="s">
        <v>260</v>
      </c>
      <c r="K52" s="58" t="s">
        <v>145</v>
      </c>
      <c r="L52" s="58" t="s">
        <v>201</v>
      </c>
      <c r="M52" s="58" t="s">
        <v>261</v>
      </c>
      <c r="N52" s="58" t="s">
        <v>146</v>
      </c>
      <c r="O52" s="58" t="s">
        <v>202</v>
      </c>
      <c r="P52" s="58" t="s">
        <v>262</v>
      </c>
      <c r="Q52" s="58" t="s">
        <v>148</v>
      </c>
      <c r="R52" s="58" t="s">
        <v>204</v>
      </c>
      <c r="S52" s="57" t="n">
        <f aca="false">IF(ISNUMBER(A52),YEAR(A52)+IF(MONTH(A52)&gt;=10,1,0),"")</f>
        <v>2024</v>
      </c>
      <c r="T52" s="57" t="n">
        <f aca="false">IF(ISNUMBER(A52),INT(MOD(MONTH(A52)-10,12)/3)+1,"")</f>
        <v>1</v>
      </c>
      <c r="U52" s="57" t="str">
        <f aca="false">IF(AND(I52&lt;&gt;"",D52&lt;&gt;"",OR(COUNTIFS(TransactionsData[Vendor ID],K52,TransactionsData[UEI],"&lt;&gt;"&amp;D52,TransactionsData[UEI],"?*")&gt;0,COUNTIFS(VendorGroups[Record ID],K52,VendorGroups[Source UEI],"&lt;&gt;"&amp;D52,VendorGroups[Source UEI],"?*")&gt;0)),"Conflicting vendor UEIs",IF(I52="",IF(COUNTA(A52,D52,F52:R52)&gt;0,"Missing transaction ID",""),IF(COUNTIFS(TransactionsData[Transaction ID],I52)&lt;&gt;1,"Duplicate transaction ID",IF(OR(NOT(ISNUMBER(A52)),A52&lt;1,A52&gt;DATE(2099,1,1)),"Use a valid date",IF(OR(A52&lt;$B$4,A52&gt;$D$4),"Outside coverage",IF(NOT(ISNUMBER(F52)),"Missing or invalid amount",IF(OR(K52="",L52="",N52=""),"Add vendor and office identities",IF(G52="Exclude",IF(OR(F52&lt;&gt;0,H52=""),"Review nonzero or unexplained exclusion",""),IF(G52&lt;&gt;"Include","Choose Include or Exclude",IF(COUNTIFS(AwardsData[Award ID],J52)&lt;&gt;1,"Award link needs review",IF(INDEX(AwardsData[Input check],MATCH(J52,AwardsData[Award ID],0))&lt;&gt;"","Check award inputs","")))))))))))</f>
        <v/>
      </c>
      <c r="V52" s="57" t="n">
        <f aca="false">IF(AND(I52&lt;&gt;"",U52="",G52="Include"),1,0)</f>
        <v>1</v>
      </c>
      <c r="W52" s="57" t="str">
        <f aca="false">IF(I52="","",IF(COUNTIFS(AwardsData[Award ID],J52)=1,INDEX(AwardsData[Current award type],MATCH(J52,AwardsData[Award ID],0)),"Unlinked"))</f>
        <v>Delivery Order</v>
      </c>
      <c r="X52" s="57" t="str">
        <f aca="false">IF(I52="","",IF(COUNTIFS(AwardsData[Award ID],J52)=1,INDEX(AwardsData[Current set-aside],MATCH(J52,AwardsData[Award ID],0)),"Unlinked"))</f>
        <v>No Set-Aside Used</v>
      </c>
      <c r="Y52" s="57" t="str">
        <f aca="false">IF(I52="","",IF(COUNTIFS(AwardsData[Award ID],J52)=1,INDEX(AwardsData[Performance state],MATCH(J52,AwardsData[Award ID],0)),"Unlinked"))</f>
        <v>Virginia</v>
      </c>
      <c r="Z52" s="57" t="n">
        <f aca="false">IF(AND(V52=1,OR(Dashboard!$AB$2="All",K52=Dashboard!$AB$2),OR(Dashboard!$AB$3="All",L52=Dashboard!$AB$3),OR(Dashboard!$N$10="All",W52=Dashboard!$N$10)),1,0)</f>
        <v>1</v>
      </c>
      <c r="AA52" s="57" t="n">
        <f aca="false">IF(AND(Z52=1,OR(Dashboard!$B$7="All",S52=Dashboard!$B$7)),1,0)</f>
        <v>0</v>
      </c>
      <c r="AB52" s="57" t="n">
        <f aca="false">IF(AND(V52=1,F52&lt;&gt;0),1,0)</f>
        <v>0</v>
      </c>
      <c r="AC52" s="57" t="n">
        <f aca="false">IF(AND(AA52=1,AB52=1),IF(COUNTIFS($J$17:J52,J52,$AA$17:AA52,1,$AB$17:AB52,1)=1,1,0),0)</f>
        <v>0</v>
      </c>
      <c r="AD52" s="57" t="n">
        <f aca="false">IF(AND(AA52=1,AB52=1),IF(COUNTIFS($K$17:K52,K52,$AA$17:AA52,1,$AB$17:AB52,1)=1,1,0),0)</f>
        <v>0</v>
      </c>
      <c r="AE52" s="57" t="n">
        <f aca="false">IF(AND(Z52=1,AB52=1),IF(COUNTIFS($J$17:J52,J52,$S$17:S52,S52,$Z$17:Z52,1,$AB$17:AB52,1)=1,1,0),0)</f>
        <v>0</v>
      </c>
      <c r="AF52" s="57" t="n">
        <f aca="false">IF(AND(Z52=1,AB52=1),IF(COUNTIFS($K$17:K52,K52,$S$17:S52,S52,$Z$17:Z52,1,$AB$17:AB52,1)=1,1,0),0)</f>
        <v>0</v>
      </c>
      <c r="AG52" s="57" t="n">
        <f aca="false">IF(AND(AA52=1,AB52=1),IF(COUNTIFS($J$17:J52,J52,$L$17:L52,L52,$AA$17:AA52,1,$AB$17:AB52,1)=1,1,0),0)</f>
        <v>0</v>
      </c>
      <c r="AH52" s="57" t="n">
        <f aca="false">IF(AND(AA52=1,AB52=1),IF(COUNTIFS($J$17:J52,J52,$K$17:K52,K52,$AA$17:AA52,1,$AB$17:AB52,1)=1,1,0),0)</f>
        <v>0</v>
      </c>
      <c r="AI52" s="56" t="n">
        <f aca="false">IF(V52=1,MAX(F52,0),0)</f>
        <v>0</v>
      </c>
      <c r="AJ52" s="56" t="n">
        <f aca="false">IF(V52=1,MIN(F52,0),0)</f>
        <v>0</v>
      </c>
    </row>
    <row r="53" customFormat="false" ht="40" hidden="false" customHeight="true" outlineLevel="0" collapsed="false">
      <c r="A53" s="66" t="n">
        <v>45231</v>
      </c>
      <c r="B53" s="54" t="str">
        <f aca="false">IF(M53="","",IF(P53="",M53,HYPERLINK(P53,M53)))</f>
        <v>49100422A0002-49100423F0008</v>
      </c>
      <c r="C53" s="54" t="str">
        <f aca="false">IF(N53="","",IF(Q53="",N53,HYPERLINK(Q53,N53)))</f>
        <v>Directviz Solutions, LLC</v>
      </c>
      <c r="D53" s="60" t="s">
        <v>123</v>
      </c>
      <c r="E53" s="54" t="str">
        <f aca="false">IF(O53="","",IF(R53="",O53,HYPERLINK(R53,O53)))</f>
        <v>Division of Information Systems</v>
      </c>
      <c r="F53" s="62" t="n">
        <v>327049.14</v>
      </c>
      <c r="G53" s="61" t="s">
        <v>464</v>
      </c>
      <c r="H53" s="58"/>
      <c r="I53" s="58" t="s">
        <v>504</v>
      </c>
      <c r="J53" s="58" t="s">
        <v>301</v>
      </c>
      <c r="K53" s="58" t="s">
        <v>121</v>
      </c>
      <c r="L53" s="58" t="s">
        <v>197</v>
      </c>
      <c r="M53" s="58" t="s">
        <v>302</v>
      </c>
      <c r="N53" s="58" t="s">
        <v>122</v>
      </c>
      <c r="O53" s="58" t="s">
        <v>198</v>
      </c>
      <c r="P53" s="58" t="s">
        <v>303</v>
      </c>
      <c r="Q53" s="58" t="s">
        <v>124</v>
      </c>
      <c r="R53" s="58" t="s">
        <v>200</v>
      </c>
      <c r="S53" s="57" t="n">
        <f aca="false">IF(ISNUMBER(A53),YEAR(A53)+IF(MONTH(A53)&gt;=10,1,0),"")</f>
        <v>2024</v>
      </c>
      <c r="T53" s="57" t="n">
        <f aca="false">IF(ISNUMBER(A53),INT(MOD(MONTH(A53)-10,12)/3)+1,"")</f>
        <v>1</v>
      </c>
      <c r="U53" s="57" t="str">
        <f aca="false">IF(AND(I53&lt;&gt;"",D53&lt;&gt;"",OR(COUNTIFS(TransactionsData[Vendor ID],K53,TransactionsData[UEI],"&lt;&gt;"&amp;D53,TransactionsData[UEI],"?*")&gt;0,COUNTIFS(VendorGroups[Record ID],K53,VendorGroups[Source UEI],"&lt;&gt;"&amp;D53,VendorGroups[Source UEI],"?*")&gt;0)),"Conflicting vendor UEIs",IF(I53="",IF(COUNTA(A53,D53,F53:R53)&gt;0,"Missing transaction ID",""),IF(COUNTIFS(TransactionsData[Transaction ID],I53)&lt;&gt;1,"Duplicate transaction ID",IF(OR(NOT(ISNUMBER(A53)),A53&lt;1,A53&gt;DATE(2099,1,1)),"Use a valid date",IF(OR(A53&lt;$B$4,A53&gt;$D$4),"Outside coverage",IF(NOT(ISNUMBER(F53)),"Missing or invalid amount",IF(OR(K53="",L53="",N53=""),"Add vendor and office identities",IF(G53="Exclude",IF(OR(F53&lt;&gt;0,H53=""),"Review nonzero or unexplained exclusion",""),IF(G53&lt;&gt;"Include","Choose Include or Exclude",IF(COUNTIFS(AwardsData[Award ID],J53)&lt;&gt;1,"Award link needs review",IF(INDEX(AwardsData[Input check],MATCH(J53,AwardsData[Award ID],0))&lt;&gt;"","Check award inputs","")))))))))))</f>
        <v/>
      </c>
      <c r="V53" s="57" t="n">
        <f aca="false">IF(AND(I53&lt;&gt;"",U53="",G53="Include"),1,0)</f>
        <v>1</v>
      </c>
      <c r="W53" s="57" t="str">
        <f aca="false">IF(I53="","",IF(COUNTIFS(AwardsData[Award ID],J53)=1,INDEX(AwardsData[Current award type],MATCH(J53,AwardsData[Award ID],0)),"Unlinked"))</f>
        <v>BPA Call</v>
      </c>
      <c r="X53" s="57" t="str">
        <f aca="false">IF(I53="","",IF(COUNTIFS(AwardsData[Award ID],J53)=1,INDEX(AwardsData[Current set-aside],MATCH(J53,AwardsData[Award ID],0)),"Unlinked"))</f>
        <v>No Set-Aside Used</v>
      </c>
      <c r="Y53" s="57" t="str">
        <f aca="false">IF(I53="","",IF(COUNTIFS(AwardsData[Award ID],J53)=1,INDEX(AwardsData[Performance state],MATCH(J53,AwardsData[Award ID],0)),"Unlinked"))</f>
        <v>Virginia</v>
      </c>
      <c r="Z53" s="57" t="n">
        <f aca="false">IF(AND(V53=1,OR(Dashboard!$AB$2="All",K53=Dashboard!$AB$2),OR(Dashboard!$AB$3="All",L53=Dashboard!$AB$3),OR(Dashboard!$N$10="All",W53=Dashboard!$N$10)),1,0)</f>
        <v>1</v>
      </c>
      <c r="AA53" s="57" t="n">
        <f aca="false">IF(AND(Z53=1,OR(Dashboard!$B$7="All",S53=Dashboard!$B$7)),1,0)</f>
        <v>0</v>
      </c>
      <c r="AB53" s="57" t="n">
        <f aca="false">IF(AND(V53=1,F53&lt;&gt;0),1,0)</f>
        <v>1</v>
      </c>
      <c r="AC53" s="57" t="n">
        <f aca="false">IF(AND(AA53=1,AB53=1),IF(COUNTIFS($J$17:J53,J53,$AA$17:AA53,1,$AB$17:AB53,1)=1,1,0),0)</f>
        <v>0</v>
      </c>
      <c r="AD53" s="57" t="n">
        <f aca="false">IF(AND(AA53=1,AB53=1),IF(COUNTIFS($K$17:K53,K53,$AA$17:AA53,1,$AB$17:AB53,1)=1,1,0),0)</f>
        <v>0</v>
      </c>
      <c r="AE53" s="57" t="n">
        <f aca="false">IF(AND(Z53=1,AB53=1),IF(COUNTIFS($J$17:J53,J53,$S$17:S53,S53,$Z$17:Z53,1,$AB$17:AB53,1)=1,1,0),0)</f>
        <v>1</v>
      </c>
      <c r="AF53" s="57" t="n">
        <f aca="false">IF(AND(Z53=1,AB53=1),IF(COUNTIFS($K$17:K53,K53,$S$17:S53,S53,$Z$17:Z53,1,$AB$17:AB53,1)=1,1,0),0)</f>
        <v>1</v>
      </c>
      <c r="AG53" s="57" t="n">
        <f aca="false">IF(AND(AA53=1,AB53=1),IF(COUNTIFS($J$17:J53,J53,$L$17:L53,L53,$AA$17:AA53,1,$AB$17:AB53,1)=1,1,0),0)</f>
        <v>0</v>
      </c>
      <c r="AH53" s="57" t="n">
        <f aca="false">IF(AND(AA53=1,AB53=1),IF(COUNTIFS($J$17:J53,J53,$K$17:K53,K53,$AA$17:AA53,1,$AB$17:AB53,1)=1,1,0),0)</f>
        <v>0</v>
      </c>
      <c r="AI53" s="56" t="n">
        <f aca="false">IF(V53=1,MAX(F53,0),0)</f>
        <v>327049.14</v>
      </c>
      <c r="AJ53" s="56" t="n">
        <f aca="false">IF(V53=1,MIN(F53,0),0)</f>
        <v>0</v>
      </c>
    </row>
    <row r="54" customFormat="false" ht="40" hidden="false" customHeight="true" outlineLevel="0" collapsed="false">
      <c r="A54" s="66" t="n">
        <v>45232</v>
      </c>
      <c r="B54" s="54" t="str">
        <f aca="false">IF(M54="","",IF(P54="",M54,HYPERLINK(P54,M54)))</f>
        <v>47QTCA19D00GN-49100421F0206</v>
      </c>
      <c r="C54" s="54" t="str">
        <f aca="false">IF(N54="","",IF(Q54="",N54,HYPERLINK(Q54,N54)))</f>
        <v>Lynker Corporation</v>
      </c>
      <c r="D54" s="60" t="s">
        <v>147</v>
      </c>
      <c r="E54" s="54" t="str">
        <f aca="false">IF(O54="","",IF(R54="",O54,HYPERLINK(R54,O54)))</f>
        <v>Division of Social and Economic Science</v>
      </c>
      <c r="F54" s="62" t="n">
        <v>225587</v>
      </c>
      <c r="G54" s="61" t="s">
        <v>464</v>
      </c>
      <c r="H54" s="58"/>
      <c r="I54" s="58" t="s">
        <v>505</v>
      </c>
      <c r="J54" s="58" t="s">
        <v>260</v>
      </c>
      <c r="K54" s="58" t="s">
        <v>145</v>
      </c>
      <c r="L54" s="58" t="s">
        <v>201</v>
      </c>
      <c r="M54" s="58" t="s">
        <v>261</v>
      </c>
      <c r="N54" s="58" t="s">
        <v>146</v>
      </c>
      <c r="O54" s="58" t="s">
        <v>202</v>
      </c>
      <c r="P54" s="58" t="s">
        <v>262</v>
      </c>
      <c r="Q54" s="58" t="s">
        <v>148</v>
      </c>
      <c r="R54" s="58" t="s">
        <v>204</v>
      </c>
      <c r="S54" s="57" t="n">
        <f aca="false">IF(ISNUMBER(A54),YEAR(A54)+IF(MONTH(A54)&gt;=10,1,0),"")</f>
        <v>2024</v>
      </c>
      <c r="T54" s="57" t="n">
        <f aca="false">IF(ISNUMBER(A54),INT(MOD(MONTH(A54)-10,12)/3)+1,"")</f>
        <v>1</v>
      </c>
      <c r="U54" s="57" t="str">
        <f aca="false">IF(AND(I54&lt;&gt;"",D54&lt;&gt;"",OR(COUNTIFS(TransactionsData[Vendor ID],K54,TransactionsData[UEI],"&lt;&gt;"&amp;D54,TransactionsData[UEI],"?*")&gt;0,COUNTIFS(VendorGroups[Record ID],K54,VendorGroups[Source UEI],"&lt;&gt;"&amp;D54,VendorGroups[Source UEI],"?*")&gt;0)),"Conflicting vendor UEIs",IF(I54="",IF(COUNTA(A54,D54,F54:R54)&gt;0,"Missing transaction ID",""),IF(COUNTIFS(TransactionsData[Transaction ID],I54)&lt;&gt;1,"Duplicate transaction ID",IF(OR(NOT(ISNUMBER(A54)),A54&lt;1,A54&gt;DATE(2099,1,1)),"Use a valid date",IF(OR(A54&lt;$B$4,A54&gt;$D$4),"Outside coverage",IF(NOT(ISNUMBER(F54)),"Missing or invalid amount",IF(OR(K54="",L54="",N54=""),"Add vendor and office identities",IF(G54="Exclude",IF(OR(F54&lt;&gt;0,H54=""),"Review nonzero or unexplained exclusion",""),IF(G54&lt;&gt;"Include","Choose Include or Exclude",IF(COUNTIFS(AwardsData[Award ID],J54)&lt;&gt;1,"Award link needs review",IF(INDEX(AwardsData[Input check],MATCH(J54,AwardsData[Award ID],0))&lt;&gt;"","Check award inputs","")))))))))))</f>
        <v/>
      </c>
      <c r="V54" s="57" t="n">
        <f aca="false">IF(AND(I54&lt;&gt;"",U54="",G54="Include"),1,0)</f>
        <v>1</v>
      </c>
      <c r="W54" s="57" t="str">
        <f aca="false">IF(I54="","",IF(COUNTIFS(AwardsData[Award ID],J54)=1,INDEX(AwardsData[Current award type],MATCH(J54,AwardsData[Award ID],0)),"Unlinked"))</f>
        <v>Delivery Order</v>
      </c>
      <c r="X54" s="57" t="str">
        <f aca="false">IF(I54="","",IF(COUNTIFS(AwardsData[Award ID],J54)=1,INDEX(AwardsData[Current set-aside],MATCH(J54,AwardsData[Award ID],0)),"Unlinked"))</f>
        <v>No Set-Aside Used</v>
      </c>
      <c r="Y54" s="57" t="str">
        <f aca="false">IF(I54="","",IF(COUNTIFS(AwardsData[Award ID],J54)=1,INDEX(AwardsData[Performance state],MATCH(J54,AwardsData[Award ID],0)),"Unlinked"))</f>
        <v>Virginia</v>
      </c>
      <c r="Z54" s="57" t="n">
        <f aca="false">IF(AND(V54=1,OR(Dashboard!$AB$2="All",K54=Dashboard!$AB$2),OR(Dashboard!$AB$3="All",L54=Dashboard!$AB$3),OR(Dashboard!$N$10="All",W54=Dashboard!$N$10)),1,0)</f>
        <v>1</v>
      </c>
      <c r="AA54" s="57" t="n">
        <f aca="false">IF(AND(Z54=1,OR(Dashboard!$B$7="All",S54=Dashboard!$B$7)),1,0)</f>
        <v>0</v>
      </c>
      <c r="AB54" s="57" t="n">
        <f aca="false">IF(AND(V54=1,F54&lt;&gt;0),1,0)</f>
        <v>1</v>
      </c>
      <c r="AC54" s="57" t="n">
        <f aca="false">IF(AND(AA54=1,AB54=1),IF(COUNTIFS($J$17:J54,J54,$AA$17:AA54,1,$AB$17:AB54,1)=1,1,0),0)</f>
        <v>0</v>
      </c>
      <c r="AD54" s="57" t="n">
        <f aca="false">IF(AND(AA54=1,AB54=1),IF(COUNTIFS($K$17:K54,K54,$AA$17:AA54,1,$AB$17:AB54,1)=1,1,0),0)</f>
        <v>0</v>
      </c>
      <c r="AE54" s="57" t="n">
        <f aca="false">IF(AND(Z54=1,AB54=1),IF(COUNTIFS($J$17:J54,J54,$S$17:S54,S54,$Z$17:Z54,1,$AB$17:AB54,1)=1,1,0),0)</f>
        <v>1</v>
      </c>
      <c r="AF54" s="57" t="n">
        <f aca="false">IF(AND(Z54=1,AB54=1),IF(COUNTIFS($K$17:K54,K54,$S$17:S54,S54,$Z$17:Z54,1,$AB$17:AB54,1)=1,1,0),0)</f>
        <v>1</v>
      </c>
      <c r="AG54" s="57" t="n">
        <f aca="false">IF(AND(AA54=1,AB54=1),IF(COUNTIFS($J$17:J54,J54,$L$17:L54,L54,$AA$17:AA54,1,$AB$17:AB54,1)=1,1,0),0)</f>
        <v>0</v>
      </c>
      <c r="AH54" s="57" t="n">
        <f aca="false">IF(AND(AA54=1,AB54=1),IF(COUNTIFS($J$17:J54,J54,$K$17:K54,K54,$AA$17:AA54,1,$AB$17:AB54,1)=1,1,0),0)</f>
        <v>0</v>
      </c>
      <c r="AI54" s="56" t="n">
        <f aca="false">IF(V54=1,MAX(F54,0),0)</f>
        <v>225587</v>
      </c>
      <c r="AJ54" s="56" t="n">
        <f aca="false">IF(V54=1,MIN(F54,0),0)</f>
        <v>0</v>
      </c>
    </row>
    <row r="55" customFormat="false" ht="40" hidden="false" customHeight="true" outlineLevel="0" collapsed="false">
      <c r="A55" s="66" t="n">
        <v>45239</v>
      </c>
      <c r="B55" s="54" t="str">
        <f aca="false">IF(M55="","",IF(P55="",M55,HYPERLINK(P55,M55)))</f>
        <v>47QTCA19D00GN-49100421F0206</v>
      </c>
      <c r="C55" s="54" t="str">
        <f aca="false">IF(N55="","",IF(Q55="",N55,HYPERLINK(Q55,N55)))</f>
        <v>Lynker Corporation</v>
      </c>
      <c r="D55" s="60" t="s">
        <v>147</v>
      </c>
      <c r="E55" s="54" t="str">
        <f aca="false">IF(O55="","",IF(R55="",O55,HYPERLINK(R55,O55)))</f>
        <v>Division of Social and Economic Science</v>
      </c>
      <c r="F55" s="62" t="n">
        <v>0</v>
      </c>
      <c r="G55" s="61" t="s">
        <v>464</v>
      </c>
      <c r="H55" s="58"/>
      <c r="I55" s="58" t="s">
        <v>506</v>
      </c>
      <c r="J55" s="58" t="s">
        <v>260</v>
      </c>
      <c r="K55" s="58" t="s">
        <v>145</v>
      </c>
      <c r="L55" s="58" t="s">
        <v>201</v>
      </c>
      <c r="M55" s="58" t="s">
        <v>261</v>
      </c>
      <c r="N55" s="58" t="s">
        <v>146</v>
      </c>
      <c r="O55" s="58" t="s">
        <v>202</v>
      </c>
      <c r="P55" s="58" t="s">
        <v>262</v>
      </c>
      <c r="Q55" s="58" t="s">
        <v>148</v>
      </c>
      <c r="R55" s="58" t="s">
        <v>204</v>
      </c>
      <c r="S55" s="57" t="n">
        <f aca="false">IF(ISNUMBER(A55),YEAR(A55)+IF(MONTH(A55)&gt;=10,1,0),"")</f>
        <v>2024</v>
      </c>
      <c r="T55" s="57" t="n">
        <f aca="false">IF(ISNUMBER(A55),INT(MOD(MONTH(A55)-10,12)/3)+1,"")</f>
        <v>1</v>
      </c>
      <c r="U55" s="57" t="str">
        <f aca="false">IF(AND(I55&lt;&gt;"",D55&lt;&gt;"",OR(COUNTIFS(TransactionsData[Vendor ID],K55,TransactionsData[UEI],"&lt;&gt;"&amp;D55,TransactionsData[UEI],"?*")&gt;0,COUNTIFS(VendorGroups[Record ID],K55,VendorGroups[Source UEI],"&lt;&gt;"&amp;D55,VendorGroups[Source UEI],"?*")&gt;0)),"Conflicting vendor UEIs",IF(I55="",IF(COUNTA(A55,D55,F55:R55)&gt;0,"Missing transaction ID",""),IF(COUNTIFS(TransactionsData[Transaction ID],I55)&lt;&gt;1,"Duplicate transaction ID",IF(OR(NOT(ISNUMBER(A55)),A55&lt;1,A55&gt;DATE(2099,1,1)),"Use a valid date",IF(OR(A55&lt;$B$4,A55&gt;$D$4),"Outside coverage",IF(NOT(ISNUMBER(F55)),"Missing or invalid amount",IF(OR(K55="",L55="",N55=""),"Add vendor and office identities",IF(G55="Exclude",IF(OR(F55&lt;&gt;0,H55=""),"Review nonzero or unexplained exclusion",""),IF(G55&lt;&gt;"Include","Choose Include or Exclude",IF(COUNTIFS(AwardsData[Award ID],J55)&lt;&gt;1,"Award link needs review",IF(INDEX(AwardsData[Input check],MATCH(J55,AwardsData[Award ID],0))&lt;&gt;"","Check award inputs","")))))))))))</f>
        <v/>
      </c>
      <c r="V55" s="57" t="n">
        <f aca="false">IF(AND(I55&lt;&gt;"",U55="",G55="Include"),1,0)</f>
        <v>1</v>
      </c>
      <c r="W55" s="57" t="str">
        <f aca="false">IF(I55="","",IF(COUNTIFS(AwardsData[Award ID],J55)=1,INDEX(AwardsData[Current award type],MATCH(J55,AwardsData[Award ID],0)),"Unlinked"))</f>
        <v>Delivery Order</v>
      </c>
      <c r="X55" s="57" t="str">
        <f aca="false">IF(I55="","",IF(COUNTIFS(AwardsData[Award ID],J55)=1,INDEX(AwardsData[Current set-aside],MATCH(J55,AwardsData[Award ID],0)),"Unlinked"))</f>
        <v>No Set-Aside Used</v>
      </c>
      <c r="Y55" s="57" t="str">
        <f aca="false">IF(I55="","",IF(COUNTIFS(AwardsData[Award ID],J55)=1,INDEX(AwardsData[Performance state],MATCH(J55,AwardsData[Award ID],0)),"Unlinked"))</f>
        <v>Virginia</v>
      </c>
      <c r="Z55" s="57" t="n">
        <f aca="false">IF(AND(V55=1,OR(Dashboard!$AB$2="All",K55=Dashboard!$AB$2),OR(Dashboard!$AB$3="All",L55=Dashboard!$AB$3),OR(Dashboard!$N$10="All",W55=Dashboard!$N$10)),1,0)</f>
        <v>1</v>
      </c>
      <c r="AA55" s="57" t="n">
        <f aca="false">IF(AND(Z55=1,OR(Dashboard!$B$7="All",S55=Dashboard!$B$7)),1,0)</f>
        <v>0</v>
      </c>
      <c r="AB55" s="57" t="n">
        <f aca="false">IF(AND(V55=1,F55&lt;&gt;0),1,0)</f>
        <v>0</v>
      </c>
      <c r="AC55" s="57" t="n">
        <f aca="false">IF(AND(AA55=1,AB55=1),IF(COUNTIFS($J$17:J55,J55,$AA$17:AA55,1,$AB$17:AB55,1)=1,1,0),0)</f>
        <v>0</v>
      </c>
      <c r="AD55" s="57" t="n">
        <f aca="false">IF(AND(AA55=1,AB55=1),IF(COUNTIFS($K$17:K55,K55,$AA$17:AA55,1,$AB$17:AB55,1)=1,1,0),0)</f>
        <v>0</v>
      </c>
      <c r="AE55" s="57" t="n">
        <f aca="false">IF(AND(Z55=1,AB55=1),IF(COUNTIFS($J$17:J55,J55,$S$17:S55,S55,$Z$17:Z55,1,$AB$17:AB55,1)=1,1,0),0)</f>
        <v>0</v>
      </c>
      <c r="AF55" s="57" t="n">
        <f aca="false">IF(AND(Z55=1,AB55=1),IF(COUNTIFS($K$17:K55,K55,$S$17:S55,S55,$Z$17:Z55,1,$AB$17:AB55,1)=1,1,0),0)</f>
        <v>0</v>
      </c>
      <c r="AG55" s="57" t="n">
        <f aca="false">IF(AND(AA55=1,AB55=1),IF(COUNTIFS($J$17:J55,J55,$L$17:L55,L55,$AA$17:AA55,1,$AB$17:AB55,1)=1,1,0),0)</f>
        <v>0</v>
      </c>
      <c r="AH55" s="57" t="n">
        <f aca="false">IF(AND(AA55=1,AB55=1),IF(COUNTIFS($J$17:J55,J55,$K$17:K55,K55,$AA$17:AA55,1,$AB$17:AB55,1)=1,1,0),0)</f>
        <v>0</v>
      </c>
      <c r="AI55" s="56" t="n">
        <f aca="false">IF(V55=1,MAX(F55,0),0)</f>
        <v>0</v>
      </c>
      <c r="AJ55" s="56" t="n">
        <f aca="false">IF(V55=1,MIN(F55,0),0)</f>
        <v>0</v>
      </c>
    </row>
    <row r="56" customFormat="false" ht="40" hidden="false" customHeight="true" outlineLevel="0" collapsed="false">
      <c r="A56" s="66" t="n">
        <v>45245</v>
      </c>
      <c r="B56" s="54" t="str">
        <f aca="false">IF(M56="","",IF(P56="",M56,HYPERLINK(P56,M56)))</f>
        <v>Unlinked</v>
      </c>
      <c r="C56" s="54" t="str">
        <f aca="false">IF(N56="","",IF(Q56="",N56,HYPERLINK(Q56,N56)))</f>
        <v>Spatial Front Inc.</v>
      </c>
      <c r="D56" s="60" t="s">
        <v>166</v>
      </c>
      <c r="E56" s="54" t="str">
        <f aca="false">IF(O56="","",IF(R56="",O56,HYPERLINK(R56,O56)))</f>
        <v>Division of Information Systems</v>
      </c>
      <c r="F56" s="62" t="n">
        <v>0</v>
      </c>
      <c r="G56" s="61" t="s">
        <v>492</v>
      </c>
      <c r="H56" s="58" t="s">
        <v>493</v>
      </c>
      <c r="I56" s="58" t="s">
        <v>507</v>
      </c>
      <c r="J56" s="58"/>
      <c r="K56" s="58" t="s">
        <v>164</v>
      </c>
      <c r="L56" s="58" t="s">
        <v>197</v>
      </c>
      <c r="M56" s="58" t="s">
        <v>495</v>
      </c>
      <c r="N56" s="58" t="s">
        <v>165</v>
      </c>
      <c r="O56" s="58" t="s">
        <v>198</v>
      </c>
      <c r="P56" s="58"/>
      <c r="Q56" s="58" t="s">
        <v>167</v>
      </c>
      <c r="R56" s="58" t="s">
        <v>200</v>
      </c>
      <c r="S56" s="57" t="n">
        <f aca="false">IF(ISNUMBER(A56),YEAR(A56)+IF(MONTH(A56)&gt;=10,1,0),"")</f>
        <v>2024</v>
      </c>
      <c r="T56" s="57" t="n">
        <f aca="false">IF(ISNUMBER(A56),INT(MOD(MONTH(A56)-10,12)/3)+1,"")</f>
        <v>1</v>
      </c>
      <c r="U56" s="57" t="str">
        <f aca="false">IF(AND(I56&lt;&gt;"",D56&lt;&gt;"",OR(COUNTIFS(TransactionsData[Vendor ID],K56,TransactionsData[UEI],"&lt;&gt;"&amp;D56,TransactionsData[UEI],"?*")&gt;0,COUNTIFS(VendorGroups[Record ID],K56,VendorGroups[Source UEI],"&lt;&gt;"&amp;D56,VendorGroups[Source UEI],"?*")&gt;0)),"Conflicting vendor UEIs",IF(I56="",IF(COUNTA(A56,D56,F56:R56)&gt;0,"Missing transaction ID",""),IF(COUNTIFS(TransactionsData[Transaction ID],I56)&lt;&gt;1,"Duplicate transaction ID",IF(OR(NOT(ISNUMBER(A56)),A56&lt;1,A56&gt;DATE(2099,1,1)),"Use a valid date",IF(OR(A56&lt;$B$4,A56&gt;$D$4),"Outside coverage",IF(NOT(ISNUMBER(F56)),"Missing or invalid amount",IF(OR(K56="",L56="",N56=""),"Add vendor and office identities",IF(G56="Exclude",IF(OR(F56&lt;&gt;0,H56=""),"Review nonzero or unexplained exclusion",""),IF(G56&lt;&gt;"Include","Choose Include or Exclude",IF(COUNTIFS(AwardsData[Award ID],J56)&lt;&gt;1,"Award link needs review",IF(INDEX(AwardsData[Input check],MATCH(J56,AwardsData[Award ID],0))&lt;&gt;"","Check award inputs","")))))))))))</f>
        <v/>
      </c>
      <c r="V56" s="57" t="n">
        <f aca="false">IF(AND(I56&lt;&gt;"",U56="",G56="Include"),1,0)</f>
        <v>0</v>
      </c>
      <c r="W56" s="57" t="str">
        <f aca="false">IF(I56="","",IF(COUNTIFS(AwardsData[Award ID],J56)=1,INDEX(AwardsData[Current award type],MATCH(J56,AwardsData[Award ID],0)),"Unlinked"))</f>
        <v>Unlinked</v>
      </c>
      <c r="X56" s="57" t="str">
        <f aca="false">IF(I56="","",IF(COUNTIFS(AwardsData[Award ID],J56)=1,INDEX(AwardsData[Current set-aside],MATCH(J56,AwardsData[Award ID],0)),"Unlinked"))</f>
        <v>Unlinked</v>
      </c>
      <c r="Y56" s="57" t="str">
        <f aca="false">IF(I56="","",IF(COUNTIFS(AwardsData[Award ID],J56)=1,INDEX(AwardsData[Performance state],MATCH(J56,AwardsData[Award ID],0)),"Unlinked"))</f>
        <v>Unlinked</v>
      </c>
      <c r="Z56" s="57" t="n">
        <f aca="false">IF(AND(V56=1,OR(Dashboard!$AB$2="All",K56=Dashboard!$AB$2),OR(Dashboard!$AB$3="All",L56=Dashboard!$AB$3),OR(Dashboard!$N$10="All",W56=Dashboard!$N$10)),1,0)</f>
        <v>0</v>
      </c>
      <c r="AA56" s="57" t="n">
        <f aca="false">IF(AND(Z56=1,OR(Dashboard!$B$7="All",S56=Dashboard!$B$7)),1,0)</f>
        <v>0</v>
      </c>
      <c r="AB56" s="57" t="n">
        <f aca="false">IF(AND(V56=1,F56&lt;&gt;0),1,0)</f>
        <v>0</v>
      </c>
      <c r="AC56" s="57" t="n">
        <f aca="false">IF(AND(AA56=1,AB56=1),IF(COUNTIFS($J$17:J56,J56,$AA$17:AA56,1,$AB$17:AB56,1)=1,1,0),0)</f>
        <v>0</v>
      </c>
      <c r="AD56" s="57" t="n">
        <f aca="false">IF(AND(AA56=1,AB56=1),IF(COUNTIFS($K$17:K56,K56,$AA$17:AA56,1,$AB$17:AB56,1)=1,1,0),0)</f>
        <v>0</v>
      </c>
      <c r="AE56" s="57" t="n">
        <f aca="false">IF(AND(Z56=1,AB56=1),IF(COUNTIFS($J$17:J56,J56,$S$17:S56,S56,$Z$17:Z56,1,$AB$17:AB56,1)=1,1,0),0)</f>
        <v>0</v>
      </c>
      <c r="AF56" s="57" t="n">
        <f aca="false">IF(AND(Z56=1,AB56=1),IF(COUNTIFS($K$17:K56,K56,$S$17:S56,S56,$Z$17:Z56,1,$AB$17:AB56,1)=1,1,0),0)</f>
        <v>0</v>
      </c>
      <c r="AG56" s="57" t="n">
        <f aca="false">IF(AND(AA56=1,AB56=1),IF(COUNTIFS($J$17:J56,J56,$L$17:L56,L56,$AA$17:AA56,1,$AB$17:AB56,1)=1,1,0),0)</f>
        <v>0</v>
      </c>
      <c r="AH56" s="57" t="n">
        <f aca="false">IF(AND(AA56=1,AB56=1),IF(COUNTIFS($J$17:J56,J56,$K$17:K56,K56,$AA$17:AA56,1,$AB$17:AB56,1)=1,1,0),0)</f>
        <v>0</v>
      </c>
      <c r="AI56" s="56" t="n">
        <f aca="false">IF(V56=1,MAX(F56,0),0)</f>
        <v>0</v>
      </c>
      <c r="AJ56" s="56" t="n">
        <f aca="false">IF(V56=1,MIN(F56,0),0)</f>
        <v>0</v>
      </c>
    </row>
    <row r="57" customFormat="false" ht="40" hidden="false" customHeight="true" outlineLevel="0" collapsed="false">
      <c r="A57" s="66" t="n">
        <v>45261</v>
      </c>
      <c r="B57" s="54" t="str">
        <f aca="false">IF(M57="","",IF(P57="",M57,HYPERLINK(P57,M57)))</f>
        <v>GS35F337BA-49100421F0078</v>
      </c>
      <c r="C57" s="54" t="str">
        <f aca="false">IF(N57="","",IF(Q57="",N57,HYPERLINK(Q57,N57)))</f>
        <v>Civicactions, Inc.</v>
      </c>
      <c r="D57" s="60" t="s">
        <v>115</v>
      </c>
      <c r="E57" s="54" t="str">
        <f aca="false">IF(O57="","",IF(R57="",O57,HYPERLINK(R57,O57)))</f>
        <v>Division of Information Systems</v>
      </c>
      <c r="F57" s="62" t="n">
        <v>237459.43</v>
      </c>
      <c r="G57" s="61" t="s">
        <v>464</v>
      </c>
      <c r="H57" s="58"/>
      <c r="I57" s="58" t="s">
        <v>508</v>
      </c>
      <c r="J57" s="58" t="s">
        <v>414</v>
      </c>
      <c r="K57" s="58" t="s">
        <v>113</v>
      </c>
      <c r="L57" s="58" t="s">
        <v>197</v>
      </c>
      <c r="M57" s="58" t="s">
        <v>415</v>
      </c>
      <c r="N57" s="58" t="s">
        <v>114</v>
      </c>
      <c r="O57" s="58" t="s">
        <v>198</v>
      </c>
      <c r="P57" s="58" t="s">
        <v>416</v>
      </c>
      <c r="Q57" s="58" t="s">
        <v>116</v>
      </c>
      <c r="R57" s="58" t="s">
        <v>200</v>
      </c>
      <c r="S57" s="57" t="n">
        <f aca="false">IF(ISNUMBER(A57),YEAR(A57)+IF(MONTH(A57)&gt;=10,1,0),"")</f>
        <v>2024</v>
      </c>
      <c r="T57" s="57" t="n">
        <f aca="false">IF(ISNUMBER(A57),INT(MOD(MONTH(A57)-10,12)/3)+1,"")</f>
        <v>1</v>
      </c>
      <c r="U57" s="57" t="str">
        <f aca="false">IF(AND(I57&lt;&gt;"",D57&lt;&gt;"",OR(COUNTIFS(TransactionsData[Vendor ID],K57,TransactionsData[UEI],"&lt;&gt;"&amp;D57,TransactionsData[UEI],"?*")&gt;0,COUNTIFS(VendorGroups[Record ID],K57,VendorGroups[Source UEI],"&lt;&gt;"&amp;D57,VendorGroups[Source UEI],"?*")&gt;0)),"Conflicting vendor UEIs",IF(I57="",IF(COUNTA(A57,D57,F57:R57)&gt;0,"Missing transaction ID",""),IF(COUNTIFS(TransactionsData[Transaction ID],I57)&lt;&gt;1,"Duplicate transaction ID",IF(OR(NOT(ISNUMBER(A57)),A57&lt;1,A57&gt;DATE(2099,1,1)),"Use a valid date",IF(OR(A57&lt;$B$4,A57&gt;$D$4),"Outside coverage",IF(NOT(ISNUMBER(F57)),"Missing or invalid amount",IF(OR(K57="",L57="",N57=""),"Add vendor and office identities",IF(G57="Exclude",IF(OR(F57&lt;&gt;0,H57=""),"Review nonzero or unexplained exclusion",""),IF(G57&lt;&gt;"Include","Choose Include or Exclude",IF(COUNTIFS(AwardsData[Award ID],J57)&lt;&gt;1,"Award link needs review",IF(INDEX(AwardsData[Input check],MATCH(J57,AwardsData[Award ID],0))&lt;&gt;"","Check award inputs","")))))))))))</f>
        <v/>
      </c>
      <c r="V57" s="57" t="n">
        <f aca="false">IF(AND(I57&lt;&gt;"",U57="",G57="Include"),1,0)</f>
        <v>1</v>
      </c>
      <c r="W57" s="57" t="str">
        <f aca="false">IF(I57="","",IF(COUNTIFS(AwardsData[Award ID],J57)=1,INDEX(AwardsData[Current award type],MATCH(J57,AwardsData[Award ID],0)),"Unlinked"))</f>
        <v>Delivery Order</v>
      </c>
      <c r="X57" s="57" t="str">
        <f aca="false">IF(I57="","",IF(COUNTIFS(AwardsData[Award ID],J57)=1,INDEX(AwardsData[Current set-aside],MATCH(J57,AwardsData[Award ID],0)),"Unlinked"))</f>
        <v>Total Small Business</v>
      </c>
      <c r="Y57" s="57" t="str">
        <f aca="false">IF(I57="","",IF(COUNTIFS(AwardsData[Award ID],J57)=1,INDEX(AwardsData[Performance state],MATCH(J57,AwardsData[Award ID],0)),"Unlinked"))</f>
        <v>California</v>
      </c>
      <c r="Z57" s="57" t="n">
        <f aca="false">IF(AND(V57=1,OR(Dashboard!$AB$2="All",K57=Dashboard!$AB$2),OR(Dashboard!$AB$3="All",L57=Dashboard!$AB$3),OR(Dashboard!$N$10="All",W57=Dashboard!$N$10)),1,0)</f>
        <v>1</v>
      </c>
      <c r="AA57" s="57" t="n">
        <f aca="false">IF(AND(Z57=1,OR(Dashboard!$B$7="All",S57=Dashboard!$B$7)),1,0)</f>
        <v>0</v>
      </c>
      <c r="AB57" s="57" t="n">
        <f aca="false">IF(AND(V57=1,F57&lt;&gt;0),1,0)</f>
        <v>1</v>
      </c>
      <c r="AC57" s="57" t="n">
        <f aca="false">IF(AND(AA57=1,AB57=1),IF(COUNTIFS($J$17:J57,J57,$AA$17:AA57,1,$AB$17:AB57,1)=1,1,0),0)</f>
        <v>0</v>
      </c>
      <c r="AD57" s="57" t="n">
        <f aca="false">IF(AND(AA57=1,AB57=1),IF(COUNTIFS($K$17:K57,K57,$AA$17:AA57,1,$AB$17:AB57,1)=1,1,0),0)</f>
        <v>0</v>
      </c>
      <c r="AE57" s="57" t="n">
        <f aca="false">IF(AND(Z57=1,AB57=1),IF(COUNTIFS($J$17:J57,J57,$S$17:S57,S57,$Z$17:Z57,1,$AB$17:AB57,1)=1,1,0),0)</f>
        <v>1</v>
      </c>
      <c r="AF57" s="57" t="n">
        <f aca="false">IF(AND(Z57=1,AB57=1),IF(COUNTIFS($K$17:K57,K57,$S$17:S57,S57,$Z$17:Z57,1,$AB$17:AB57,1)=1,1,0),0)</f>
        <v>1</v>
      </c>
      <c r="AG57" s="57" t="n">
        <f aca="false">IF(AND(AA57=1,AB57=1),IF(COUNTIFS($J$17:J57,J57,$L$17:L57,L57,$AA$17:AA57,1,$AB$17:AB57,1)=1,1,0),0)</f>
        <v>0</v>
      </c>
      <c r="AH57" s="57" t="n">
        <f aca="false">IF(AND(AA57=1,AB57=1),IF(COUNTIFS($J$17:J57,J57,$K$17:K57,K57,$AA$17:AA57,1,$AB$17:AB57,1)=1,1,0),0)</f>
        <v>0</v>
      </c>
      <c r="AI57" s="56" t="n">
        <f aca="false">IF(V57=1,MAX(F57,0),0)</f>
        <v>237459.43</v>
      </c>
      <c r="AJ57" s="56" t="n">
        <f aca="false">IF(V57=1,MIN(F57,0),0)</f>
        <v>0</v>
      </c>
    </row>
    <row r="58" customFormat="false" ht="40" hidden="false" customHeight="true" outlineLevel="0" collapsed="false">
      <c r="A58" s="66" t="n">
        <v>45267</v>
      </c>
      <c r="B58" s="54" t="str">
        <f aca="false">IF(M58="","",IF(P58="",M58,HYPERLINK(P58,M58)))</f>
        <v>Unlinked</v>
      </c>
      <c r="C58" s="54" t="str">
        <f aca="false">IF(N58="","",IF(Q58="",N58,HYPERLINK(Q58,N58)))</f>
        <v>Directviz Solutions, LLC</v>
      </c>
      <c r="D58" s="60" t="s">
        <v>123</v>
      </c>
      <c r="E58" s="54" t="str">
        <f aca="false">IF(O58="","",IF(R58="",O58,HYPERLINK(R58,O58)))</f>
        <v>Division of Information Systems</v>
      </c>
      <c r="F58" s="62" t="n">
        <v>0</v>
      </c>
      <c r="G58" s="61" t="s">
        <v>492</v>
      </c>
      <c r="H58" s="58" t="s">
        <v>493</v>
      </c>
      <c r="I58" s="58" t="s">
        <v>509</v>
      </c>
      <c r="J58" s="58"/>
      <c r="K58" s="58" t="s">
        <v>121</v>
      </c>
      <c r="L58" s="58" t="s">
        <v>197</v>
      </c>
      <c r="M58" s="58" t="s">
        <v>495</v>
      </c>
      <c r="N58" s="58" t="s">
        <v>122</v>
      </c>
      <c r="O58" s="58" t="s">
        <v>198</v>
      </c>
      <c r="P58" s="58"/>
      <c r="Q58" s="58" t="s">
        <v>124</v>
      </c>
      <c r="R58" s="58" t="s">
        <v>200</v>
      </c>
      <c r="S58" s="57" t="n">
        <f aca="false">IF(ISNUMBER(A58),YEAR(A58)+IF(MONTH(A58)&gt;=10,1,0),"")</f>
        <v>2024</v>
      </c>
      <c r="T58" s="57" t="n">
        <f aca="false">IF(ISNUMBER(A58),INT(MOD(MONTH(A58)-10,12)/3)+1,"")</f>
        <v>1</v>
      </c>
      <c r="U58" s="57" t="str">
        <f aca="false">IF(AND(I58&lt;&gt;"",D58&lt;&gt;"",OR(COUNTIFS(TransactionsData[Vendor ID],K58,TransactionsData[UEI],"&lt;&gt;"&amp;D58,TransactionsData[UEI],"?*")&gt;0,COUNTIFS(VendorGroups[Record ID],K58,VendorGroups[Source UEI],"&lt;&gt;"&amp;D58,VendorGroups[Source UEI],"?*")&gt;0)),"Conflicting vendor UEIs",IF(I58="",IF(COUNTA(A58,D58,F58:R58)&gt;0,"Missing transaction ID",""),IF(COUNTIFS(TransactionsData[Transaction ID],I58)&lt;&gt;1,"Duplicate transaction ID",IF(OR(NOT(ISNUMBER(A58)),A58&lt;1,A58&gt;DATE(2099,1,1)),"Use a valid date",IF(OR(A58&lt;$B$4,A58&gt;$D$4),"Outside coverage",IF(NOT(ISNUMBER(F58)),"Missing or invalid amount",IF(OR(K58="",L58="",N58=""),"Add vendor and office identities",IF(G58="Exclude",IF(OR(F58&lt;&gt;0,H58=""),"Review nonzero or unexplained exclusion",""),IF(G58&lt;&gt;"Include","Choose Include or Exclude",IF(COUNTIFS(AwardsData[Award ID],J58)&lt;&gt;1,"Award link needs review",IF(INDEX(AwardsData[Input check],MATCH(J58,AwardsData[Award ID],0))&lt;&gt;"","Check award inputs","")))))))))))</f>
        <v/>
      </c>
      <c r="V58" s="57" t="n">
        <f aca="false">IF(AND(I58&lt;&gt;"",U58="",G58="Include"),1,0)</f>
        <v>0</v>
      </c>
      <c r="W58" s="57" t="str">
        <f aca="false">IF(I58="","",IF(COUNTIFS(AwardsData[Award ID],J58)=1,INDEX(AwardsData[Current award type],MATCH(J58,AwardsData[Award ID],0)),"Unlinked"))</f>
        <v>Unlinked</v>
      </c>
      <c r="X58" s="57" t="str">
        <f aca="false">IF(I58="","",IF(COUNTIFS(AwardsData[Award ID],J58)=1,INDEX(AwardsData[Current set-aside],MATCH(J58,AwardsData[Award ID],0)),"Unlinked"))</f>
        <v>Unlinked</v>
      </c>
      <c r="Y58" s="57" t="str">
        <f aca="false">IF(I58="","",IF(COUNTIFS(AwardsData[Award ID],J58)=1,INDEX(AwardsData[Performance state],MATCH(J58,AwardsData[Award ID],0)),"Unlinked"))</f>
        <v>Unlinked</v>
      </c>
      <c r="Z58" s="57" t="n">
        <f aca="false">IF(AND(V58=1,OR(Dashboard!$AB$2="All",K58=Dashboard!$AB$2),OR(Dashboard!$AB$3="All",L58=Dashboard!$AB$3),OR(Dashboard!$N$10="All",W58=Dashboard!$N$10)),1,0)</f>
        <v>0</v>
      </c>
      <c r="AA58" s="57" t="n">
        <f aca="false">IF(AND(Z58=1,OR(Dashboard!$B$7="All",S58=Dashboard!$B$7)),1,0)</f>
        <v>0</v>
      </c>
      <c r="AB58" s="57" t="n">
        <f aca="false">IF(AND(V58=1,F58&lt;&gt;0),1,0)</f>
        <v>0</v>
      </c>
      <c r="AC58" s="57" t="n">
        <f aca="false">IF(AND(AA58=1,AB58=1),IF(COUNTIFS($J$17:J58,J58,$AA$17:AA58,1,$AB$17:AB58,1)=1,1,0),0)</f>
        <v>0</v>
      </c>
      <c r="AD58" s="57" t="n">
        <f aca="false">IF(AND(AA58=1,AB58=1),IF(COUNTIFS($K$17:K58,K58,$AA$17:AA58,1,$AB$17:AB58,1)=1,1,0),0)</f>
        <v>0</v>
      </c>
      <c r="AE58" s="57" t="n">
        <f aca="false">IF(AND(Z58=1,AB58=1),IF(COUNTIFS($J$17:J58,J58,$S$17:S58,S58,$Z$17:Z58,1,$AB$17:AB58,1)=1,1,0),0)</f>
        <v>0</v>
      </c>
      <c r="AF58" s="57" t="n">
        <f aca="false">IF(AND(Z58=1,AB58=1),IF(COUNTIFS($K$17:K58,K58,$S$17:S58,S58,$Z$17:Z58,1,$AB$17:AB58,1)=1,1,0),0)</f>
        <v>0</v>
      </c>
      <c r="AG58" s="57" t="n">
        <f aca="false">IF(AND(AA58=1,AB58=1),IF(COUNTIFS($J$17:J58,J58,$L$17:L58,L58,$AA$17:AA58,1,$AB$17:AB58,1)=1,1,0),0)</f>
        <v>0</v>
      </c>
      <c r="AH58" s="57" t="n">
        <f aca="false">IF(AND(AA58=1,AB58=1),IF(COUNTIFS($J$17:J58,J58,$K$17:K58,K58,$AA$17:AA58,1,$AB$17:AB58,1)=1,1,0),0)</f>
        <v>0</v>
      </c>
      <c r="AI58" s="56" t="n">
        <f aca="false">IF(V58=1,MAX(F58,0),0)</f>
        <v>0</v>
      </c>
      <c r="AJ58" s="56" t="n">
        <f aca="false">IF(V58=1,MIN(F58,0),0)</f>
        <v>0</v>
      </c>
    </row>
    <row r="59" customFormat="false" ht="40" hidden="false" customHeight="true" outlineLevel="0" collapsed="false">
      <c r="A59" s="66" t="n">
        <v>45272</v>
      </c>
      <c r="B59" s="54" t="str">
        <f aca="false">IF(M59="","",IF(P59="",M59,HYPERLINK(P59,M59)))</f>
        <v>49100422A0002-49100424F0008</v>
      </c>
      <c r="C59" s="54" t="str">
        <f aca="false">IF(N59="","",IF(Q59="",N59,HYPERLINK(Q59,N59)))</f>
        <v>Directviz Solutions, LLC</v>
      </c>
      <c r="D59" s="60" t="s">
        <v>123</v>
      </c>
      <c r="E59" s="54" t="str">
        <f aca="false">IF(O59="","",IF(R59="",O59,HYPERLINK(R59,O59)))</f>
        <v>Division of Information Systems</v>
      </c>
      <c r="F59" s="62" t="n">
        <v>2452616.4</v>
      </c>
      <c r="G59" s="61" t="s">
        <v>464</v>
      </c>
      <c r="H59" s="58"/>
      <c r="I59" s="58" t="s">
        <v>510</v>
      </c>
      <c r="J59" s="58" t="s">
        <v>307</v>
      </c>
      <c r="K59" s="58" t="s">
        <v>121</v>
      </c>
      <c r="L59" s="58" t="s">
        <v>197</v>
      </c>
      <c r="M59" s="58" t="s">
        <v>308</v>
      </c>
      <c r="N59" s="58" t="s">
        <v>122</v>
      </c>
      <c r="O59" s="58" t="s">
        <v>198</v>
      </c>
      <c r="P59" s="58" t="s">
        <v>309</v>
      </c>
      <c r="Q59" s="58" t="s">
        <v>124</v>
      </c>
      <c r="R59" s="58" t="s">
        <v>200</v>
      </c>
      <c r="S59" s="57" t="n">
        <f aca="false">IF(ISNUMBER(A59),YEAR(A59)+IF(MONTH(A59)&gt;=10,1,0),"")</f>
        <v>2024</v>
      </c>
      <c r="T59" s="57" t="n">
        <f aca="false">IF(ISNUMBER(A59),INT(MOD(MONTH(A59)-10,12)/3)+1,"")</f>
        <v>1</v>
      </c>
      <c r="U59" s="57" t="str">
        <f aca="false">IF(AND(I59&lt;&gt;"",D59&lt;&gt;"",OR(COUNTIFS(TransactionsData[Vendor ID],K59,TransactionsData[UEI],"&lt;&gt;"&amp;D59,TransactionsData[UEI],"?*")&gt;0,COUNTIFS(VendorGroups[Record ID],K59,VendorGroups[Source UEI],"&lt;&gt;"&amp;D59,VendorGroups[Source UEI],"?*")&gt;0)),"Conflicting vendor UEIs",IF(I59="",IF(COUNTA(A59,D59,F59:R59)&gt;0,"Missing transaction ID",""),IF(COUNTIFS(TransactionsData[Transaction ID],I59)&lt;&gt;1,"Duplicate transaction ID",IF(OR(NOT(ISNUMBER(A59)),A59&lt;1,A59&gt;DATE(2099,1,1)),"Use a valid date",IF(OR(A59&lt;$B$4,A59&gt;$D$4),"Outside coverage",IF(NOT(ISNUMBER(F59)),"Missing or invalid amount",IF(OR(K59="",L59="",N59=""),"Add vendor and office identities",IF(G59="Exclude",IF(OR(F59&lt;&gt;0,H59=""),"Review nonzero or unexplained exclusion",""),IF(G59&lt;&gt;"Include","Choose Include or Exclude",IF(COUNTIFS(AwardsData[Award ID],J59)&lt;&gt;1,"Award link needs review",IF(INDEX(AwardsData[Input check],MATCH(J59,AwardsData[Award ID],0))&lt;&gt;"","Check award inputs","")))))))))))</f>
        <v/>
      </c>
      <c r="V59" s="57" t="n">
        <f aca="false">IF(AND(I59&lt;&gt;"",U59="",G59="Include"),1,0)</f>
        <v>1</v>
      </c>
      <c r="W59" s="57" t="str">
        <f aca="false">IF(I59="","",IF(COUNTIFS(AwardsData[Award ID],J59)=1,INDEX(AwardsData[Current award type],MATCH(J59,AwardsData[Award ID],0)),"Unlinked"))</f>
        <v>BPA Call</v>
      </c>
      <c r="X59" s="57" t="str">
        <f aca="false">IF(I59="","",IF(COUNTIFS(AwardsData[Award ID],J59)=1,INDEX(AwardsData[Current set-aside],MATCH(J59,AwardsData[Award ID],0)),"Unlinked"))</f>
        <v>Total Small Business</v>
      </c>
      <c r="Y59" s="57" t="str">
        <f aca="false">IF(I59="","",IF(COUNTIFS(AwardsData[Award ID],J59)=1,INDEX(AwardsData[Performance state],MATCH(J59,AwardsData[Award ID],0)),"Unlinked"))</f>
        <v>Virginia</v>
      </c>
      <c r="Z59" s="57" t="n">
        <f aca="false">IF(AND(V59=1,OR(Dashboard!$AB$2="All",K59=Dashboard!$AB$2),OR(Dashboard!$AB$3="All",L59=Dashboard!$AB$3),OR(Dashboard!$N$10="All",W59=Dashboard!$N$10)),1,0)</f>
        <v>1</v>
      </c>
      <c r="AA59" s="57" t="n">
        <f aca="false">IF(AND(Z59=1,OR(Dashboard!$B$7="All",S59=Dashboard!$B$7)),1,0)</f>
        <v>0</v>
      </c>
      <c r="AB59" s="57" t="n">
        <f aca="false">IF(AND(V59=1,F59&lt;&gt;0),1,0)</f>
        <v>1</v>
      </c>
      <c r="AC59" s="57" t="n">
        <f aca="false">IF(AND(AA59=1,AB59=1),IF(COUNTIFS($J$17:J59,J59,$AA$17:AA59,1,$AB$17:AB59,1)=1,1,0),0)</f>
        <v>0</v>
      </c>
      <c r="AD59" s="57" t="n">
        <f aca="false">IF(AND(AA59=1,AB59=1),IF(COUNTIFS($K$17:K59,K59,$AA$17:AA59,1,$AB$17:AB59,1)=1,1,0),0)</f>
        <v>0</v>
      </c>
      <c r="AE59" s="57" t="n">
        <f aca="false">IF(AND(Z59=1,AB59=1),IF(COUNTIFS($J$17:J59,J59,$S$17:S59,S59,$Z$17:Z59,1,$AB$17:AB59,1)=1,1,0),0)</f>
        <v>1</v>
      </c>
      <c r="AF59" s="57" t="n">
        <f aca="false">IF(AND(Z59=1,AB59=1),IF(COUNTIFS($K$17:K59,K59,$S$17:S59,S59,$Z$17:Z59,1,$AB$17:AB59,1)=1,1,0),0)</f>
        <v>0</v>
      </c>
      <c r="AG59" s="57" t="n">
        <f aca="false">IF(AND(AA59=1,AB59=1),IF(COUNTIFS($J$17:J59,J59,$L$17:L59,L59,$AA$17:AA59,1,$AB$17:AB59,1)=1,1,0),0)</f>
        <v>0</v>
      </c>
      <c r="AH59" s="57" t="n">
        <f aca="false">IF(AND(AA59=1,AB59=1),IF(COUNTIFS($J$17:J59,J59,$K$17:K59,K59,$AA$17:AA59,1,$AB$17:AB59,1)=1,1,0),0)</f>
        <v>0</v>
      </c>
      <c r="AI59" s="56" t="n">
        <f aca="false">IF(V59=1,MAX(F59,0),0)</f>
        <v>2452616.4</v>
      </c>
      <c r="AJ59" s="56" t="n">
        <f aca="false">IF(V59=1,MIN(F59,0),0)</f>
        <v>0</v>
      </c>
    </row>
    <row r="60" customFormat="false" ht="40" hidden="false" customHeight="true" outlineLevel="0" collapsed="false">
      <c r="A60" s="66" t="n">
        <v>45272</v>
      </c>
      <c r="B60" s="54" t="str">
        <f aca="false">IF(M60="","",IF(P60="",M60,HYPERLINK(P60,M60)))</f>
        <v>49100422A0002-49100424F0010</v>
      </c>
      <c r="C60" s="54" t="str">
        <f aca="false">IF(N60="","",IF(Q60="",N60,HYPERLINK(Q60,N60)))</f>
        <v>Directviz Solutions, LLC</v>
      </c>
      <c r="D60" s="60" t="s">
        <v>123</v>
      </c>
      <c r="E60" s="54" t="str">
        <f aca="false">IF(O60="","",IF(R60="",O60,HYPERLINK(R60,O60)))</f>
        <v>Division of Information Systems</v>
      </c>
      <c r="F60" s="62" t="n">
        <v>7500928.96</v>
      </c>
      <c r="G60" s="61" t="s">
        <v>464</v>
      </c>
      <c r="H60" s="58"/>
      <c r="I60" s="58" t="s">
        <v>511</v>
      </c>
      <c r="J60" s="58" t="s">
        <v>310</v>
      </c>
      <c r="K60" s="58" t="s">
        <v>121</v>
      </c>
      <c r="L60" s="58" t="s">
        <v>197</v>
      </c>
      <c r="M60" s="58" t="s">
        <v>311</v>
      </c>
      <c r="N60" s="58" t="s">
        <v>122</v>
      </c>
      <c r="O60" s="58" t="s">
        <v>198</v>
      </c>
      <c r="P60" s="58" t="s">
        <v>312</v>
      </c>
      <c r="Q60" s="58" t="s">
        <v>124</v>
      </c>
      <c r="R60" s="58" t="s">
        <v>200</v>
      </c>
      <c r="S60" s="57" t="n">
        <f aca="false">IF(ISNUMBER(A60),YEAR(A60)+IF(MONTH(A60)&gt;=10,1,0),"")</f>
        <v>2024</v>
      </c>
      <c r="T60" s="57" t="n">
        <f aca="false">IF(ISNUMBER(A60),INT(MOD(MONTH(A60)-10,12)/3)+1,"")</f>
        <v>1</v>
      </c>
      <c r="U60" s="57" t="str">
        <f aca="false">IF(AND(I60&lt;&gt;"",D60&lt;&gt;"",OR(COUNTIFS(TransactionsData[Vendor ID],K60,TransactionsData[UEI],"&lt;&gt;"&amp;D60,TransactionsData[UEI],"?*")&gt;0,COUNTIFS(VendorGroups[Record ID],K60,VendorGroups[Source UEI],"&lt;&gt;"&amp;D60,VendorGroups[Source UEI],"?*")&gt;0)),"Conflicting vendor UEIs",IF(I60="",IF(COUNTA(A60,D60,F60:R60)&gt;0,"Missing transaction ID",""),IF(COUNTIFS(TransactionsData[Transaction ID],I60)&lt;&gt;1,"Duplicate transaction ID",IF(OR(NOT(ISNUMBER(A60)),A60&lt;1,A60&gt;DATE(2099,1,1)),"Use a valid date",IF(OR(A60&lt;$B$4,A60&gt;$D$4),"Outside coverage",IF(NOT(ISNUMBER(F60)),"Missing or invalid amount",IF(OR(K60="",L60="",N60=""),"Add vendor and office identities",IF(G60="Exclude",IF(OR(F60&lt;&gt;0,H60=""),"Review nonzero or unexplained exclusion",""),IF(G60&lt;&gt;"Include","Choose Include or Exclude",IF(COUNTIFS(AwardsData[Award ID],J60)&lt;&gt;1,"Award link needs review",IF(INDEX(AwardsData[Input check],MATCH(J60,AwardsData[Award ID],0))&lt;&gt;"","Check award inputs","")))))))))))</f>
        <v/>
      </c>
      <c r="V60" s="57" t="n">
        <f aca="false">IF(AND(I60&lt;&gt;"",U60="",G60="Include"),1,0)</f>
        <v>1</v>
      </c>
      <c r="W60" s="57" t="str">
        <f aca="false">IF(I60="","",IF(COUNTIFS(AwardsData[Award ID],J60)=1,INDEX(AwardsData[Current award type],MATCH(J60,AwardsData[Award ID],0)),"Unlinked"))</f>
        <v>BPA Call</v>
      </c>
      <c r="X60" s="57" t="str">
        <f aca="false">IF(I60="","",IF(COUNTIFS(AwardsData[Award ID],J60)=1,INDEX(AwardsData[Current set-aside],MATCH(J60,AwardsData[Award ID],0)),"Unlinked"))</f>
        <v>Total Small Business</v>
      </c>
      <c r="Y60" s="57" t="str">
        <f aca="false">IF(I60="","",IF(COUNTIFS(AwardsData[Award ID],J60)=1,INDEX(AwardsData[Performance state],MATCH(J60,AwardsData[Award ID],0)),"Unlinked"))</f>
        <v>Virginia</v>
      </c>
      <c r="Z60" s="57" t="n">
        <f aca="false">IF(AND(V60=1,OR(Dashboard!$AB$2="All",K60=Dashboard!$AB$2),OR(Dashboard!$AB$3="All",L60=Dashboard!$AB$3),OR(Dashboard!$N$10="All",W60=Dashboard!$N$10)),1,0)</f>
        <v>1</v>
      </c>
      <c r="AA60" s="57" t="n">
        <f aca="false">IF(AND(Z60=1,OR(Dashboard!$B$7="All",S60=Dashboard!$B$7)),1,0)</f>
        <v>0</v>
      </c>
      <c r="AB60" s="57" t="n">
        <f aca="false">IF(AND(V60=1,F60&lt;&gt;0),1,0)</f>
        <v>1</v>
      </c>
      <c r="AC60" s="57" t="n">
        <f aca="false">IF(AND(AA60=1,AB60=1),IF(COUNTIFS($J$17:J60,J60,$AA$17:AA60,1,$AB$17:AB60,1)=1,1,0),0)</f>
        <v>0</v>
      </c>
      <c r="AD60" s="57" t="n">
        <f aca="false">IF(AND(AA60=1,AB60=1),IF(COUNTIFS($K$17:K60,K60,$AA$17:AA60,1,$AB$17:AB60,1)=1,1,0),0)</f>
        <v>0</v>
      </c>
      <c r="AE60" s="57" t="n">
        <f aca="false">IF(AND(Z60=1,AB60=1),IF(COUNTIFS($J$17:J60,J60,$S$17:S60,S60,$Z$17:Z60,1,$AB$17:AB60,1)=1,1,0),0)</f>
        <v>1</v>
      </c>
      <c r="AF60" s="57" t="n">
        <f aca="false">IF(AND(Z60=1,AB60=1),IF(COUNTIFS($K$17:K60,K60,$S$17:S60,S60,$Z$17:Z60,1,$AB$17:AB60,1)=1,1,0),0)</f>
        <v>0</v>
      </c>
      <c r="AG60" s="57" t="n">
        <f aca="false">IF(AND(AA60=1,AB60=1),IF(COUNTIFS($J$17:J60,J60,$L$17:L60,L60,$AA$17:AA60,1,$AB$17:AB60,1)=1,1,0),0)</f>
        <v>0</v>
      </c>
      <c r="AH60" s="57" t="n">
        <f aca="false">IF(AND(AA60=1,AB60=1),IF(COUNTIFS($J$17:J60,J60,$K$17:K60,K60,$AA$17:AA60,1,$AB$17:AB60,1)=1,1,0),0)</f>
        <v>0</v>
      </c>
      <c r="AI60" s="56" t="n">
        <f aca="false">IF(V60=1,MAX(F60,0),0)</f>
        <v>7500928.96</v>
      </c>
      <c r="AJ60" s="56" t="n">
        <f aca="false">IF(V60=1,MIN(F60,0),0)</f>
        <v>0</v>
      </c>
    </row>
    <row r="61" customFormat="false" ht="40" hidden="false" customHeight="true" outlineLevel="0" collapsed="false">
      <c r="A61" s="66" t="n">
        <v>45273</v>
      </c>
      <c r="B61" s="54" t="str">
        <f aca="false">IF(M61="","",IF(P61="",M61,HYPERLINK(P61,M61)))</f>
        <v>Unlinked</v>
      </c>
      <c r="C61" s="54" t="str">
        <f aca="false">IF(N61="","",IF(Q61="",N61,HYPERLINK(Q61,N61)))</f>
        <v>Directviz Solutions, LLC</v>
      </c>
      <c r="D61" s="60" t="s">
        <v>123</v>
      </c>
      <c r="E61" s="54" t="str">
        <f aca="false">IF(O61="","",IF(R61="",O61,HYPERLINK(R61,O61)))</f>
        <v>Division of Information Systems</v>
      </c>
      <c r="F61" s="62" t="n">
        <v>0</v>
      </c>
      <c r="G61" s="61" t="s">
        <v>492</v>
      </c>
      <c r="H61" s="58" t="s">
        <v>493</v>
      </c>
      <c r="I61" s="58" t="s">
        <v>512</v>
      </c>
      <c r="J61" s="58"/>
      <c r="K61" s="58" t="s">
        <v>121</v>
      </c>
      <c r="L61" s="58" t="s">
        <v>197</v>
      </c>
      <c r="M61" s="58" t="s">
        <v>495</v>
      </c>
      <c r="N61" s="58" t="s">
        <v>122</v>
      </c>
      <c r="O61" s="58" t="s">
        <v>198</v>
      </c>
      <c r="P61" s="58"/>
      <c r="Q61" s="58" t="s">
        <v>124</v>
      </c>
      <c r="R61" s="58" t="s">
        <v>200</v>
      </c>
      <c r="S61" s="57" t="n">
        <f aca="false">IF(ISNUMBER(A61),YEAR(A61)+IF(MONTH(A61)&gt;=10,1,0),"")</f>
        <v>2024</v>
      </c>
      <c r="T61" s="57" t="n">
        <f aca="false">IF(ISNUMBER(A61),INT(MOD(MONTH(A61)-10,12)/3)+1,"")</f>
        <v>1</v>
      </c>
      <c r="U61" s="57" t="str">
        <f aca="false">IF(AND(I61&lt;&gt;"",D61&lt;&gt;"",OR(COUNTIFS(TransactionsData[Vendor ID],K61,TransactionsData[UEI],"&lt;&gt;"&amp;D61,TransactionsData[UEI],"?*")&gt;0,COUNTIFS(VendorGroups[Record ID],K61,VendorGroups[Source UEI],"&lt;&gt;"&amp;D61,VendorGroups[Source UEI],"?*")&gt;0)),"Conflicting vendor UEIs",IF(I61="",IF(COUNTA(A61,D61,F61:R61)&gt;0,"Missing transaction ID",""),IF(COUNTIFS(TransactionsData[Transaction ID],I61)&lt;&gt;1,"Duplicate transaction ID",IF(OR(NOT(ISNUMBER(A61)),A61&lt;1,A61&gt;DATE(2099,1,1)),"Use a valid date",IF(OR(A61&lt;$B$4,A61&gt;$D$4),"Outside coverage",IF(NOT(ISNUMBER(F61)),"Missing or invalid amount",IF(OR(K61="",L61="",N61=""),"Add vendor and office identities",IF(G61="Exclude",IF(OR(F61&lt;&gt;0,H61=""),"Review nonzero or unexplained exclusion",""),IF(G61&lt;&gt;"Include","Choose Include or Exclude",IF(COUNTIFS(AwardsData[Award ID],J61)&lt;&gt;1,"Award link needs review",IF(INDEX(AwardsData[Input check],MATCH(J61,AwardsData[Award ID],0))&lt;&gt;"","Check award inputs","")))))))))))</f>
        <v/>
      </c>
      <c r="V61" s="57" t="n">
        <f aca="false">IF(AND(I61&lt;&gt;"",U61="",G61="Include"),1,0)</f>
        <v>0</v>
      </c>
      <c r="W61" s="57" t="str">
        <f aca="false">IF(I61="","",IF(COUNTIFS(AwardsData[Award ID],J61)=1,INDEX(AwardsData[Current award type],MATCH(J61,AwardsData[Award ID],0)),"Unlinked"))</f>
        <v>Unlinked</v>
      </c>
      <c r="X61" s="57" t="str">
        <f aca="false">IF(I61="","",IF(COUNTIFS(AwardsData[Award ID],J61)=1,INDEX(AwardsData[Current set-aside],MATCH(J61,AwardsData[Award ID],0)),"Unlinked"))</f>
        <v>Unlinked</v>
      </c>
      <c r="Y61" s="57" t="str">
        <f aca="false">IF(I61="","",IF(COUNTIFS(AwardsData[Award ID],J61)=1,INDEX(AwardsData[Performance state],MATCH(J61,AwardsData[Award ID],0)),"Unlinked"))</f>
        <v>Unlinked</v>
      </c>
      <c r="Z61" s="57" t="n">
        <f aca="false">IF(AND(V61=1,OR(Dashboard!$AB$2="All",K61=Dashboard!$AB$2),OR(Dashboard!$AB$3="All",L61=Dashboard!$AB$3),OR(Dashboard!$N$10="All",W61=Dashboard!$N$10)),1,0)</f>
        <v>0</v>
      </c>
      <c r="AA61" s="57" t="n">
        <f aca="false">IF(AND(Z61=1,OR(Dashboard!$B$7="All",S61=Dashboard!$B$7)),1,0)</f>
        <v>0</v>
      </c>
      <c r="AB61" s="57" t="n">
        <f aca="false">IF(AND(V61=1,F61&lt;&gt;0),1,0)</f>
        <v>0</v>
      </c>
      <c r="AC61" s="57" t="n">
        <f aca="false">IF(AND(AA61=1,AB61=1),IF(COUNTIFS($J$17:J61,J61,$AA$17:AA61,1,$AB$17:AB61,1)=1,1,0),0)</f>
        <v>0</v>
      </c>
      <c r="AD61" s="57" t="n">
        <f aca="false">IF(AND(AA61=1,AB61=1),IF(COUNTIFS($K$17:K61,K61,$AA$17:AA61,1,$AB$17:AB61,1)=1,1,0),0)</f>
        <v>0</v>
      </c>
      <c r="AE61" s="57" t="n">
        <f aca="false">IF(AND(Z61=1,AB61=1),IF(COUNTIFS($J$17:J61,J61,$S$17:S61,S61,$Z$17:Z61,1,$AB$17:AB61,1)=1,1,0),0)</f>
        <v>0</v>
      </c>
      <c r="AF61" s="57" t="n">
        <f aca="false">IF(AND(Z61=1,AB61=1),IF(COUNTIFS($K$17:K61,K61,$S$17:S61,S61,$Z$17:Z61,1,$AB$17:AB61,1)=1,1,0),0)</f>
        <v>0</v>
      </c>
      <c r="AG61" s="57" t="n">
        <f aca="false">IF(AND(AA61=1,AB61=1),IF(COUNTIFS($J$17:J61,J61,$L$17:L61,L61,$AA$17:AA61,1,$AB$17:AB61,1)=1,1,0),0)</f>
        <v>0</v>
      </c>
      <c r="AH61" s="57" t="n">
        <f aca="false">IF(AND(AA61=1,AB61=1),IF(COUNTIFS($J$17:J61,J61,$K$17:K61,K61,$AA$17:AA61,1,$AB$17:AB61,1)=1,1,0),0)</f>
        <v>0</v>
      </c>
      <c r="AI61" s="56" t="n">
        <f aca="false">IF(V61=1,MAX(F61,0),0)</f>
        <v>0</v>
      </c>
      <c r="AJ61" s="56" t="n">
        <f aca="false">IF(V61=1,MIN(F61,0),0)</f>
        <v>0</v>
      </c>
    </row>
    <row r="62" customFormat="false" ht="40" hidden="false" customHeight="true" outlineLevel="0" collapsed="false">
      <c r="A62" s="66" t="n">
        <v>45274</v>
      </c>
      <c r="B62" s="54" t="str">
        <f aca="false">IF(M62="","",IF(P62="",M62,HYPERLINK(P62,M62)))</f>
        <v>49100422C0029</v>
      </c>
      <c r="C62" s="54" t="str">
        <f aca="false">IF(N62="","",IF(Q62="",N62,HYPERLINK(Q62,N62)))</f>
        <v>Rei Systems, Inc.</v>
      </c>
      <c r="D62" s="60" t="s">
        <v>158</v>
      </c>
      <c r="E62" s="54" t="str">
        <f aca="false">IF(O62="","",IF(R62="",O62,HYPERLINK(R62,O62)))</f>
        <v>Division of Information Systems</v>
      </c>
      <c r="F62" s="62" t="n">
        <v>375965.7</v>
      </c>
      <c r="G62" s="61" t="s">
        <v>464</v>
      </c>
      <c r="H62" s="58"/>
      <c r="I62" s="58" t="s">
        <v>513</v>
      </c>
      <c r="J62" s="58" t="s">
        <v>327</v>
      </c>
      <c r="K62" s="58" t="s">
        <v>156</v>
      </c>
      <c r="L62" s="58" t="s">
        <v>197</v>
      </c>
      <c r="M62" s="58" t="s">
        <v>327</v>
      </c>
      <c r="N62" s="58" t="s">
        <v>157</v>
      </c>
      <c r="O62" s="58" t="s">
        <v>198</v>
      </c>
      <c r="P62" s="58" t="s">
        <v>328</v>
      </c>
      <c r="Q62" s="58" t="s">
        <v>159</v>
      </c>
      <c r="R62" s="58" t="s">
        <v>200</v>
      </c>
      <c r="S62" s="57" t="n">
        <f aca="false">IF(ISNUMBER(A62),YEAR(A62)+IF(MONTH(A62)&gt;=10,1,0),"")</f>
        <v>2024</v>
      </c>
      <c r="T62" s="57" t="n">
        <f aca="false">IF(ISNUMBER(A62),INT(MOD(MONTH(A62)-10,12)/3)+1,"")</f>
        <v>1</v>
      </c>
      <c r="U62" s="57" t="str">
        <f aca="false">IF(AND(I62&lt;&gt;"",D62&lt;&gt;"",OR(COUNTIFS(TransactionsData[Vendor ID],K62,TransactionsData[UEI],"&lt;&gt;"&amp;D62,TransactionsData[UEI],"?*")&gt;0,COUNTIFS(VendorGroups[Record ID],K62,VendorGroups[Source UEI],"&lt;&gt;"&amp;D62,VendorGroups[Source UEI],"?*")&gt;0)),"Conflicting vendor UEIs",IF(I62="",IF(COUNTA(A62,D62,F62:R62)&gt;0,"Missing transaction ID",""),IF(COUNTIFS(TransactionsData[Transaction ID],I62)&lt;&gt;1,"Duplicate transaction ID",IF(OR(NOT(ISNUMBER(A62)),A62&lt;1,A62&gt;DATE(2099,1,1)),"Use a valid date",IF(OR(A62&lt;$B$4,A62&gt;$D$4),"Outside coverage",IF(NOT(ISNUMBER(F62)),"Missing or invalid amount",IF(OR(K62="",L62="",N62=""),"Add vendor and office identities",IF(G62="Exclude",IF(OR(F62&lt;&gt;0,H62=""),"Review nonzero or unexplained exclusion",""),IF(G62&lt;&gt;"Include","Choose Include or Exclude",IF(COUNTIFS(AwardsData[Award ID],J62)&lt;&gt;1,"Award link needs review",IF(INDEX(AwardsData[Input check],MATCH(J62,AwardsData[Award ID],0))&lt;&gt;"","Check award inputs","")))))))))))</f>
        <v/>
      </c>
      <c r="V62" s="57" t="n">
        <f aca="false">IF(AND(I62&lt;&gt;"",U62="",G62="Include"),1,0)</f>
        <v>1</v>
      </c>
      <c r="W62" s="57" t="str">
        <f aca="false">IF(I62="","",IF(COUNTIFS(AwardsData[Award ID],J62)=1,INDEX(AwardsData[Current award type],MATCH(J62,AwardsData[Award ID],0)),"Unlinked"))</f>
        <v>Definitive Contract</v>
      </c>
      <c r="X62" s="57" t="str">
        <f aca="false">IF(I62="","",IF(COUNTIFS(AwardsData[Award ID],J62)=1,INDEX(AwardsData[Current set-aside],MATCH(J62,AwardsData[Award ID],0)),"Unlinked"))</f>
        <v>No Set-Aside Used</v>
      </c>
      <c r="Y62" s="57" t="str">
        <f aca="false">IF(I62="","",IF(COUNTIFS(AwardsData[Award ID],J62)=1,INDEX(AwardsData[Performance state],MATCH(J62,AwardsData[Award ID],0)),"Unlinked"))</f>
        <v>Virginia</v>
      </c>
      <c r="Z62" s="57" t="n">
        <f aca="false">IF(AND(V62=1,OR(Dashboard!$AB$2="All",K62=Dashboard!$AB$2),OR(Dashboard!$AB$3="All",L62=Dashboard!$AB$3),OR(Dashboard!$N$10="All",W62=Dashboard!$N$10)),1,0)</f>
        <v>1</v>
      </c>
      <c r="AA62" s="57" t="n">
        <f aca="false">IF(AND(Z62=1,OR(Dashboard!$B$7="All",S62=Dashboard!$B$7)),1,0)</f>
        <v>0</v>
      </c>
      <c r="AB62" s="57" t="n">
        <f aca="false">IF(AND(V62=1,F62&lt;&gt;0),1,0)</f>
        <v>1</v>
      </c>
      <c r="AC62" s="57" t="n">
        <f aca="false">IF(AND(AA62=1,AB62=1),IF(COUNTIFS($J$17:J62,J62,$AA$17:AA62,1,$AB$17:AB62,1)=1,1,0),0)</f>
        <v>0</v>
      </c>
      <c r="AD62" s="57" t="n">
        <f aca="false">IF(AND(AA62=1,AB62=1),IF(COUNTIFS($K$17:K62,K62,$AA$17:AA62,1,$AB$17:AB62,1)=1,1,0),0)</f>
        <v>0</v>
      </c>
      <c r="AE62" s="57" t="n">
        <f aca="false">IF(AND(Z62=1,AB62=1),IF(COUNTIFS($J$17:J62,J62,$S$17:S62,S62,$Z$17:Z62,1,$AB$17:AB62,1)=1,1,0),0)</f>
        <v>1</v>
      </c>
      <c r="AF62" s="57" t="n">
        <f aca="false">IF(AND(Z62=1,AB62=1),IF(COUNTIFS($K$17:K62,K62,$S$17:S62,S62,$Z$17:Z62,1,$AB$17:AB62,1)=1,1,0),0)</f>
        <v>1</v>
      </c>
      <c r="AG62" s="57" t="n">
        <f aca="false">IF(AND(AA62=1,AB62=1),IF(COUNTIFS($J$17:J62,J62,$L$17:L62,L62,$AA$17:AA62,1,$AB$17:AB62,1)=1,1,0),0)</f>
        <v>0</v>
      </c>
      <c r="AH62" s="57" t="n">
        <f aca="false">IF(AND(AA62=1,AB62=1),IF(COUNTIFS($J$17:J62,J62,$K$17:K62,K62,$AA$17:AA62,1,$AB$17:AB62,1)=1,1,0),0)</f>
        <v>0</v>
      </c>
      <c r="AI62" s="56" t="n">
        <f aca="false">IF(V62=1,MAX(F62,0),0)</f>
        <v>375965.7</v>
      </c>
      <c r="AJ62" s="56" t="n">
        <f aca="false">IF(V62=1,MIN(F62,0),0)</f>
        <v>0</v>
      </c>
    </row>
    <row r="63" customFormat="false" ht="40" hidden="false" customHeight="true" outlineLevel="0" collapsed="false">
      <c r="A63" s="66" t="n">
        <v>45274</v>
      </c>
      <c r="B63" s="54" t="str">
        <f aca="false">IF(M63="","",IF(P63="",M63,HYPERLINK(P63,M63)))</f>
        <v>GS35F337BA-49100421F0078</v>
      </c>
      <c r="C63" s="54" t="str">
        <f aca="false">IF(N63="","",IF(Q63="",N63,HYPERLINK(Q63,N63)))</f>
        <v>Civicactions, Inc.</v>
      </c>
      <c r="D63" s="60" t="s">
        <v>115</v>
      </c>
      <c r="E63" s="54" t="str">
        <f aca="false">IF(O63="","",IF(R63="",O63,HYPERLINK(R63,O63)))</f>
        <v>Division of Information Systems</v>
      </c>
      <c r="F63" s="62" t="n">
        <v>1665547.71</v>
      </c>
      <c r="G63" s="61" t="s">
        <v>464</v>
      </c>
      <c r="H63" s="58"/>
      <c r="I63" s="58" t="s">
        <v>514</v>
      </c>
      <c r="J63" s="58" t="s">
        <v>414</v>
      </c>
      <c r="K63" s="58" t="s">
        <v>113</v>
      </c>
      <c r="L63" s="58" t="s">
        <v>197</v>
      </c>
      <c r="M63" s="58" t="s">
        <v>415</v>
      </c>
      <c r="N63" s="58" t="s">
        <v>114</v>
      </c>
      <c r="O63" s="58" t="s">
        <v>198</v>
      </c>
      <c r="P63" s="58" t="s">
        <v>416</v>
      </c>
      <c r="Q63" s="58" t="s">
        <v>116</v>
      </c>
      <c r="R63" s="58" t="s">
        <v>200</v>
      </c>
      <c r="S63" s="57" t="n">
        <f aca="false">IF(ISNUMBER(A63),YEAR(A63)+IF(MONTH(A63)&gt;=10,1,0),"")</f>
        <v>2024</v>
      </c>
      <c r="T63" s="57" t="n">
        <f aca="false">IF(ISNUMBER(A63),INT(MOD(MONTH(A63)-10,12)/3)+1,"")</f>
        <v>1</v>
      </c>
      <c r="U63" s="57" t="str">
        <f aca="false">IF(AND(I63&lt;&gt;"",D63&lt;&gt;"",OR(COUNTIFS(TransactionsData[Vendor ID],K63,TransactionsData[UEI],"&lt;&gt;"&amp;D63,TransactionsData[UEI],"?*")&gt;0,COUNTIFS(VendorGroups[Record ID],K63,VendorGroups[Source UEI],"&lt;&gt;"&amp;D63,VendorGroups[Source UEI],"?*")&gt;0)),"Conflicting vendor UEIs",IF(I63="",IF(COUNTA(A63,D63,F63:R63)&gt;0,"Missing transaction ID",""),IF(COUNTIFS(TransactionsData[Transaction ID],I63)&lt;&gt;1,"Duplicate transaction ID",IF(OR(NOT(ISNUMBER(A63)),A63&lt;1,A63&gt;DATE(2099,1,1)),"Use a valid date",IF(OR(A63&lt;$B$4,A63&gt;$D$4),"Outside coverage",IF(NOT(ISNUMBER(F63)),"Missing or invalid amount",IF(OR(K63="",L63="",N63=""),"Add vendor and office identities",IF(G63="Exclude",IF(OR(F63&lt;&gt;0,H63=""),"Review nonzero or unexplained exclusion",""),IF(G63&lt;&gt;"Include","Choose Include or Exclude",IF(COUNTIFS(AwardsData[Award ID],J63)&lt;&gt;1,"Award link needs review",IF(INDEX(AwardsData[Input check],MATCH(J63,AwardsData[Award ID],0))&lt;&gt;"","Check award inputs","")))))))))))</f>
        <v/>
      </c>
      <c r="V63" s="57" t="n">
        <f aca="false">IF(AND(I63&lt;&gt;"",U63="",G63="Include"),1,0)</f>
        <v>1</v>
      </c>
      <c r="W63" s="57" t="str">
        <f aca="false">IF(I63="","",IF(COUNTIFS(AwardsData[Award ID],J63)=1,INDEX(AwardsData[Current award type],MATCH(J63,AwardsData[Award ID],0)),"Unlinked"))</f>
        <v>Delivery Order</v>
      </c>
      <c r="X63" s="57" t="str">
        <f aca="false">IF(I63="","",IF(COUNTIFS(AwardsData[Award ID],J63)=1,INDEX(AwardsData[Current set-aside],MATCH(J63,AwardsData[Award ID],0)),"Unlinked"))</f>
        <v>Total Small Business</v>
      </c>
      <c r="Y63" s="57" t="str">
        <f aca="false">IF(I63="","",IF(COUNTIFS(AwardsData[Award ID],J63)=1,INDEX(AwardsData[Performance state],MATCH(J63,AwardsData[Award ID],0)),"Unlinked"))</f>
        <v>California</v>
      </c>
      <c r="Z63" s="57" t="n">
        <f aca="false">IF(AND(V63=1,OR(Dashboard!$AB$2="All",K63=Dashboard!$AB$2),OR(Dashboard!$AB$3="All",L63=Dashboard!$AB$3),OR(Dashboard!$N$10="All",W63=Dashboard!$N$10)),1,0)</f>
        <v>1</v>
      </c>
      <c r="AA63" s="57" t="n">
        <f aca="false">IF(AND(Z63=1,OR(Dashboard!$B$7="All",S63=Dashboard!$B$7)),1,0)</f>
        <v>0</v>
      </c>
      <c r="AB63" s="57" t="n">
        <f aca="false">IF(AND(V63=1,F63&lt;&gt;0),1,0)</f>
        <v>1</v>
      </c>
      <c r="AC63" s="57" t="n">
        <f aca="false">IF(AND(AA63=1,AB63=1),IF(COUNTIFS($J$17:J63,J63,$AA$17:AA63,1,$AB$17:AB63,1)=1,1,0),0)</f>
        <v>0</v>
      </c>
      <c r="AD63" s="57" t="n">
        <f aca="false">IF(AND(AA63=1,AB63=1),IF(COUNTIFS($K$17:K63,K63,$AA$17:AA63,1,$AB$17:AB63,1)=1,1,0),0)</f>
        <v>0</v>
      </c>
      <c r="AE63" s="57" t="n">
        <f aca="false">IF(AND(Z63=1,AB63=1),IF(COUNTIFS($J$17:J63,J63,$S$17:S63,S63,$Z$17:Z63,1,$AB$17:AB63,1)=1,1,0),0)</f>
        <v>0</v>
      </c>
      <c r="AF63" s="57" t="n">
        <f aca="false">IF(AND(Z63=1,AB63=1),IF(COUNTIFS($K$17:K63,K63,$S$17:S63,S63,$Z$17:Z63,1,$AB$17:AB63,1)=1,1,0),0)</f>
        <v>0</v>
      </c>
      <c r="AG63" s="57" t="n">
        <f aca="false">IF(AND(AA63=1,AB63=1),IF(COUNTIFS($J$17:J63,J63,$L$17:L63,L63,$AA$17:AA63,1,$AB$17:AB63,1)=1,1,0),0)</f>
        <v>0</v>
      </c>
      <c r="AH63" s="57" t="n">
        <f aca="false">IF(AND(AA63=1,AB63=1),IF(COUNTIFS($J$17:J63,J63,$K$17:K63,K63,$AA$17:AA63,1,$AB$17:AB63,1)=1,1,0),0)</f>
        <v>0</v>
      </c>
      <c r="AI63" s="56" t="n">
        <f aca="false">IF(V63=1,MAX(F63,0),0)</f>
        <v>1665547.71</v>
      </c>
      <c r="AJ63" s="56" t="n">
        <f aca="false">IF(V63=1,MIN(F63,0),0)</f>
        <v>0</v>
      </c>
    </row>
    <row r="64" customFormat="false" ht="40" hidden="false" customHeight="true" outlineLevel="0" collapsed="false">
      <c r="A64" s="66" t="n">
        <v>45275</v>
      </c>
      <c r="B64" s="54" t="str">
        <f aca="false">IF(M64="","",IF(P64="",M64,HYPERLINK(P64,M64)))</f>
        <v>47QTCA19D00GN-49100421F0206</v>
      </c>
      <c r="C64" s="54" t="str">
        <f aca="false">IF(N64="","",IF(Q64="",N64,HYPERLINK(Q64,N64)))</f>
        <v>Lynker Corporation</v>
      </c>
      <c r="D64" s="60" t="s">
        <v>147</v>
      </c>
      <c r="E64" s="54" t="str">
        <f aca="false">IF(O64="","",IF(R64="",O64,HYPERLINK(R64,O64)))</f>
        <v>Division of Social and Economic Science</v>
      </c>
      <c r="F64" s="62" t="n">
        <v>842806</v>
      </c>
      <c r="G64" s="61" t="s">
        <v>464</v>
      </c>
      <c r="H64" s="58"/>
      <c r="I64" s="58" t="s">
        <v>515</v>
      </c>
      <c r="J64" s="58" t="s">
        <v>260</v>
      </c>
      <c r="K64" s="58" t="s">
        <v>145</v>
      </c>
      <c r="L64" s="58" t="s">
        <v>201</v>
      </c>
      <c r="M64" s="58" t="s">
        <v>261</v>
      </c>
      <c r="N64" s="58" t="s">
        <v>146</v>
      </c>
      <c r="O64" s="58" t="s">
        <v>202</v>
      </c>
      <c r="P64" s="58" t="s">
        <v>262</v>
      </c>
      <c r="Q64" s="58" t="s">
        <v>148</v>
      </c>
      <c r="R64" s="58" t="s">
        <v>204</v>
      </c>
      <c r="S64" s="57" t="n">
        <f aca="false">IF(ISNUMBER(A64),YEAR(A64)+IF(MONTH(A64)&gt;=10,1,0),"")</f>
        <v>2024</v>
      </c>
      <c r="T64" s="57" t="n">
        <f aca="false">IF(ISNUMBER(A64),INT(MOD(MONTH(A64)-10,12)/3)+1,"")</f>
        <v>1</v>
      </c>
      <c r="U64" s="57" t="str">
        <f aca="false">IF(AND(I64&lt;&gt;"",D64&lt;&gt;"",OR(COUNTIFS(TransactionsData[Vendor ID],K64,TransactionsData[UEI],"&lt;&gt;"&amp;D64,TransactionsData[UEI],"?*")&gt;0,COUNTIFS(VendorGroups[Record ID],K64,VendorGroups[Source UEI],"&lt;&gt;"&amp;D64,VendorGroups[Source UEI],"?*")&gt;0)),"Conflicting vendor UEIs",IF(I64="",IF(COUNTA(A64,D64,F64:R64)&gt;0,"Missing transaction ID",""),IF(COUNTIFS(TransactionsData[Transaction ID],I64)&lt;&gt;1,"Duplicate transaction ID",IF(OR(NOT(ISNUMBER(A64)),A64&lt;1,A64&gt;DATE(2099,1,1)),"Use a valid date",IF(OR(A64&lt;$B$4,A64&gt;$D$4),"Outside coverage",IF(NOT(ISNUMBER(F64)),"Missing or invalid amount",IF(OR(K64="",L64="",N64=""),"Add vendor and office identities",IF(G64="Exclude",IF(OR(F64&lt;&gt;0,H64=""),"Review nonzero or unexplained exclusion",""),IF(G64&lt;&gt;"Include","Choose Include or Exclude",IF(COUNTIFS(AwardsData[Award ID],J64)&lt;&gt;1,"Award link needs review",IF(INDEX(AwardsData[Input check],MATCH(J64,AwardsData[Award ID],0))&lt;&gt;"","Check award inputs","")))))))))))</f>
        <v/>
      </c>
      <c r="V64" s="57" t="n">
        <f aca="false">IF(AND(I64&lt;&gt;"",U64="",G64="Include"),1,0)</f>
        <v>1</v>
      </c>
      <c r="W64" s="57" t="str">
        <f aca="false">IF(I64="","",IF(COUNTIFS(AwardsData[Award ID],J64)=1,INDEX(AwardsData[Current award type],MATCH(J64,AwardsData[Award ID],0)),"Unlinked"))</f>
        <v>Delivery Order</v>
      </c>
      <c r="X64" s="57" t="str">
        <f aca="false">IF(I64="","",IF(COUNTIFS(AwardsData[Award ID],J64)=1,INDEX(AwardsData[Current set-aside],MATCH(J64,AwardsData[Award ID],0)),"Unlinked"))</f>
        <v>No Set-Aside Used</v>
      </c>
      <c r="Y64" s="57" t="str">
        <f aca="false">IF(I64="","",IF(COUNTIFS(AwardsData[Award ID],J64)=1,INDEX(AwardsData[Performance state],MATCH(J64,AwardsData[Award ID],0)),"Unlinked"))</f>
        <v>Virginia</v>
      </c>
      <c r="Z64" s="57" t="n">
        <f aca="false">IF(AND(V64=1,OR(Dashboard!$AB$2="All",K64=Dashboard!$AB$2),OR(Dashboard!$AB$3="All",L64=Dashboard!$AB$3),OR(Dashboard!$N$10="All",W64=Dashboard!$N$10)),1,0)</f>
        <v>1</v>
      </c>
      <c r="AA64" s="57" t="n">
        <f aca="false">IF(AND(Z64=1,OR(Dashboard!$B$7="All",S64=Dashboard!$B$7)),1,0)</f>
        <v>0</v>
      </c>
      <c r="AB64" s="57" t="n">
        <f aca="false">IF(AND(V64=1,F64&lt;&gt;0),1,0)</f>
        <v>1</v>
      </c>
      <c r="AC64" s="57" t="n">
        <f aca="false">IF(AND(AA64=1,AB64=1),IF(COUNTIFS($J$17:J64,J64,$AA$17:AA64,1,$AB$17:AB64,1)=1,1,0),0)</f>
        <v>0</v>
      </c>
      <c r="AD64" s="57" t="n">
        <f aca="false">IF(AND(AA64=1,AB64=1),IF(COUNTIFS($K$17:K64,K64,$AA$17:AA64,1,$AB$17:AB64,1)=1,1,0),0)</f>
        <v>0</v>
      </c>
      <c r="AE64" s="57" t="n">
        <f aca="false">IF(AND(Z64=1,AB64=1),IF(COUNTIFS($J$17:J64,J64,$S$17:S64,S64,$Z$17:Z64,1,$AB$17:AB64,1)=1,1,0),0)</f>
        <v>0</v>
      </c>
      <c r="AF64" s="57" t="n">
        <f aca="false">IF(AND(Z64=1,AB64=1),IF(COUNTIFS($K$17:K64,K64,$S$17:S64,S64,$Z$17:Z64,1,$AB$17:AB64,1)=1,1,0),0)</f>
        <v>0</v>
      </c>
      <c r="AG64" s="57" t="n">
        <f aca="false">IF(AND(AA64=1,AB64=1),IF(COUNTIFS($J$17:J64,J64,$L$17:L64,L64,$AA$17:AA64,1,$AB$17:AB64,1)=1,1,0),0)</f>
        <v>0</v>
      </c>
      <c r="AH64" s="57" t="n">
        <f aca="false">IF(AND(AA64=1,AB64=1),IF(COUNTIFS($J$17:J64,J64,$K$17:K64,K64,$AA$17:AA64,1,$AB$17:AB64,1)=1,1,0),0)</f>
        <v>0</v>
      </c>
      <c r="AI64" s="56" t="n">
        <f aca="false">IF(V64=1,MAX(F64,0),0)</f>
        <v>842806</v>
      </c>
      <c r="AJ64" s="56" t="n">
        <f aca="false">IF(V64=1,MIN(F64,0),0)</f>
        <v>0</v>
      </c>
    </row>
    <row r="65" customFormat="false" ht="40" hidden="false" customHeight="true" outlineLevel="0" collapsed="false">
      <c r="A65" s="66" t="n">
        <v>45286</v>
      </c>
      <c r="B65" s="54" t="str">
        <f aca="false">IF(M65="","",IF(P65="",M65,HYPERLINK(P65,M65)))</f>
        <v>47QTCB21D0005-49100422F0104</v>
      </c>
      <c r="C65" s="54" t="str">
        <f aca="false">IF(N65="","",IF(Q65="",N65,HYPERLINK(Q65,N65)))</f>
        <v>GBS Dakota IT, LLC</v>
      </c>
      <c r="D65" s="60" t="s">
        <v>135</v>
      </c>
      <c r="E65" s="54" t="str">
        <f aca="false">IF(O65="","",IF(R65="",O65,HYPERLINK(R65,O65)))</f>
        <v>NSF — office not specified</v>
      </c>
      <c r="F65" s="62" t="n">
        <v>32970.44</v>
      </c>
      <c r="G65" s="61" t="s">
        <v>464</v>
      </c>
      <c r="H65" s="58"/>
      <c r="I65" s="58" t="s">
        <v>516</v>
      </c>
      <c r="J65" s="58" t="s">
        <v>276</v>
      </c>
      <c r="K65" s="58" t="s">
        <v>133</v>
      </c>
      <c r="L65" s="58" t="s">
        <v>213</v>
      </c>
      <c r="M65" s="58" t="s">
        <v>277</v>
      </c>
      <c r="N65" s="58" t="s">
        <v>134</v>
      </c>
      <c r="O65" s="58" t="s">
        <v>214</v>
      </c>
      <c r="P65" s="58" t="s">
        <v>278</v>
      </c>
      <c r="Q65" s="58" t="s">
        <v>136</v>
      </c>
      <c r="R65" s="58" t="s">
        <v>215</v>
      </c>
      <c r="S65" s="57" t="n">
        <f aca="false">IF(ISNUMBER(A65),YEAR(A65)+IF(MONTH(A65)&gt;=10,1,0),"")</f>
        <v>2024</v>
      </c>
      <c r="T65" s="57" t="n">
        <f aca="false">IF(ISNUMBER(A65),INT(MOD(MONTH(A65)-10,12)/3)+1,"")</f>
        <v>1</v>
      </c>
      <c r="U65" s="57" t="str">
        <f aca="false">IF(AND(I65&lt;&gt;"",D65&lt;&gt;"",OR(COUNTIFS(TransactionsData[Vendor ID],K65,TransactionsData[UEI],"&lt;&gt;"&amp;D65,TransactionsData[UEI],"?*")&gt;0,COUNTIFS(VendorGroups[Record ID],K65,VendorGroups[Source UEI],"&lt;&gt;"&amp;D65,VendorGroups[Source UEI],"?*")&gt;0)),"Conflicting vendor UEIs",IF(I65="",IF(COUNTA(A65,D65,F65:R65)&gt;0,"Missing transaction ID",""),IF(COUNTIFS(TransactionsData[Transaction ID],I65)&lt;&gt;1,"Duplicate transaction ID",IF(OR(NOT(ISNUMBER(A65)),A65&lt;1,A65&gt;DATE(2099,1,1)),"Use a valid date",IF(OR(A65&lt;$B$4,A65&gt;$D$4),"Outside coverage",IF(NOT(ISNUMBER(F65)),"Missing or invalid amount",IF(OR(K65="",L65="",N65=""),"Add vendor and office identities",IF(G65="Exclude",IF(OR(F65&lt;&gt;0,H65=""),"Review nonzero or unexplained exclusion",""),IF(G65&lt;&gt;"Include","Choose Include or Exclude",IF(COUNTIFS(AwardsData[Award ID],J65)&lt;&gt;1,"Award link needs review",IF(INDEX(AwardsData[Input check],MATCH(J65,AwardsData[Award ID],0))&lt;&gt;"","Check award inputs","")))))))))))</f>
        <v/>
      </c>
      <c r="V65" s="57" t="n">
        <f aca="false">IF(AND(I65&lt;&gt;"",U65="",G65="Include"),1,0)</f>
        <v>1</v>
      </c>
      <c r="W65" s="57" t="str">
        <f aca="false">IF(I65="","",IF(COUNTIFS(AwardsData[Award ID],J65)=1,INDEX(AwardsData[Current award type],MATCH(J65,AwardsData[Award ID],0)),"Unlinked"))</f>
        <v>Delivery Order</v>
      </c>
      <c r="X65" s="57" t="str">
        <f aca="false">IF(I65="","",IF(COUNTIFS(AwardsData[Award ID],J65)=1,INDEX(AwardsData[Current set-aside],MATCH(J65,AwardsData[Award ID],0)),"Unlinked"))</f>
        <v>Competitive 8(a)</v>
      </c>
      <c r="Y65" s="57" t="str">
        <f aca="false">IF(I65="","",IF(COUNTIFS(AwardsData[Award ID],J65)=1,INDEX(AwardsData[Performance state],MATCH(J65,AwardsData[Award ID],0)),"Unlinked"))</f>
        <v>Utah</v>
      </c>
      <c r="Z65" s="57" t="n">
        <f aca="false">IF(AND(V65=1,OR(Dashboard!$AB$2="All",K65=Dashboard!$AB$2),OR(Dashboard!$AB$3="All",L65=Dashboard!$AB$3),OR(Dashboard!$N$10="All",W65=Dashboard!$N$10)),1,0)</f>
        <v>1</v>
      </c>
      <c r="AA65" s="57" t="n">
        <f aca="false">IF(AND(Z65=1,OR(Dashboard!$B$7="All",S65=Dashboard!$B$7)),1,0)</f>
        <v>0</v>
      </c>
      <c r="AB65" s="57" t="n">
        <f aca="false">IF(AND(V65=1,F65&lt;&gt;0),1,0)</f>
        <v>1</v>
      </c>
      <c r="AC65" s="57" t="n">
        <f aca="false">IF(AND(AA65=1,AB65=1),IF(COUNTIFS($J$17:J65,J65,$AA$17:AA65,1,$AB$17:AB65,1)=1,1,0),0)</f>
        <v>0</v>
      </c>
      <c r="AD65" s="57" t="n">
        <f aca="false">IF(AND(AA65=1,AB65=1),IF(COUNTIFS($K$17:K65,K65,$AA$17:AA65,1,$AB$17:AB65,1)=1,1,0),0)</f>
        <v>0</v>
      </c>
      <c r="AE65" s="57" t="n">
        <f aca="false">IF(AND(Z65=1,AB65=1),IF(COUNTIFS($J$17:J65,J65,$S$17:S65,S65,$Z$17:Z65,1,$AB$17:AB65,1)=1,1,0),0)</f>
        <v>1</v>
      </c>
      <c r="AF65" s="57" t="n">
        <f aca="false">IF(AND(Z65=1,AB65=1),IF(COUNTIFS($K$17:K65,K65,$S$17:S65,S65,$Z$17:Z65,1,$AB$17:AB65,1)=1,1,0),0)</f>
        <v>1</v>
      </c>
      <c r="AG65" s="57" t="n">
        <f aca="false">IF(AND(AA65=1,AB65=1),IF(COUNTIFS($J$17:J65,J65,$L$17:L65,L65,$AA$17:AA65,1,$AB$17:AB65,1)=1,1,0),0)</f>
        <v>0</v>
      </c>
      <c r="AH65" s="57" t="n">
        <f aca="false">IF(AND(AA65=1,AB65=1),IF(COUNTIFS($J$17:J65,J65,$K$17:K65,K65,$AA$17:AA65,1,$AB$17:AB65,1)=1,1,0),0)</f>
        <v>0</v>
      </c>
      <c r="AI65" s="56" t="n">
        <f aca="false">IF(V65=1,MAX(F65,0),0)</f>
        <v>32970.44</v>
      </c>
      <c r="AJ65" s="56" t="n">
        <f aca="false">IF(V65=1,MIN(F65,0),0)</f>
        <v>0</v>
      </c>
    </row>
    <row r="66" customFormat="false" ht="40" hidden="false" customHeight="true" outlineLevel="0" collapsed="false">
      <c r="A66" s="66" t="n">
        <v>45288</v>
      </c>
      <c r="B66" s="54" t="str">
        <f aca="false">IF(M66="","",IF(P66="",M66,HYPERLINK(P66,M66)))</f>
        <v>47QTCK18D0004-49100424F0001</v>
      </c>
      <c r="C66" s="54" t="str">
        <f aca="false">IF(N66="","",IF(Q66="",N66,HYPERLINK(Q66,N66)))</f>
        <v>Booz Allen Hamilton Inc.</v>
      </c>
      <c r="D66" s="60" t="s">
        <v>111</v>
      </c>
      <c r="E66" s="54" t="str">
        <f aca="false">IF(O66="","",IF(R66="",O66,HYPERLINK(R66,O66)))</f>
        <v>Division of Information Systems</v>
      </c>
      <c r="F66" s="62" t="n">
        <v>11700000</v>
      </c>
      <c r="G66" s="61" t="s">
        <v>464</v>
      </c>
      <c r="H66" s="58"/>
      <c r="I66" s="58" t="s">
        <v>517</v>
      </c>
      <c r="J66" s="58" t="s">
        <v>297</v>
      </c>
      <c r="K66" s="58" t="s">
        <v>109</v>
      </c>
      <c r="L66" s="58" t="s">
        <v>197</v>
      </c>
      <c r="M66" s="58" t="s">
        <v>298</v>
      </c>
      <c r="N66" s="58" t="s">
        <v>110</v>
      </c>
      <c r="O66" s="58" t="s">
        <v>198</v>
      </c>
      <c r="P66" s="58" t="s">
        <v>299</v>
      </c>
      <c r="Q66" s="58" t="s">
        <v>112</v>
      </c>
      <c r="R66" s="58" t="s">
        <v>200</v>
      </c>
      <c r="S66" s="57" t="n">
        <f aca="false">IF(ISNUMBER(A66),YEAR(A66)+IF(MONTH(A66)&gt;=10,1,0),"")</f>
        <v>2024</v>
      </c>
      <c r="T66" s="57" t="n">
        <f aca="false">IF(ISNUMBER(A66),INT(MOD(MONTH(A66)-10,12)/3)+1,"")</f>
        <v>1</v>
      </c>
      <c r="U66" s="57" t="str">
        <f aca="false">IF(AND(I66&lt;&gt;"",D66&lt;&gt;"",OR(COUNTIFS(TransactionsData[Vendor ID],K66,TransactionsData[UEI],"&lt;&gt;"&amp;D66,TransactionsData[UEI],"?*")&gt;0,COUNTIFS(VendorGroups[Record ID],K66,VendorGroups[Source UEI],"&lt;&gt;"&amp;D66,VendorGroups[Source UEI],"?*")&gt;0)),"Conflicting vendor UEIs",IF(I66="",IF(COUNTA(A66,D66,F66:R66)&gt;0,"Missing transaction ID",""),IF(COUNTIFS(TransactionsData[Transaction ID],I66)&lt;&gt;1,"Duplicate transaction ID",IF(OR(NOT(ISNUMBER(A66)),A66&lt;1,A66&gt;DATE(2099,1,1)),"Use a valid date",IF(OR(A66&lt;$B$4,A66&gt;$D$4),"Outside coverage",IF(NOT(ISNUMBER(F66)),"Missing or invalid amount",IF(OR(K66="",L66="",N66=""),"Add vendor and office identities",IF(G66="Exclude",IF(OR(F66&lt;&gt;0,H66=""),"Review nonzero or unexplained exclusion",""),IF(G66&lt;&gt;"Include","Choose Include or Exclude",IF(COUNTIFS(AwardsData[Award ID],J66)&lt;&gt;1,"Award link needs review",IF(INDEX(AwardsData[Input check],MATCH(J66,AwardsData[Award ID],0))&lt;&gt;"","Check award inputs","")))))))))))</f>
        <v/>
      </c>
      <c r="V66" s="57" t="n">
        <f aca="false">IF(AND(I66&lt;&gt;"",U66="",G66="Include"),1,0)</f>
        <v>1</v>
      </c>
      <c r="W66" s="57" t="str">
        <f aca="false">IF(I66="","",IF(COUNTIFS(AwardsData[Award ID],J66)=1,INDEX(AwardsData[Current award type],MATCH(J66,AwardsData[Award ID],0)),"Unlinked"))</f>
        <v>Delivery Order</v>
      </c>
      <c r="X66" s="57" t="str">
        <f aca="false">IF(I66="","",IF(COUNTIFS(AwardsData[Award ID],J66)=1,INDEX(AwardsData[Current set-aside],MATCH(J66,AwardsData[Award ID],0)),"Unlinked"))</f>
        <v>No Set-Aside Used</v>
      </c>
      <c r="Y66" s="57" t="str">
        <f aca="false">IF(I66="","",IF(COUNTIFS(AwardsData[Award ID],J66)=1,INDEX(AwardsData[Performance state],MATCH(J66,AwardsData[Award ID],0)),"Unlinked"))</f>
        <v>Virginia</v>
      </c>
      <c r="Z66" s="57" t="n">
        <f aca="false">IF(AND(V66=1,OR(Dashboard!$AB$2="All",K66=Dashboard!$AB$2),OR(Dashboard!$AB$3="All",L66=Dashboard!$AB$3),OR(Dashboard!$N$10="All",W66=Dashboard!$N$10)),1,0)</f>
        <v>1</v>
      </c>
      <c r="AA66" s="57" t="n">
        <f aca="false">IF(AND(Z66=1,OR(Dashboard!$B$7="All",S66=Dashboard!$B$7)),1,0)</f>
        <v>0</v>
      </c>
      <c r="AB66" s="57" t="n">
        <f aca="false">IF(AND(V66=1,F66&lt;&gt;0),1,0)</f>
        <v>1</v>
      </c>
      <c r="AC66" s="57" t="n">
        <f aca="false">IF(AND(AA66=1,AB66=1),IF(COUNTIFS($J$17:J66,J66,$AA$17:AA66,1,$AB$17:AB66,1)=1,1,0),0)</f>
        <v>0</v>
      </c>
      <c r="AD66" s="57" t="n">
        <f aca="false">IF(AND(AA66=1,AB66=1),IF(COUNTIFS($K$17:K66,K66,$AA$17:AA66,1,$AB$17:AB66,1)=1,1,0),0)</f>
        <v>0</v>
      </c>
      <c r="AE66" s="57" t="n">
        <f aca="false">IF(AND(Z66=1,AB66=1),IF(COUNTIFS($J$17:J66,J66,$S$17:S66,S66,$Z$17:Z66,1,$AB$17:AB66,1)=1,1,0),0)</f>
        <v>1</v>
      </c>
      <c r="AF66" s="57" t="n">
        <f aca="false">IF(AND(Z66=1,AB66=1),IF(COUNTIFS($K$17:K66,K66,$S$17:S66,S66,$Z$17:Z66,1,$AB$17:AB66,1)=1,1,0),0)</f>
        <v>1</v>
      </c>
      <c r="AG66" s="57" t="n">
        <f aca="false">IF(AND(AA66=1,AB66=1),IF(COUNTIFS($J$17:J66,J66,$L$17:L66,L66,$AA$17:AA66,1,$AB$17:AB66,1)=1,1,0),0)</f>
        <v>0</v>
      </c>
      <c r="AH66" s="57" t="n">
        <f aca="false">IF(AND(AA66=1,AB66=1),IF(COUNTIFS($J$17:J66,J66,$K$17:K66,K66,$AA$17:AA66,1,$AB$17:AB66,1)=1,1,0),0)</f>
        <v>0</v>
      </c>
      <c r="AI66" s="56" t="n">
        <f aca="false">IF(V66=1,MAX(F66,0),0)</f>
        <v>11700000</v>
      </c>
      <c r="AJ66" s="56" t="n">
        <f aca="false">IF(V66=1,MIN(F66,0),0)</f>
        <v>0</v>
      </c>
    </row>
    <row r="67" customFormat="false" ht="40" hidden="false" customHeight="true" outlineLevel="0" collapsed="false">
      <c r="A67" s="66" t="n">
        <v>45289</v>
      </c>
      <c r="B67" s="54" t="str">
        <f aca="false">IF(M67="","",IF(P67="",M67,HYPERLINK(P67,M67)))</f>
        <v>49100424P0013</v>
      </c>
      <c r="C67" s="54" t="str">
        <f aca="false">IF(N67="","",IF(Q67="",N67,HYPERLINK(Q67,N67)))</f>
        <v>University Corporation For Advanced Internet Development</v>
      </c>
      <c r="D67" s="60" t="s">
        <v>178</v>
      </c>
      <c r="E67" s="54" t="str">
        <f aca="false">IF(O67="","",IF(R67="",O67,HYPERLINK(R67,O67)))</f>
        <v>Office of Information Resource Management</v>
      </c>
      <c r="F67" s="62" t="n">
        <v>39079</v>
      </c>
      <c r="G67" s="61" t="s">
        <v>464</v>
      </c>
      <c r="H67" s="58"/>
      <c r="I67" s="58" t="s">
        <v>518</v>
      </c>
      <c r="J67" s="58" t="s">
        <v>402</v>
      </c>
      <c r="K67" s="58" t="s">
        <v>176</v>
      </c>
      <c r="L67" s="58" t="s">
        <v>220</v>
      </c>
      <c r="M67" s="58" t="s">
        <v>402</v>
      </c>
      <c r="N67" s="58" t="s">
        <v>177</v>
      </c>
      <c r="O67" s="58" t="s">
        <v>221</v>
      </c>
      <c r="P67" s="58" t="s">
        <v>403</v>
      </c>
      <c r="Q67" s="58" t="s">
        <v>179</v>
      </c>
      <c r="R67" s="58" t="s">
        <v>223</v>
      </c>
      <c r="S67" s="57" t="n">
        <f aca="false">IF(ISNUMBER(A67),YEAR(A67)+IF(MONTH(A67)&gt;=10,1,0),"")</f>
        <v>2024</v>
      </c>
      <c r="T67" s="57" t="n">
        <f aca="false">IF(ISNUMBER(A67),INT(MOD(MONTH(A67)-10,12)/3)+1,"")</f>
        <v>1</v>
      </c>
      <c r="U67" s="57" t="str">
        <f aca="false">IF(AND(I67&lt;&gt;"",D67&lt;&gt;"",OR(COUNTIFS(TransactionsData[Vendor ID],K67,TransactionsData[UEI],"&lt;&gt;"&amp;D67,TransactionsData[UEI],"?*")&gt;0,COUNTIFS(VendorGroups[Record ID],K67,VendorGroups[Source UEI],"&lt;&gt;"&amp;D67,VendorGroups[Source UEI],"?*")&gt;0)),"Conflicting vendor UEIs",IF(I67="",IF(COUNTA(A67,D67,F67:R67)&gt;0,"Missing transaction ID",""),IF(COUNTIFS(TransactionsData[Transaction ID],I67)&lt;&gt;1,"Duplicate transaction ID",IF(OR(NOT(ISNUMBER(A67)),A67&lt;1,A67&gt;DATE(2099,1,1)),"Use a valid date",IF(OR(A67&lt;$B$4,A67&gt;$D$4),"Outside coverage",IF(NOT(ISNUMBER(F67)),"Missing or invalid amount",IF(OR(K67="",L67="",N67=""),"Add vendor and office identities",IF(G67="Exclude",IF(OR(F67&lt;&gt;0,H67=""),"Review nonzero or unexplained exclusion",""),IF(G67&lt;&gt;"Include","Choose Include or Exclude",IF(COUNTIFS(AwardsData[Award ID],J67)&lt;&gt;1,"Award link needs review",IF(INDEX(AwardsData[Input check],MATCH(J67,AwardsData[Award ID],0))&lt;&gt;"","Check award inputs","")))))))))))</f>
        <v/>
      </c>
      <c r="V67" s="57" t="n">
        <f aca="false">IF(AND(I67&lt;&gt;"",U67="",G67="Include"),1,0)</f>
        <v>1</v>
      </c>
      <c r="W67" s="57" t="str">
        <f aca="false">IF(I67="","",IF(COUNTIFS(AwardsData[Award ID],J67)=1,INDEX(AwardsData[Current award type],MATCH(J67,AwardsData[Award ID],0)),"Unlinked"))</f>
        <v>Purchase Order</v>
      </c>
      <c r="X67" s="57" t="str">
        <f aca="false">IF(I67="","",IF(COUNTIFS(AwardsData[Award ID],J67)=1,INDEX(AwardsData[Current set-aside],MATCH(J67,AwardsData[Award ID],0)),"Unlinked"))</f>
        <v>No Set-Aside Used</v>
      </c>
      <c r="Y67" s="57" t="str">
        <f aca="false">IF(I67="","",IF(COUNTIFS(AwardsData[Award ID],J67)=1,INDEX(AwardsData[Performance state],MATCH(J67,AwardsData[Award ID],0)),"Unlinked"))</f>
        <v>Virginia</v>
      </c>
      <c r="Z67" s="57" t="n">
        <f aca="false">IF(AND(V67=1,OR(Dashboard!$AB$2="All",K67=Dashboard!$AB$2),OR(Dashboard!$AB$3="All",L67=Dashboard!$AB$3),OR(Dashboard!$N$10="All",W67=Dashboard!$N$10)),1,0)</f>
        <v>1</v>
      </c>
      <c r="AA67" s="57" t="n">
        <f aca="false">IF(AND(Z67=1,OR(Dashboard!$B$7="All",S67=Dashboard!$B$7)),1,0)</f>
        <v>0</v>
      </c>
      <c r="AB67" s="57" t="n">
        <f aca="false">IF(AND(V67=1,F67&lt;&gt;0),1,0)</f>
        <v>1</v>
      </c>
      <c r="AC67" s="57" t="n">
        <f aca="false">IF(AND(AA67=1,AB67=1),IF(COUNTIFS($J$17:J67,J67,$AA$17:AA67,1,$AB$17:AB67,1)=1,1,0),0)</f>
        <v>0</v>
      </c>
      <c r="AD67" s="57" t="n">
        <f aca="false">IF(AND(AA67=1,AB67=1),IF(COUNTIFS($K$17:K67,K67,$AA$17:AA67,1,$AB$17:AB67,1)=1,1,0),0)</f>
        <v>0</v>
      </c>
      <c r="AE67" s="57" t="n">
        <f aca="false">IF(AND(Z67=1,AB67=1),IF(COUNTIFS($J$17:J67,J67,$S$17:S67,S67,$Z$17:Z67,1,$AB$17:AB67,1)=1,1,0),0)</f>
        <v>1</v>
      </c>
      <c r="AF67" s="57" t="n">
        <f aca="false">IF(AND(Z67=1,AB67=1),IF(COUNTIFS($K$17:K67,K67,$S$17:S67,S67,$Z$17:Z67,1,$AB$17:AB67,1)=1,1,0),0)</f>
        <v>1</v>
      </c>
      <c r="AG67" s="57" t="n">
        <f aca="false">IF(AND(AA67=1,AB67=1),IF(COUNTIFS($J$17:J67,J67,$L$17:L67,L67,$AA$17:AA67,1,$AB$17:AB67,1)=1,1,0),0)</f>
        <v>0</v>
      </c>
      <c r="AH67" s="57" t="n">
        <f aca="false">IF(AND(AA67=1,AB67=1),IF(COUNTIFS($J$17:J67,J67,$K$17:K67,K67,$AA$17:AA67,1,$AB$17:AB67,1)=1,1,0),0)</f>
        <v>0</v>
      </c>
      <c r="AI67" s="56" t="n">
        <f aca="false">IF(V67=1,MAX(F67,0),0)</f>
        <v>39079</v>
      </c>
      <c r="AJ67" s="56" t="n">
        <f aca="false">IF(V67=1,MIN(F67,0),0)</f>
        <v>0</v>
      </c>
    </row>
    <row r="68" customFormat="false" ht="40" hidden="false" customHeight="true" outlineLevel="0" collapsed="false">
      <c r="A68" s="66" t="n">
        <v>45301</v>
      </c>
      <c r="B68" s="54" t="str">
        <f aca="false">IF(M68="","",IF(P68="",M68,HYPERLINK(P68,M68)))</f>
        <v>49100422D0010-49100423F0226</v>
      </c>
      <c r="C68" s="54" t="str">
        <f aca="false">IF(N68="","",IF(Q68="",N68,HYPERLINK(Q68,N68)))</f>
        <v>Agility Technologies Inc.</v>
      </c>
      <c r="D68" s="60" t="s">
        <v>103</v>
      </c>
      <c r="E68" s="54" t="str">
        <f aca="false">IF(O68="","",IF(R68="",O68,HYPERLINK(R68,O68)))</f>
        <v>NSF — office not specified</v>
      </c>
      <c r="F68" s="62" t="n">
        <v>0</v>
      </c>
      <c r="G68" s="61" t="s">
        <v>464</v>
      </c>
      <c r="H68" s="58"/>
      <c r="I68" s="58" t="s">
        <v>519</v>
      </c>
      <c r="J68" s="58" t="s">
        <v>340</v>
      </c>
      <c r="K68" s="58" t="s">
        <v>101</v>
      </c>
      <c r="L68" s="58" t="s">
        <v>213</v>
      </c>
      <c r="M68" s="58" t="s">
        <v>341</v>
      </c>
      <c r="N68" s="58" t="s">
        <v>102</v>
      </c>
      <c r="O68" s="58" t="s">
        <v>214</v>
      </c>
      <c r="P68" s="58" t="s">
        <v>342</v>
      </c>
      <c r="Q68" s="58" t="s">
        <v>104</v>
      </c>
      <c r="R68" s="58" t="s">
        <v>215</v>
      </c>
      <c r="S68" s="57" t="n">
        <f aca="false">IF(ISNUMBER(A68),YEAR(A68)+IF(MONTH(A68)&gt;=10,1,0),"")</f>
        <v>2024</v>
      </c>
      <c r="T68" s="57" t="n">
        <f aca="false">IF(ISNUMBER(A68),INT(MOD(MONTH(A68)-10,12)/3)+1,"")</f>
        <v>2</v>
      </c>
      <c r="U68" s="57" t="str">
        <f aca="false">IF(AND(I68&lt;&gt;"",D68&lt;&gt;"",OR(COUNTIFS(TransactionsData[Vendor ID],K68,TransactionsData[UEI],"&lt;&gt;"&amp;D68,TransactionsData[UEI],"?*")&gt;0,COUNTIFS(VendorGroups[Record ID],K68,VendorGroups[Source UEI],"&lt;&gt;"&amp;D68,VendorGroups[Source UEI],"?*")&gt;0)),"Conflicting vendor UEIs",IF(I68="",IF(COUNTA(A68,D68,F68:R68)&gt;0,"Missing transaction ID",""),IF(COUNTIFS(TransactionsData[Transaction ID],I68)&lt;&gt;1,"Duplicate transaction ID",IF(OR(NOT(ISNUMBER(A68)),A68&lt;1,A68&gt;DATE(2099,1,1)),"Use a valid date",IF(OR(A68&lt;$B$4,A68&gt;$D$4),"Outside coverage",IF(NOT(ISNUMBER(F68)),"Missing or invalid amount",IF(OR(K68="",L68="",N68=""),"Add vendor and office identities",IF(G68="Exclude",IF(OR(F68&lt;&gt;0,H68=""),"Review nonzero or unexplained exclusion",""),IF(G68&lt;&gt;"Include","Choose Include or Exclude",IF(COUNTIFS(AwardsData[Award ID],J68)&lt;&gt;1,"Award link needs review",IF(INDEX(AwardsData[Input check],MATCH(J68,AwardsData[Award ID],0))&lt;&gt;"","Check award inputs","")))))))))))</f>
        <v/>
      </c>
      <c r="V68" s="57" t="n">
        <f aca="false">IF(AND(I68&lt;&gt;"",U68="",G68="Include"),1,0)</f>
        <v>1</v>
      </c>
      <c r="W68" s="57" t="str">
        <f aca="false">IF(I68="","",IF(COUNTIFS(AwardsData[Award ID],J68)=1,INDEX(AwardsData[Current award type],MATCH(J68,AwardsData[Award ID],0)),"Unlinked"))</f>
        <v>Delivery Order</v>
      </c>
      <c r="X68" s="57" t="str">
        <f aca="false">IF(I68="","",IF(COUNTIFS(AwardsData[Award ID],J68)=1,INDEX(AwardsData[Current set-aside],MATCH(J68,AwardsData[Award ID],0)),"Unlinked"))</f>
        <v>No Set-Aside Used</v>
      </c>
      <c r="Y68" s="57" t="str">
        <f aca="false">IF(I68="","",IF(COUNTIFS(AwardsData[Award ID],J68)=1,INDEX(AwardsData[Performance state],MATCH(J68,AwardsData[Award ID],0)),"Unlinked"))</f>
        <v>Virginia</v>
      </c>
      <c r="Z68" s="57" t="n">
        <f aca="false">IF(AND(V68=1,OR(Dashboard!$AB$2="All",K68=Dashboard!$AB$2),OR(Dashboard!$AB$3="All",L68=Dashboard!$AB$3),OR(Dashboard!$N$10="All",W68=Dashboard!$N$10)),1,0)</f>
        <v>1</v>
      </c>
      <c r="AA68" s="57" t="n">
        <f aca="false">IF(AND(Z68=1,OR(Dashboard!$B$7="All",S68=Dashboard!$B$7)),1,0)</f>
        <v>0</v>
      </c>
      <c r="AB68" s="57" t="n">
        <f aca="false">IF(AND(V68=1,F68&lt;&gt;0),1,0)</f>
        <v>0</v>
      </c>
      <c r="AC68" s="57" t="n">
        <f aca="false">IF(AND(AA68=1,AB68=1),IF(COUNTIFS($J$17:J68,J68,$AA$17:AA68,1,$AB$17:AB68,1)=1,1,0),0)</f>
        <v>0</v>
      </c>
      <c r="AD68" s="57" t="n">
        <f aca="false">IF(AND(AA68=1,AB68=1),IF(COUNTIFS($K$17:K68,K68,$AA$17:AA68,1,$AB$17:AB68,1)=1,1,0),0)</f>
        <v>0</v>
      </c>
      <c r="AE68" s="57" t="n">
        <f aca="false">IF(AND(Z68=1,AB68=1),IF(COUNTIFS($J$17:J68,J68,$S$17:S68,S68,$Z$17:Z68,1,$AB$17:AB68,1)=1,1,0),0)</f>
        <v>0</v>
      </c>
      <c r="AF68" s="57" t="n">
        <f aca="false">IF(AND(Z68=1,AB68=1),IF(COUNTIFS($K$17:K68,K68,$S$17:S68,S68,$Z$17:Z68,1,$AB$17:AB68,1)=1,1,0),0)</f>
        <v>0</v>
      </c>
      <c r="AG68" s="57" t="n">
        <f aca="false">IF(AND(AA68=1,AB68=1),IF(COUNTIFS($J$17:J68,J68,$L$17:L68,L68,$AA$17:AA68,1,$AB$17:AB68,1)=1,1,0),0)</f>
        <v>0</v>
      </c>
      <c r="AH68" s="57" t="n">
        <f aca="false">IF(AND(AA68=1,AB68=1),IF(COUNTIFS($J$17:J68,J68,$K$17:K68,K68,$AA$17:AA68,1,$AB$17:AB68,1)=1,1,0),0)</f>
        <v>0</v>
      </c>
      <c r="AI68" s="56" t="n">
        <f aca="false">IF(V68=1,MAX(F68,0),0)</f>
        <v>0</v>
      </c>
      <c r="AJ68" s="56" t="n">
        <f aca="false">IF(V68=1,MIN(F68,0),0)</f>
        <v>0</v>
      </c>
    </row>
    <row r="69" customFormat="false" ht="40" hidden="false" customHeight="true" outlineLevel="0" collapsed="false">
      <c r="A69" s="66" t="n">
        <v>45302</v>
      </c>
      <c r="B69" s="54" t="str">
        <f aca="false">IF(M69="","",IF(P69="",M69,HYPERLINK(P69,M69)))</f>
        <v>49100422C0029</v>
      </c>
      <c r="C69" s="54" t="str">
        <f aca="false">IF(N69="","",IF(Q69="",N69,HYPERLINK(Q69,N69)))</f>
        <v>Rei Systems, Inc.</v>
      </c>
      <c r="D69" s="60" t="s">
        <v>158</v>
      </c>
      <c r="E69" s="54" t="str">
        <f aca="false">IF(O69="","",IF(R69="",O69,HYPERLINK(R69,O69)))</f>
        <v>Division of Information Systems</v>
      </c>
      <c r="F69" s="62" t="n">
        <v>583120.6</v>
      </c>
      <c r="G69" s="61" t="s">
        <v>464</v>
      </c>
      <c r="H69" s="58"/>
      <c r="I69" s="58" t="s">
        <v>520</v>
      </c>
      <c r="J69" s="58" t="s">
        <v>327</v>
      </c>
      <c r="K69" s="58" t="s">
        <v>156</v>
      </c>
      <c r="L69" s="58" t="s">
        <v>197</v>
      </c>
      <c r="M69" s="58" t="s">
        <v>327</v>
      </c>
      <c r="N69" s="58" t="s">
        <v>157</v>
      </c>
      <c r="O69" s="58" t="s">
        <v>198</v>
      </c>
      <c r="P69" s="58" t="s">
        <v>328</v>
      </c>
      <c r="Q69" s="58" t="s">
        <v>159</v>
      </c>
      <c r="R69" s="58" t="s">
        <v>200</v>
      </c>
      <c r="S69" s="57" t="n">
        <f aca="false">IF(ISNUMBER(A69),YEAR(A69)+IF(MONTH(A69)&gt;=10,1,0),"")</f>
        <v>2024</v>
      </c>
      <c r="T69" s="57" t="n">
        <f aca="false">IF(ISNUMBER(A69),INT(MOD(MONTH(A69)-10,12)/3)+1,"")</f>
        <v>2</v>
      </c>
      <c r="U69" s="57" t="str">
        <f aca="false">IF(AND(I69&lt;&gt;"",D69&lt;&gt;"",OR(COUNTIFS(TransactionsData[Vendor ID],K69,TransactionsData[UEI],"&lt;&gt;"&amp;D69,TransactionsData[UEI],"?*")&gt;0,COUNTIFS(VendorGroups[Record ID],K69,VendorGroups[Source UEI],"&lt;&gt;"&amp;D69,VendorGroups[Source UEI],"?*")&gt;0)),"Conflicting vendor UEIs",IF(I69="",IF(COUNTA(A69,D69,F69:R69)&gt;0,"Missing transaction ID",""),IF(COUNTIFS(TransactionsData[Transaction ID],I69)&lt;&gt;1,"Duplicate transaction ID",IF(OR(NOT(ISNUMBER(A69)),A69&lt;1,A69&gt;DATE(2099,1,1)),"Use a valid date",IF(OR(A69&lt;$B$4,A69&gt;$D$4),"Outside coverage",IF(NOT(ISNUMBER(F69)),"Missing or invalid amount",IF(OR(K69="",L69="",N69=""),"Add vendor and office identities",IF(G69="Exclude",IF(OR(F69&lt;&gt;0,H69=""),"Review nonzero or unexplained exclusion",""),IF(G69&lt;&gt;"Include","Choose Include or Exclude",IF(COUNTIFS(AwardsData[Award ID],J69)&lt;&gt;1,"Award link needs review",IF(INDEX(AwardsData[Input check],MATCH(J69,AwardsData[Award ID],0))&lt;&gt;"","Check award inputs","")))))))))))</f>
        <v/>
      </c>
      <c r="V69" s="57" t="n">
        <f aca="false">IF(AND(I69&lt;&gt;"",U69="",G69="Include"),1,0)</f>
        <v>1</v>
      </c>
      <c r="W69" s="57" t="str">
        <f aca="false">IF(I69="","",IF(COUNTIFS(AwardsData[Award ID],J69)=1,INDEX(AwardsData[Current award type],MATCH(J69,AwardsData[Award ID],0)),"Unlinked"))</f>
        <v>Definitive Contract</v>
      </c>
      <c r="X69" s="57" t="str">
        <f aca="false">IF(I69="","",IF(COUNTIFS(AwardsData[Award ID],J69)=1,INDEX(AwardsData[Current set-aside],MATCH(J69,AwardsData[Award ID],0)),"Unlinked"))</f>
        <v>No Set-Aside Used</v>
      </c>
      <c r="Y69" s="57" t="str">
        <f aca="false">IF(I69="","",IF(COUNTIFS(AwardsData[Award ID],J69)=1,INDEX(AwardsData[Performance state],MATCH(J69,AwardsData[Award ID],0)),"Unlinked"))</f>
        <v>Virginia</v>
      </c>
      <c r="Z69" s="57" t="n">
        <f aca="false">IF(AND(V69=1,OR(Dashboard!$AB$2="All",K69=Dashboard!$AB$2),OR(Dashboard!$AB$3="All",L69=Dashboard!$AB$3),OR(Dashboard!$N$10="All",W69=Dashboard!$N$10)),1,0)</f>
        <v>1</v>
      </c>
      <c r="AA69" s="57" t="n">
        <f aca="false">IF(AND(Z69=1,OR(Dashboard!$B$7="All",S69=Dashboard!$B$7)),1,0)</f>
        <v>0</v>
      </c>
      <c r="AB69" s="57" t="n">
        <f aca="false">IF(AND(V69=1,F69&lt;&gt;0),1,0)</f>
        <v>1</v>
      </c>
      <c r="AC69" s="57" t="n">
        <f aca="false">IF(AND(AA69=1,AB69=1),IF(COUNTIFS($J$17:J69,J69,$AA$17:AA69,1,$AB$17:AB69,1)=1,1,0),0)</f>
        <v>0</v>
      </c>
      <c r="AD69" s="57" t="n">
        <f aca="false">IF(AND(AA69=1,AB69=1),IF(COUNTIFS($K$17:K69,K69,$AA$17:AA69,1,$AB$17:AB69,1)=1,1,0),0)</f>
        <v>0</v>
      </c>
      <c r="AE69" s="57" t="n">
        <f aca="false">IF(AND(Z69=1,AB69=1),IF(COUNTIFS($J$17:J69,J69,$S$17:S69,S69,$Z$17:Z69,1,$AB$17:AB69,1)=1,1,0),0)</f>
        <v>0</v>
      </c>
      <c r="AF69" s="57" t="n">
        <f aca="false">IF(AND(Z69=1,AB69=1),IF(COUNTIFS($K$17:K69,K69,$S$17:S69,S69,$Z$17:Z69,1,$AB$17:AB69,1)=1,1,0),0)</f>
        <v>0</v>
      </c>
      <c r="AG69" s="57" t="n">
        <f aca="false">IF(AND(AA69=1,AB69=1),IF(COUNTIFS($J$17:J69,J69,$L$17:L69,L69,$AA$17:AA69,1,$AB$17:AB69,1)=1,1,0),0)</f>
        <v>0</v>
      </c>
      <c r="AH69" s="57" t="n">
        <f aca="false">IF(AND(AA69=1,AB69=1),IF(COUNTIFS($J$17:J69,J69,$K$17:K69,K69,$AA$17:AA69,1,$AB$17:AB69,1)=1,1,0),0)</f>
        <v>0</v>
      </c>
      <c r="AI69" s="56" t="n">
        <f aca="false">IF(V69=1,MAX(F69,0),0)</f>
        <v>583120.6</v>
      </c>
      <c r="AJ69" s="56" t="n">
        <f aca="false">IF(V69=1,MIN(F69,0),0)</f>
        <v>0</v>
      </c>
    </row>
    <row r="70" customFormat="false" ht="40" hidden="false" customHeight="true" outlineLevel="0" collapsed="false">
      <c r="A70" s="66" t="n">
        <v>45308</v>
      </c>
      <c r="B70" s="54" t="str">
        <f aca="false">IF(M70="","",IF(P70="",M70,HYPERLINK(P70,M70)))</f>
        <v>49100422A0002-49100424F0010</v>
      </c>
      <c r="C70" s="54" t="str">
        <f aca="false">IF(N70="","",IF(Q70="",N70,HYPERLINK(Q70,N70)))</f>
        <v>Directviz Solutions, LLC</v>
      </c>
      <c r="D70" s="60" t="s">
        <v>123</v>
      </c>
      <c r="E70" s="54" t="str">
        <f aca="false">IF(O70="","",IF(R70="",O70,HYPERLINK(R70,O70)))</f>
        <v>Division of Information Systems</v>
      </c>
      <c r="F70" s="62" t="n">
        <v>163350.12</v>
      </c>
      <c r="G70" s="61" t="s">
        <v>464</v>
      </c>
      <c r="H70" s="58"/>
      <c r="I70" s="58" t="s">
        <v>521</v>
      </c>
      <c r="J70" s="58" t="s">
        <v>310</v>
      </c>
      <c r="K70" s="58" t="s">
        <v>121</v>
      </c>
      <c r="L70" s="58" t="s">
        <v>197</v>
      </c>
      <c r="M70" s="58" t="s">
        <v>311</v>
      </c>
      <c r="N70" s="58" t="s">
        <v>122</v>
      </c>
      <c r="O70" s="58" t="s">
        <v>198</v>
      </c>
      <c r="P70" s="58" t="s">
        <v>312</v>
      </c>
      <c r="Q70" s="58" t="s">
        <v>124</v>
      </c>
      <c r="R70" s="58" t="s">
        <v>200</v>
      </c>
      <c r="S70" s="57" t="n">
        <f aca="false">IF(ISNUMBER(A70),YEAR(A70)+IF(MONTH(A70)&gt;=10,1,0),"")</f>
        <v>2024</v>
      </c>
      <c r="T70" s="57" t="n">
        <f aca="false">IF(ISNUMBER(A70),INT(MOD(MONTH(A70)-10,12)/3)+1,"")</f>
        <v>2</v>
      </c>
      <c r="U70" s="57" t="str">
        <f aca="false">IF(AND(I70&lt;&gt;"",D70&lt;&gt;"",OR(COUNTIFS(TransactionsData[Vendor ID],K70,TransactionsData[UEI],"&lt;&gt;"&amp;D70,TransactionsData[UEI],"?*")&gt;0,COUNTIFS(VendorGroups[Record ID],K70,VendorGroups[Source UEI],"&lt;&gt;"&amp;D70,VendorGroups[Source UEI],"?*")&gt;0)),"Conflicting vendor UEIs",IF(I70="",IF(COUNTA(A70,D70,F70:R70)&gt;0,"Missing transaction ID",""),IF(COUNTIFS(TransactionsData[Transaction ID],I70)&lt;&gt;1,"Duplicate transaction ID",IF(OR(NOT(ISNUMBER(A70)),A70&lt;1,A70&gt;DATE(2099,1,1)),"Use a valid date",IF(OR(A70&lt;$B$4,A70&gt;$D$4),"Outside coverage",IF(NOT(ISNUMBER(F70)),"Missing or invalid amount",IF(OR(K70="",L70="",N70=""),"Add vendor and office identities",IF(G70="Exclude",IF(OR(F70&lt;&gt;0,H70=""),"Review nonzero or unexplained exclusion",""),IF(G70&lt;&gt;"Include","Choose Include or Exclude",IF(COUNTIFS(AwardsData[Award ID],J70)&lt;&gt;1,"Award link needs review",IF(INDEX(AwardsData[Input check],MATCH(J70,AwardsData[Award ID],0))&lt;&gt;"","Check award inputs","")))))))))))</f>
        <v/>
      </c>
      <c r="V70" s="57" t="n">
        <f aca="false">IF(AND(I70&lt;&gt;"",U70="",G70="Include"),1,0)</f>
        <v>1</v>
      </c>
      <c r="W70" s="57" t="str">
        <f aca="false">IF(I70="","",IF(COUNTIFS(AwardsData[Award ID],J70)=1,INDEX(AwardsData[Current award type],MATCH(J70,AwardsData[Award ID],0)),"Unlinked"))</f>
        <v>BPA Call</v>
      </c>
      <c r="X70" s="57" t="str">
        <f aca="false">IF(I70="","",IF(COUNTIFS(AwardsData[Award ID],J70)=1,INDEX(AwardsData[Current set-aside],MATCH(J70,AwardsData[Award ID],0)),"Unlinked"))</f>
        <v>Total Small Business</v>
      </c>
      <c r="Y70" s="57" t="str">
        <f aca="false">IF(I70="","",IF(COUNTIFS(AwardsData[Award ID],J70)=1,INDEX(AwardsData[Performance state],MATCH(J70,AwardsData[Award ID],0)),"Unlinked"))</f>
        <v>Virginia</v>
      </c>
      <c r="Z70" s="57" t="n">
        <f aca="false">IF(AND(V70=1,OR(Dashboard!$AB$2="All",K70=Dashboard!$AB$2),OR(Dashboard!$AB$3="All",L70=Dashboard!$AB$3),OR(Dashboard!$N$10="All",W70=Dashboard!$N$10)),1,0)</f>
        <v>1</v>
      </c>
      <c r="AA70" s="57" t="n">
        <f aca="false">IF(AND(Z70=1,OR(Dashboard!$B$7="All",S70=Dashboard!$B$7)),1,0)</f>
        <v>0</v>
      </c>
      <c r="AB70" s="57" t="n">
        <f aca="false">IF(AND(V70=1,F70&lt;&gt;0),1,0)</f>
        <v>1</v>
      </c>
      <c r="AC70" s="57" t="n">
        <f aca="false">IF(AND(AA70=1,AB70=1),IF(COUNTIFS($J$17:J70,J70,$AA$17:AA70,1,$AB$17:AB70,1)=1,1,0),0)</f>
        <v>0</v>
      </c>
      <c r="AD70" s="57" t="n">
        <f aca="false">IF(AND(AA70=1,AB70=1),IF(COUNTIFS($K$17:K70,K70,$AA$17:AA70,1,$AB$17:AB70,1)=1,1,0),0)</f>
        <v>0</v>
      </c>
      <c r="AE70" s="57" t="n">
        <f aca="false">IF(AND(Z70=1,AB70=1),IF(COUNTIFS($J$17:J70,J70,$S$17:S70,S70,$Z$17:Z70,1,$AB$17:AB70,1)=1,1,0),0)</f>
        <v>0</v>
      </c>
      <c r="AF70" s="57" t="n">
        <f aca="false">IF(AND(Z70=1,AB70=1),IF(COUNTIFS($K$17:K70,K70,$S$17:S70,S70,$Z$17:Z70,1,$AB$17:AB70,1)=1,1,0),0)</f>
        <v>0</v>
      </c>
      <c r="AG70" s="57" t="n">
        <f aca="false">IF(AND(AA70=1,AB70=1),IF(COUNTIFS($J$17:J70,J70,$L$17:L70,L70,$AA$17:AA70,1,$AB$17:AB70,1)=1,1,0),0)</f>
        <v>0</v>
      </c>
      <c r="AH70" s="57" t="n">
        <f aca="false">IF(AND(AA70=1,AB70=1),IF(COUNTIFS($J$17:J70,J70,$K$17:K70,K70,$AA$17:AA70,1,$AB$17:AB70,1)=1,1,0),0)</f>
        <v>0</v>
      </c>
      <c r="AI70" s="56" t="n">
        <f aca="false">IF(V70=1,MAX(F70,0),0)</f>
        <v>163350.12</v>
      </c>
      <c r="AJ70" s="56" t="n">
        <f aca="false">IF(V70=1,MIN(F70,0),0)</f>
        <v>0</v>
      </c>
    </row>
    <row r="71" customFormat="false" ht="40" hidden="false" customHeight="true" outlineLevel="0" collapsed="false">
      <c r="A71" s="66" t="n">
        <v>45322</v>
      </c>
      <c r="B71" s="54" t="str">
        <f aca="false">IF(M71="","",IF(P71="",M71,HYPERLINK(P71,M71)))</f>
        <v>47QTCB21D0005-49100422F0014</v>
      </c>
      <c r="C71" s="54" t="str">
        <f aca="false">IF(N71="","",IF(Q71="",N71,HYPERLINK(Q71,N71)))</f>
        <v>GBS Dakota IT, LLC</v>
      </c>
      <c r="D71" s="60" t="s">
        <v>135</v>
      </c>
      <c r="E71" s="54" t="str">
        <f aca="false">IF(O71="","",IF(R71="",O71,HYPERLINK(R71,O71)))</f>
        <v>National Science Board</v>
      </c>
      <c r="F71" s="62" t="n">
        <v>15952.08</v>
      </c>
      <c r="G71" s="61" t="s">
        <v>464</v>
      </c>
      <c r="H71" s="58"/>
      <c r="I71" s="58" t="s">
        <v>522</v>
      </c>
      <c r="J71" s="58" t="s">
        <v>272</v>
      </c>
      <c r="K71" s="58" t="s">
        <v>133</v>
      </c>
      <c r="L71" s="58" t="s">
        <v>209</v>
      </c>
      <c r="M71" s="58" t="s">
        <v>273</v>
      </c>
      <c r="N71" s="58" t="s">
        <v>134</v>
      </c>
      <c r="O71" s="58" t="s">
        <v>210</v>
      </c>
      <c r="P71" s="58" t="s">
        <v>274</v>
      </c>
      <c r="Q71" s="58" t="s">
        <v>136</v>
      </c>
      <c r="R71" s="58" t="s">
        <v>212</v>
      </c>
      <c r="S71" s="57" t="n">
        <f aca="false">IF(ISNUMBER(A71),YEAR(A71)+IF(MONTH(A71)&gt;=10,1,0),"")</f>
        <v>2024</v>
      </c>
      <c r="T71" s="57" t="n">
        <f aca="false">IF(ISNUMBER(A71),INT(MOD(MONTH(A71)-10,12)/3)+1,"")</f>
        <v>2</v>
      </c>
      <c r="U71" s="57" t="str">
        <f aca="false">IF(AND(I71&lt;&gt;"",D71&lt;&gt;"",OR(COUNTIFS(TransactionsData[Vendor ID],K71,TransactionsData[UEI],"&lt;&gt;"&amp;D71,TransactionsData[UEI],"?*")&gt;0,COUNTIFS(VendorGroups[Record ID],K71,VendorGroups[Source UEI],"&lt;&gt;"&amp;D71,VendorGroups[Source UEI],"?*")&gt;0)),"Conflicting vendor UEIs",IF(I71="",IF(COUNTA(A71,D71,F71:R71)&gt;0,"Missing transaction ID",""),IF(COUNTIFS(TransactionsData[Transaction ID],I71)&lt;&gt;1,"Duplicate transaction ID",IF(OR(NOT(ISNUMBER(A71)),A71&lt;1,A71&gt;DATE(2099,1,1)),"Use a valid date",IF(OR(A71&lt;$B$4,A71&gt;$D$4),"Outside coverage",IF(NOT(ISNUMBER(F71)),"Missing or invalid amount",IF(OR(K71="",L71="",N71=""),"Add vendor and office identities",IF(G71="Exclude",IF(OR(F71&lt;&gt;0,H71=""),"Review nonzero or unexplained exclusion",""),IF(G71&lt;&gt;"Include","Choose Include or Exclude",IF(COUNTIFS(AwardsData[Award ID],J71)&lt;&gt;1,"Award link needs review",IF(INDEX(AwardsData[Input check],MATCH(J71,AwardsData[Award ID],0))&lt;&gt;"","Check award inputs","")))))))))))</f>
        <v/>
      </c>
      <c r="V71" s="57" t="n">
        <f aca="false">IF(AND(I71&lt;&gt;"",U71="",G71="Include"),1,0)</f>
        <v>1</v>
      </c>
      <c r="W71" s="57" t="str">
        <f aca="false">IF(I71="","",IF(COUNTIFS(AwardsData[Award ID],J71)=1,INDEX(AwardsData[Current award type],MATCH(J71,AwardsData[Award ID],0)),"Unlinked"))</f>
        <v>Delivery Order</v>
      </c>
      <c r="X71" s="57" t="str">
        <f aca="false">IF(I71="","",IF(COUNTIFS(AwardsData[Award ID],J71)=1,INDEX(AwardsData[Current set-aside],MATCH(J71,AwardsData[Award ID],0)),"Unlinked"))</f>
        <v>No Set-Aside Used</v>
      </c>
      <c r="Y71" s="57" t="str">
        <f aca="false">IF(I71="","",IF(COUNTIFS(AwardsData[Award ID],J71)=1,INDEX(AwardsData[Performance state],MATCH(J71,AwardsData[Award ID],0)),"Unlinked"))</f>
        <v>Virginia</v>
      </c>
      <c r="Z71" s="57" t="n">
        <f aca="false">IF(AND(V71=1,OR(Dashboard!$AB$2="All",K71=Dashboard!$AB$2),OR(Dashboard!$AB$3="All",L71=Dashboard!$AB$3),OR(Dashboard!$N$10="All",W71=Dashboard!$N$10)),1,0)</f>
        <v>1</v>
      </c>
      <c r="AA71" s="57" t="n">
        <f aca="false">IF(AND(Z71=1,OR(Dashboard!$B$7="All",S71=Dashboard!$B$7)),1,0)</f>
        <v>0</v>
      </c>
      <c r="AB71" s="57" t="n">
        <f aca="false">IF(AND(V71=1,F71&lt;&gt;0),1,0)</f>
        <v>1</v>
      </c>
      <c r="AC71" s="57" t="n">
        <f aca="false">IF(AND(AA71=1,AB71=1),IF(COUNTIFS($J$17:J71,J71,$AA$17:AA71,1,$AB$17:AB71,1)=1,1,0),0)</f>
        <v>0</v>
      </c>
      <c r="AD71" s="57" t="n">
        <f aca="false">IF(AND(AA71=1,AB71=1),IF(COUNTIFS($K$17:K71,K71,$AA$17:AA71,1,$AB$17:AB71,1)=1,1,0),0)</f>
        <v>0</v>
      </c>
      <c r="AE71" s="57" t="n">
        <f aca="false">IF(AND(Z71=1,AB71=1),IF(COUNTIFS($J$17:J71,J71,$S$17:S71,S71,$Z$17:Z71,1,$AB$17:AB71,1)=1,1,0),0)</f>
        <v>1</v>
      </c>
      <c r="AF71" s="57" t="n">
        <f aca="false">IF(AND(Z71=1,AB71=1),IF(COUNTIFS($K$17:K71,K71,$S$17:S71,S71,$Z$17:Z71,1,$AB$17:AB71,1)=1,1,0),0)</f>
        <v>0</v>
      </c>
      <c r="AG71" s="57" t="n">
        <f aca="false">IF(AND(AA71=1,AB71=1),IF(COUNTIFS($J$17:J71,J71,$L$17:L71,L71,$AA$17:AA71,1,$AB$17:AB71,1)=1,1,0),0)</f>
        <v>0</v>
      </c>
      <c r="AH71" s="57" t="n">
        <f aca="false">IF(AND(AA71=1,AB71=1),IF(COUNTIFS($J$17:J71,J71,$K$17:K71,K71,$AA$17:AA71,1,$AB$17:AB71,1)=1,1,0),0)</f>
        <v>0</v>
      </c>
      <c r="AI71" s="56" t="n">
        <f aca="false">IF(V71=1,MAX(F71,0),0)</f>
        <v>15952.08</v>
      </c>
      <c r="AJ71" s="56" t="n">
        <f aca="false">IF(V71=1,MIN(F71,0),0)</f>
        <v>0</v>
      </c>
    </row>
    <row r="72" customFormat="false" ht="40" hidden="false" customHeight="true" outlineLevel="0" collapsed="false">
      <c r="A72" s="66" t="n">
        <v>45329</v>
      </c>
      <c r="B72" s="54" t="str">
        <f aca="false">IF(M72="","",IF(P72="",M72,HYPERLINK(P72,M72)))</f>
        <v>49100424A0001-49100424F0030</v>
      </c>
      <c r="C72" s="54" t="str">
        <f aca="false">IF(N72="","",IF(Q72="",N72,HYPERLINK(Q72,N72)))</f>
        <v>Spatial Front Inc.</v>
      </c>
      <c r="D72" s="60" t="s">
        <v>166</v>
      </c>
      <c r="E72" s="54" t="str">
        <f aca="false">IF(O72="","",IF(R72="",O72,HYPERLINK(R72,O72)))</f>
        <v>Division of Information Systems</v>
      </c>
      <c r="F72" s="62" t="n">
        <v>868898.4</v>
      </c>
      <c r="G72" s="61" t="s">
        <v>464</v>
      </c>
      <c r="H72" s="58"/>
      <c r="I72" s="58" t="s">
        <v>523</v>
      </c>
      <c r="J72" s="58" t="s">
        <v>364</v>
      </c>
      <c r="K72" s="58" t="s">
        <v>164</v>
      </c>
      <c r="L72" s="58" t="s">
        <v>197</v>
      </c>
      <c r="M72" s="58" t="s">
        <v>365</v>
      </c>
      <c r="N72" s="58" t="s">
        <v>165</v>
      </c>
      <c r="O72" s="58" t="s">
        <v>198</v>
      </c>
      <c r="P72" s="58" t="s">
        <v>366</v>
      </c>
      <c r="Q72" s="58" t="s">
        <v>167</v>
      </c>
      <c r="R72" s="58" t="s">
        <v>200</v>
      </c>
      <c r="S72" s="57" t="n">
        <f aca="false">IF(ISNUMBER(A72),YEAR(A72)+IF(MONTH(A72)&gt;=10,1,0),"")</f>
        <v>2024</v>
      </c>
      <c r="T72" s="57" t="n">
        <f aca="false">IF(ISNUMBER(A72),INT(MOD(MONTH(A72)-10,12)/3)+1,"")</f>
        <v>2</v>
      </c>
      <c r="U72" s="57" t="str">
        <f aca="false">IF(AND(I72&lt;&gt;"",D72&lt;&gt;"",OR(COUNTIFS(TransactionsData[Vendor ID],K72,TransactionsData[UEI],"&lt;&gt;"&amp;D72,TransactionsData[UEI],"?*")&gt;0,COUNTIFS(VendorGroups[Record ID],K72,VendorGroups[Source UEI],"&lt;&gt;"&amp;D72,VendorGroups[Source UEI],"?*")&gt;0)),"Conflicting vendor UEIs",IF(I72="",IF(COUNTA(A72,D72,F72:R72)&gt;0,"Missing transaction ID",""),IF(COUNTIFS(TransactionsData[Transaction ID],I72)&lt;&gt;1,"Duplicate transaction ID",IF(OR(NOT(ISNUMBER(A72)),A72&lt;1,A72&gt;DATE(2099,1,1)),"Use a valid date",IF(OR(A72&lt;$B$4,A72&gt;$D$4),"Outside coverage",IF(NOT(ISNUMBER(F72)),"Missing or invalid amount",IF(OR(K72="",L72="",N72=""),"Add vendor and office identities",IF(G72="Exclude",IF(OR(F72&lt;&gt;0,H72=""),"Review nonzero or unexplained exclusion",""),IF(G72&lt;&gt;"Include","Choose Include or Exclude",IF(COUNTIFS(AwardsData[Award ID],J72)&lt;&gt;1,"Award link needs review",IF(INDEX(AwardsData[Input check],MATCH(J72,AwardsData[Award ID],0))&lt;&gt;"","Check award inputs","")))))))))))</f>
        <v/>
      </c>
      <c r="V72" s="57" t="n">
        <f aca="false">IF(AND(I72&lt;&gt;"",U72="",G72="Include"),1,0)</f>
        <v>1</v>
      </c>
      <c r="W72" s="57" t="str">
        <f aca="false">IF(I72="","",IF(COUNTIFS(AwardsData[Award ID],J72)=1,INDEX(AwardsData[Current award type],MATCH(J72,AwardsData[Award ID],0)),"Unlinked"))</f>
        <v>BPA Call</v>
      </c>
      <c r="X72" s="57" t="str">
        <f aca="false">IF(I72="","",IF(COUNTIFS(AwardsData[Award ID],J72)=1,INDEX(AwardsData[Current set-aside],MATCH(J72,AwardsData[Award ID],0)),"Unlinked"))</f>
        <v>No Set-Aside Used</v>
      </c>
      <c r="Y72" s="57" t="str">
        <f aca="false">IF(I72="","",IF(COUNTIFS(AwardsData[Award ID],J72)=1,INDEX(AwardsData[Performance state],MATCH(J72,AwardsData[Award ID],0)),"Unlinked"))</f>
        <v>Virginia</v>
      </c>
      <c r="Z72" s="57" t="n">
        <f aca="false">IF(AND(V72=1,OR(Dashboard!$AB$2="All",K72=Dashboard!$AB$2),OR(Dashboard!$AB$3="All",L72=Dashboard!$AB$3),OR(Dashboard!$N$10="All",W72=Dashboard!$N$10)),1,0)</f>
        <v>1</v>
      </c>
      <c r="AA72" s="57" t="n">
        <f aca="false">IF(AND(Z72=1,OR(Dashboard!$B$7="All",S72=Dashboard!$B$7)),1,0)</f>
        <v>0</v>
      </c>
      <c r="AB72" s="57" t="n">
        <f aca="false">IF(AND(V72=1,F72&lt;&gt;0),1,0)</f>
        <v>1</v>
      </c>
      <c r="AC72" s="57" t="n">
        <f aca="false">IF(AND(AA72=1,AB72=1),IF(COUNTIFS($J$17:J72,J72,$AA$17:AA72,1,$AB$17:AB72,1)=1,1,0),0)</f>
        <v>0</v>
      </c>
      <c r="AD72" s="57" t="n">
        <f aca="false">IF(AND(AA72=1,AB72=1),IF(COUNTIFS($K$17:K72,K72,$AA$17:AA72,1,$AB$17:AB72,1)=1,1,0),0)</f>
        <v>0</v>
      </c>
      <c r="AE72" s="57" t="n">
        <f aca="false">IF(AND(Z72=1,AB72=1),IF(COUNTIFS($J$17:J72,J72,$S$17:S72,S72,$Z$17:Z72,1,$AB$17:AB72,1)=1,1,0),0)</f>
        <v>1</v>
      </c>
      <c r="AF72" s="57" t="n">
        <f aca="false">IF(AND(Z72=1,AB72=1),IF(COUNTIFS($K$17:K72,K72,$S$17:S72,S72,$Z$17:Z72,1,$AB$17:AB72,1)=1,1,0),0)</f>
        <v>1</v>
      </c>
      <c r="AG72" s="57" t="n">
        <f aca="false">IF(AND(AA72=1,AB72=1),IF(COUNTIFS($J$17:J72,J72,$L$17:L72,L72,$AA$17:AA72,1,$AB$17:AB72,1)=1,1,0),0)</f>
        <v>0</v>
      </c>
      <c r="AH72" s="57" t="n">
        <f aca="false">IF(AND(AA72=1,AB72=1),IF(COUNTIFS($J$17:J72,J72,$K$17:K72,K72,$AA$17:AA72,1,$AB$17:AB72,1)=1,1,0),0)</f>
        <v>0</v>
      </c>
      <c r="AI72" s="56" t="n">
        <f aca="false">IF(V72=1,MAX(F72,0),0)</f>
        <v>868898.4</v>
      </c>
      <c r="AJ72" s="56" t="n">
        <f aca="false">IF(V72=1,MIN(F72,0),0)</f>
        <v>0</v>
      </c>
    </row>
    <row r="73" customFormat="false" ht="40" hidden="false" customHeight="true" outlineLevel="0" collapsed="false">
      <c r="A73" s="66" t="n">
        <v>45338</v>
      </c>
      <c r="B73" s="54" t="str">
        <f aca="false">IF(M73="","",IF(P73="",M73,HYPERLINK(P73,M73)))</f>
        <v>49100424A0001-49100424F0030</v>
      </c>
      <c r="C73" s="54" t="str">
        <f aca="false">IF(N73="","",IF(Q73="",N73,HYPERLINK(Q73,N73)))</f>
        <v>Spatial Front Inc.</v>
      </c>
      <c r="D73" s="60" t="s">
        <v>166</v>
      </c>
      <c r="E73" s="54" t="str">
        <f aca="false">IF(O73="","",IF(R73="",O73,HYPERLINK(R73,O73)))</f>
        <v>Division of Information Systems</v>
      </c>
      <c r="F73" s="62" t="n">
        <v>46551.52</v>
      </c>
      <c r="G73" s="61" t="s">
        <v>464</v>
      </c>
      <c r="H73" s="58"/>
      <c r="I73" s="58" t="s">
        <v>524</v>
      </c>
      <c r="J73" s="58" t="s">
        <v>364</v>
      </c>
      <c r="K73" s="58" t="s">
        <v>164</v>
      </c>
      <c r="L73" s="58" t="s">
        <v>197</v>
      </c>
      <c r="M73" s="58" t="s">
        <v>365</v>
      </c>
      <c r="N73" s="58" t="s">
        <v>165</v>
      </c>
      <c r="O73" s="58" t="s">
        <v>198</v>
      </c>
      <c r="P73" s="58" t="s">
        <v>366</v>
      </c>
      <c r="Q73" s="58" t="s">
        <v>167</v>
      </c>
      <c r="R73" s="58" t="s">
        <v>200</v>
      </c>
      <c r="S73" s="57" t="n">
        <f aca="false">IF(ISNUMBER(A73),YEAR(A73)+IF(MONTH(A73)&gt;=10,1,0),"")</f>
        <v>2024</v>
      </c>
      <c r="T73" s="57" t="n">
        <f aca="false">IF(ISNUMBER(A73),INT(MOD(MONTH(A73)-10,12)/3)+1,"")</f>
        <v>2</v>
      </c>
      <c r="U73" s="57" t="str">
        <f aca="false">IF(AND(I73&lt;&gt;"",D73&lt;&gt;"",OR(COUNTIFS(TransactionsData[Vendor ID],K73,TransactionsData[UEI],"&lt;&gt;"&amp;D73,TransactionsData[UEI],"?*")&gt;0,COUNTIFS(VendorGroups[Record ID],K73,VendorGroups[Source UEI],"&lt;&gt;"&amp;D73,VendorGroups[Source UEI],"?*")&gt;0)),"Conflicting vendor UEIs",IF(I73="",IF(COUNTA(A73,D73,F73:R73)&gt;0,"Missing transaction ID",""),IF(COUNTIFS(TransactionsData[Transaction ID],I73)&lt;&gt;1,"Duplicate transaction ID",IF(OR(NOT(ISNUMBER(A73)),A73&lt;1,A73&gt;DATE(2099,1,1)),"Use a valid date",IF(OR(A73&lt;$B$4,A73&gt;$D$4),"Outside coverage",IF(NOT(ISNUMBER(F73)),"Missing or invalid amount",IF(OR(K73="",L73="",N73=""),"Add vendor and office identities",IF(G73="Exclude",IF(OR(F73&lt;&gt;0,H73=""),"Review nonzero or unexplained exclusion",""),IF(G73&lt;&gt;"Include","Choose Include or Exclude",IF(COUNTIFS(AwardsData[Award ID],J73)&lt;&gt;1,"Award link needs review",IF(INDEX(AwardsData[Input check],MATCH(J73,AwardsData[Award ID],0))&lt;&gt;"","Check award inputs","")))))))))))</f>
        <v/>
      </c>
      <c r="V73" s="57" t="n">
        <f aca="false">IF(AND(I73&lt;&gt;"",U73="",G73="Include"),1,0)</f>
        <v>1</v>
      </c>
      <c r="W73" s="57" t="str">
        <f aca="false">IF(I73="","",IF(COUNTIFS(AwardsData[Award ID],J73)=1,INDEX(AwardsData[Current award type],MATCH(J73,AwardsData[Award ID],0)),"Unlinked"))</f>
        <v>BPA Call</v>
      </c>
      <c r="X73" s="57" t="str">
        <f aca="false">IF(I73="","",IF(COUNTIFS(AwardsData[Award ID],J73)=1,INDEX(AwardsData[Current set-aside],MATCH(J73,AwardsData[Award ID],0)),"Unlinked"))</f>
        <v>No Set-Aside Used</v>
      </c>
      <c r="Y73" s="57" t="str">
        <f aca="false">IF(I73="","",IF(COUNTIFS(AwardsData[Award ID],J73)=1,INDEX(AwardsData[Performance state],MATCH(J73,AwardsData[Award ID],0)),"Unlinked"))</f>
        <v>Virginia</v>
      </c>
      <c r="Z73" s="57" t="n">
        <f aca="false">IF(AND(V73=1,OR(Dashboard!$AB$2="All",K73=Dashboard!$AB$2),OR(Dashboard!$AB$3="All",L73=Dashboard!$AB$3),OR(Dashboard!$N$10="All",W73=Dashboard!$N$10)),1,0)</f>
        <v>1</v>
      </c>
      <c r="AA73" s="57" t="n">
        <f aca="false">IF(AND(Z73=1,OR(Dashboard!$B$7="All",S73=Dashboard!$B$7)),1,0)</f>
        <v>0</v>
      </c>
      <c r="AB73" s="57" t="n">
        <f aca="false">IF(AND(V73=1,F73&lt;&gt;0),1,0)</f>
        <v>1</v>
      </c>
      <c r="AC73" s="57" t="n">
        <f aca="false">IF(AND(AA73=1,AB73=1),IF(COUNTIFS($J$17:J73,J73,$AA$17:AA73,1,$AB$17:AB73,1)=1,1,0),0)</f>
        <v>0</v>
      </c>
      <c r="AD73" s="57" t="n">
        <f aca="false">IF(AND(AA73=1,AB73=1),IF(COUNTIFS($K$17:K73,K73,$AA$17:AA73,1,$AB$17:AB73,1)=1,1,0),0)</f>
        <v>0</v>
      </c>
      <c r="AE73" s="57" t="n">
        <f aca="false">IF(AND(Z73=1,AB73=1),IF(COUNTIFS($J$17:J73,J73,$S$17:S73,S73,$Z$17:Z73,1,$AB$17:AB73,1)=1,1,0),0)</f>
        <v>0</v>
      </c>
      <c r="AF73" s="57" t="n">
        <f aca="false">IF(AND(Z73=1,AB73=1),IF(COUNTIFS($K$17:K73,K73,$S$17:S73,S73,$Z$17:Z73,1,$AB$17:AB73,1)=1,1,0),0)</f>
        <v>0</v>
      </c>
      <c r="AG73" s="57" t="n">
        <f aca="false">IF(AND(AA73=1,AB73=1),IF(COUNTIFS($J$17:J73,J73,$L$17:L73,L73,$AA$17:AA73,1,$AB$17:AB73,1)=1,1,0),0)</f>
        <v>0</v>
      </c>
      <c r="AH73" s="57" t="n">
        <f aca="false">IF(AND(AA73=1,AB73=1),IF(COUNTIFS($J$17:J73,J73,$K$17:K73,K73,$AA$17:AA73,1,$AB$17:AB73,1)=1,1,0),0)</f>
        <v>0</v>
      </c>
      <c r="AI73" s="56" t="n">
        <f aca="false">IF(V73=1,MAX(F73,0),0)</f>
        <v>46551.52</v>
      </c>
      <c r="AJ73" s="56" t="n">
        <f aca="false">IF(V73=1,MIN(F73,0),0)</f>
        <v>0</v>
      </c>
    </row>
    <row r="74" customFormat="false" ht="40" hidden="false" customHeight="true" outlineLevel="0" collapsed="false">
      <c r="A74" s="66" t="n">
        <v>45344</v>
      </c>
      <c r="B74" s="54" t="str">
        <f aca="false">IF(M74="","",IF(P74="",M74,HYPERLINK(P74,M74)))</f>
        <v>47QTCA19D00GN-49100421F0206</v>
      </c>
      <c r="C74" s="54" t="str">
        <f aca="false">IF(N74="","",IF(Q74="",N74,HYPERLINK(Q74,N74)))</f>
        <v>Lynker Corporation</v>
      </c>
      <c r="D74" s="60" t="s">
        <v>147</v>
      </c>
      <c r="E74" s="54" t="str">
        <f aca="false">IF(O74="","",IF(R74="",O74,HYPERLINK(R74,O74)))</f>
        <v>Division of Social and Economic Science</v>
      </c>
      <c r="F74" s="62" t="n">
        <v>2820000</v>
      </c>
      <c r="G74" s="61" t="s">
        <v>464</v>
      </c>
      <c r="H74" s="58"/>
      <c r="I74" s="58" t="s">
        <v>525</v>
      </c>
      <c r="J74" s="58" t="s">
        <v>260</v>
      </c>
      <c r="K74" s="58" t="s">
        <v>145</v>
      </c>
      <c r="L74" s="58" t="s">
        <v>201</v>
      </c>
      <c r="M74" s="58" t="s">
        <v>261</v>
      </c>
      <c r="N74" s="58" t="s">
        <v>146</v>
      </c>
      <c r="O74" s="58" t="s">
        <v>202</v>
      </c>
      <c r="P74" s="58" t="s">
        <v>262</v>
      </c>
      <c r="Q74" s="58" t="s">
        <v>148</v>
      </c>
      <c r="R74" s="58" t="s">
        <v>204</v>
      </c>
      <c r="S74" s="57" t="n">
        <f aca="false">IF(ISNUMBER(A74),YEAR(A74)+IF(MONTH(A74)&gt;=10,1,0),"")</f>
        <v>2024</v>
      </c>
      <c r="T74" s="57" t="n">
        <f aca="false">IF(ISNUMBER(A74),INT(MOD(MONTH(A74)-10,12)/3)+1,"")</f>
        <v>2</v>
      </c>
      <c r="U74" s="57" t="str">
        <f aca="false">IF(AND(I74&lt;&gt;"",D74&lt;&gt;"",OR(COUNTIFS(TransactionsData[Vendor ID],K74,TransactionsData[UEI],"&lt;&gt;"&amp;D74,TransactionsData[UEI],"?*")&gt;0,COUNTIFS(VendorGroups[Record ID],K74,VendorGroups[Source UEI],"&lt;&gt;"&amp;D74,VendorGroups[Source UEI],"?*")&gt;0)),"Conflicting vendor UEIs",IF(I74="",IF(COUNTA(A74,D74,F74:R74)&gt;0,"Missing transaction ID",""),IF(COUNTIFS(TransactionsData[Transaction ID],I74)&lt;&gt;1,"Duplicate transaction ID",IF(OR(NOT(ISNUMBER(A74)),A74&lt;1,A74&gt;DATE(2099,1,1)),"Use a valid date",IF(OR(A74&lt;$B$4,A74&gt;$D$4),"Outside coverage",IF(NOT(ISNUMBER(F74)),"Missing or invalid amount",IF(OR(K74="",L74="",N74=""),"Add vendor and office identities",IF(G74="Exclude",IF(OR(F74&lt;&gt;0,H74=""),"Review nonzero or unexplained exclusion",""),IF(G74&lt;&gt;"Include","Choose Include or Exclude",IF(COUNTIFS(AwardsData[Award ID],J74)&lt;&gt;1,"Award link needs review",IF(INDEX(AwardsData[Input check],MATCH(J74,AwardsData[Award ID],0))&lt;&gt;"","Check award inputs","")))))))))))</f>
        <v/>
      </c>
      <c r="V74" s="57" t="n">
        <f aca="false">IF(AND(I74&lt;&gt;"",U74="",G74="Include"),1,0)</f>
        <v>1</v>
      </c>
      <c r="W74" s="57" t="str">
        <f aca="false">IF(I74="","",IF(COUNTIFS(AwardsData[Award ID],J74)=1,INDEX(AwardsData[Current award type],MATCH(J74,AwardsData[Award ID],0)),"Unlinked"))</f>
        <v>Delivery Order</v>
      </c>
      <c r="X74" s="57" t="str">
        <f aca="false">IF(I74="","",IF(COUNTIFS(AwardsData[Award ID],J74)=1,INDEX(AwardsData[Current set-aside],MATCH(J74,AwardsData[Award ID],0)),"Unlinked"))</f>
        <v>No Set-Aside Used</v>
      </c>
      <c r="Y74" s="57" t="str">
        <f aca="false">IF(I74="","",IF(COUNTIFS(AwardsData[Award ID],J74)=1,INDEX(AwardsData[Performance state],MATCH(J74,AwardsData[Award ID],0)),"Unlinked"))</f>
        <v>Virginia</v>
      </c>
      <c r="Z74" s="57" t="n">
        <f aca="false">IF(AND(V74=1,OR(Dashboard!$AB$2="All",K74=Dashboard!$AB$2),OR(Dashboard!$AB$3="All",L74=Dashboard!$AB$3),OR(Dashboard!$N$10="All",W74=Dashboard!$N$10)),1,0)</f>
        <v>1</v>
      </c>
      <c r="AA74" s="57" t="n">
        <f aca="false">IF(AND(Z74=1,OR(Dashboard!$B$7="All",S74=Dashboard!$B$7)),1,0)</f>
        <v>0</v>
      </c>
      <c r="AB74" s="57" t="n">
        <f aca="false">IF(AND(V74=1,F74&lt;&gt;0),1,0)</f>
        <v>1</v>
      </c>
      <c r="AC74" s="57" t="n">
        <f aca="false">IF(AND(AA74=1,AB74=1),IF(COUNTIFS($J$17:J74,J74,$AA$17:AA74,1,$AB$17:AB74,1)=1,1,0),0)</f>
        <v>0</v>
      </c>
      <c r="AD74" s="57" t="n">
        <f aca="false">IF(AND(AA74=1,AB74=1),IF(COUNTIFS($K$17:K74,K74,$AA$17:AA74,1,$AB$17:AB74,1)=1,1,0),0)</f>
        <v>0</v>
      </c>
      <c r="AE74" s="57" t="n">
        <f aca="false">IF(AND(Z74=1,AB74=1),IF(COUNTIFS($J$17:J74,J74,$S$17:S74,S74,$Z$17:Z74,1,$AB$17:AB74,1)=1,1,0),0)</f>
        <v>0</v>
      </c>
      <c r="AF74" s="57" t="n">
        <f aca="false">IF(AND(Z74=1,AB74=1),IF(COUNTIFS($K$17:K74,K74,$S$17:S74,S74,$Z$17:Z74,1,$AB$17:AB74,1)=1,1,0),0)</f>
        <v>0</v>
      </c>
      <c r="AG74" s="57" t="n">
        <f aca="false">IF(AND(AA74=1,AB74=1),IF(COUNTIFS($J$17:J74,J74,$L$17:L74,L74,$AA$17:AA74,1,$AB$17:AB74,1)=1,1,0),0)</f>
        <v>0</v>
      </c>
      <c r="AH74" s="57" t="n">
        <f aca="false">IF(AND(AA74=1,AB74=1),IF(COUNTIFS($J$17:J74,J74,$K$17:K74,K74,$AA$17:AA74,1,$AB$17:AB74,1)=1,1,0),0)</f>
        <v>0</v>
      </c>
      <c r="AI74" s="56" t="n">
        <f aca="false">IF(V74=1,MAX(F74,0),0)</f>
        <v>2820000</v>
      </c>
      <c r="AJ74" s="56" t="n">
        <f aca="false">IF(V74=1,MIN(F74,0),0)</f>
        <v>0</v>
      </c>
    </row>
    <row r="75" customFormat="false" ht="40" hidden="false" customHeight="true" outlineLevel="0" collapsed="false">
      <c r="A75" s="66" t="n">
        <v>45349</v>
      </c>
      <c r="B75" s="54" t="str">
        <f aca="false">IF(M75="","",IF(P75="",M75,HYPERLINK(P75,M75)))</f>
        <v>NNG15SD26B-49100424F0041</v>
      </c>
      <c r="C75" s="54" t="str">
        <f aca="false">IF(N75="","",IF(Q75="",N75,HYPERLINK(Q75,N75)))</f>
        <v>Thundercat Technology, LLC</v>
      </c>
      <c r="D75" s="60" t="s">
        <v>174</v>
      </c>
      <c r="E75" s="54" t="str">
        <f aca="false">IF(O75="","",IF(R75="",O75,HYPERLINK(R75,O75)))</f>
        <v>Division of Information Systems</v>
      </c>
      <c r="F75" s="62" t="n">
        <v>732838</v>
      </c>
      <c r="G75" s="61" t="s">
        <v>464</v>
      </c>
      <c r="H75" s="58"/>
      <c r="I75" s="58" t="s">
        <v>526</v>
      </c>
      <c r="J75" s="58" t="s">
        <v>422</v>
      </c>
      <c r="K75" s="58" t="s">
        <v>172</v>
      </c>
      <c r="L75" s="58" t="s">
        <v>197</v>
      </c>
      <c r="M75" s="58" t="s">
        <v>423</v>
      </c>
      <c r="N75" s="58" t="s">
        <v>173</v>
      </c>
      <c r="O75" s="58" t="s">
        <v>198</v>
      </c>
      <c r="P75" s="58" t="s">
        <v>424</v>
      </c>
      <c r="Q75" s="58" t="s">
        <v>175</v>
      </c>
      <c r="R75" s="58" t="s">
        <v>200</v>
      </c>
      <c r="S75" s="57" t="n">
        <f aca="false">IF(ISNUMBER(A75),YEAR(A75)+IF(MONTH(A75)&gt;=10,1,0),"")</f>
        <v>2024</v>
      </c>
      <c r="T75" s="57" t="n">
        <f aca="false">IF(ISNUMBER(A75),INT(MOD(MONTH(A75)-10,12)/3)+1,"")</f>
        <v>2</v>
      </c>
      <c r="U75" s="57" t="str">
        <f aca="false">IF(AND(I75&lt;&gt;"",D75&lt;&gt;"",OR(COUNTIFS(TransactionsData[Vendor ID],K75,TransactionsData[UEI],"&lt;&gt;"&amp;D75,TransactionsData[UEI],"?*")&gt;0,COUNTIFS(VendorGroups[Record ID],K75,VendorGroups[Source UEI],"&lt;&gt;"&amp;D75,VendorGroups[Source UEI],"?*")&gt;0)),"Conflicting vendor UEIs",IF(I75="",IF(COUNTA(A75,D75,F75:R75)&gt;0,"Missing transaction ID",""),IF(COUNTIFS(TransactionsData[Transaction ID],I75)&lt;&gt;1,"Duplicate transaction ID",IF(OR(NOT(ISNUMBER(A75)),A75&lt;1,A75&gt;DATE(2099,1,1)),"Use a valid date",IF(OR(A75&lt;$B$4,A75&gt;$D$4),"Outside coverage",IF(NOT(ISNUMBER(F75)),"Missing or invalid amount",IF(OR(K75="",L75="",N75=""),"Add vendor and office identities",IF(G75="Exclude",IF(OR(F75&lt;&gt;0,H75=""),"Review nonzero or unexplained exclusion",""),IF(G75&lt;&gt;"Include","Choose Include or Exclude",IF(COUNTIFS(AwardsData[Award ID],J75)&lt;&gt;1,"Award link needs review",IF(INDEX(AwardsData[Input check],MATCH(J75,AwardsData[Award ID],0))&lt;&gt;"","Check award inputs","")))))))))))</f>
        <v/>
      </c>
      <c r="V75" s="57" t="n">
        <f aca="false">IF(AND(I75&lt;&gt;"",U75="",G75="Include"),1,0)</f>
        <v>1</v>
      </c>
      <c r="W75" s="57" t="str">
        <f aca="false">IF(I75="","",IF(COUNTIFS(AwardsData[Award ID],J75)=1,INDEX(AwardsData[Current award type],MATCH(J75,AwardsData[Award ID],0)),"Unlinked"))</f>
        <v>Delivery Order</v>
      </c>
      <c r="X75" s="57" t="str">
        <f aca="false">IF(I75="","",IF(COUNTIFS(AwardsData[Award ID],J75)=1,INDEX(AwardsData[Current set-aside],MATCH(J75,AwardsData[Award ID],0)),"Unlinked"))</f>
        <v>No Set-Aside Used</v>
      </c>
      <c r="Y75" s="57" t="str">
        <f aca="false">IF(I75="","",IF(COUNTIFS(AwardsData[Award ID],J75)=1,INDEX(AwardsData[Performance state],MATCH(J75,AwardsData[Award ID],0)),"Unlinked"))</f>
        <v>Virginia</v>
      </c>
      <c r="Z75" s="57" t="n">
        <f aca="false">IF(AND(V75=1,OR(Dashboard!$AB$2="All",K75=Dashboard!$AB$2),OR(Dashboard!$AB$3="All",L75=Dashboard!$AB$3),OR(Dashboard!$N$10="All",W75=Dashboard!$N$10)),1,0)</f>
        <v>1</v>
      </c>
      <c r="AA75" s="57" t="n">
        <f aca="false">IF(AND(Z75=1,OR(Dashboard!$B$7="All",S75=Dashboard!$B$7)),1,0)</f>
        <v>0</v>
      </c>
      <c r="AB75" s="57" t="n">
        <f aca="false">IF(AND(V75=1,F75&lt;&gt;0),1,0)</f>
        <v>1</v>
      </c>
      <c r="AC75" s="57" t="n">
        <f aca="false">IF(AND(AA75=1,AB75=1),IF(COUNTIFS($J$17:J75,J75,$AA$17:AA75,1,$AB$17:AB75,1)=1,1,0),0)</f>
        <v>0</v>
      </c>
      <c r="AD75" s="57" t="n">
        <f aca="false">IF(AND(AA75=1,AB75=1),IF(COUNTIFS($K$17:K75,K75,$AA$17:AA75,1,$AB$17:AB75,1)=1,1,0),0)</f>
        <v>0</v>
      </c>
      <c r="AE75" s="57" t="n">
        <f aca="false">IF(AND(Z75=1,AB75=1),IF(COUNTIFS($J$17:J75,J75,$S$17:S75,S75,$Z$17:Z75,1,$AB$17:AB75,1)=1,1,0),0)</f>
        <v>1</v>
      </c>
      <c r="AF75" s="57" t="n">
        <f aca="false">IF(AND(Z75=1,AB75=1),IF(COUNTIFS($K$17:K75,K75,$S$17:S75,S75,$Z$17:Z75,1,$AB$17:AB75,1)=1,1,0),0)</f>
        <v>1</v>
      </c>
      <c r="AG75" s="57" t="n">
        <f aca="false">IF(AND(AA75=1,AB75=1),IF(COUNTIFS($J$17:J75,J75,$L$17:L75,L75,$AA$17:AA75,1,$AB$17:AB75,1)=1,1,0),0)</f>
        <v>0</v>
      </c>
      <c r="AH75" s="57" t="n">
        <f aca="false">IF(AND(AA75=1,AB75=1),IF(COUNTIFS($J$17:J75,J75,$K$17:K75,K75,$AA$17:AA75,1,$AB$17:AB75,1)=1,1,0),0)</f>
        <v>0</v>
      </c>
      <c r="AI75" s="56" t="n">
        <f aca="false">IF(V75=1,MAX(F75,0),0)</f>
        <v>732838</v>
      </c>
      <c r="AJ75" s="56" t="n">
        <f aca="false">IF(V75=1,MIN(F75,0),0)</f>
        <v>0</v>
      </c>
    </row>
    <row r="76" customFormat="false" ht="40" hidden="false" customHeight="true" outlineLevel="0" collapsed="false">
      <c r="A76" s="66" t="n">
        <v>45359</v>
      </c>
      <c r="B76" s="54" t="str">
        <f aca="false">IF(M76="","",IF(P76="",M76,HYPERLINK(P76,M76)))</f>
        <v>47QTCB21D0016-49100424F0029</v>
      </c>
      <c r="C76" s="54" t="str">
        <f aca="false">IF(N76="","",IF(Q76="",N76,HYPERLINK(Q76,N76)))</f>
        <v>Professional Management Consulting Services LLC</v>
      </c>
      <c r="D76" s="60" t="s">
        <v>154</v>
      </c>
      <c r="E76" s="54" t="str">
        <f aca="false">IF(O76="","",IF(R76="",O76,HYPERLINK(R76,O76)))</f>
        <v>Directorate of Geosciences</v>
      </c>
      <c r="F76" s="62" t="n">
        <v>528952.14</v>
      </c>
      <c r="G76" s="61" t="s">
        <v>464</v>
      </c>
      <c r="H76" s="58"/>
      <c r="I76" s="58" t="s">
        <v>527</v>
      </c>
      <c r="J76" s="58" t="s">
        <v>284</v>
      </c>
      <c r="K76" s="58" t="s">
        <v>152</v>
      </c>
      <c r="L76" s="58" t="s">
        <v>185</v>
      </c>
      <c r="M76" s="58" t="s">
        <v>285</v>
      </c>
      <c r="N76" s="58" t="s">
        <v>153</v>
      </c>
      <c r="O76" s="58" t="s">
        <v>186</v>
      </c>
      <c r="P76" s="58" t="s">
        <v>286</v>
      </c>
      <c r="Q76" s="58" t="s">
        <v>155</v>
      </c>
      <c r="R76" s="58" t="s">
        <v>188</v>
      </c>
      <c r="S76" s="57" t="n">
        <f aca="false">IF(ISNUMBER(A76),YEAR(A76)+IF(MONTH(A76)&gt;=10,1,0),"")</f>
        <v>2024</v>
      </c>
      <c r="T76" s="57" t="n">
        <f aca="false">IF(ISNUMBER(A76),INT(MOD(MONTH(A76)-10,12)/3)+1,"")</f>
        <v>2</v>
      </c>
      <c r="U76" s="57" t="str">
        <f aca="false">IF(AND(I76&lt;&gt;"",D76&lt;&gt;"",OR(COUNTIFS(TransactionsData[Vendor ID],K76,TransactionsData[UEI],"&lt;&gt;"&amp;D76,TransactionsData[UEI],"?*")&gt;0,COUNTIFS(VendorGroups[Record ID],K76,VendorGroups[Source UEI],"&lt;&gt;"&amp;D76,VendorGroups[Source UEI],"?*")&gt;0)),"Conflicting vendor UEIs",IF(I76="",IF(COUNTA(A76,D76,F76:R76)&gt;0,"Missing transaction ID",""),IF(COUNTIFS(TransactionsData[Transaction ID],I76)&lt;&gt;1,"Duplicate transaction ID",IF(OR(NOT(ISNUMBER(A76)),A76&lt;1,A76&gt;DATE(2099,1,1)),"Use a valid date",IF(OR(A76&lt;$B$4,A76&gt;$D$4),"Outside coverage",IF(NOT(ISNUMBER(F76)),"Missing or invalid amount",IF(OR(K76="",L76="",N76=""),"Add vendor and office identities",IF(G76="Exclude",IF(OR(F76&lt;&gt;0,H76=""),"Review nonzero or unexplained exclusion",""),IF(G76&lt;&gt;"Include","Choose Include or Exclude",IF(COUNTIFS(AwardsData[Award ID],J76)&lt;&gt;1,"Award link needs review",IF(INDEX(AwardsData[Input check],MATCH(J76,AwardsData[Award ID],0))&lt;&gt;"","Check award inputs","")))))))))))</f>
        <v/>
      </c>
      <c r="V76" s="57" t="n">
        <f aca="false">IF(AND(I76&lt;&gt;"",U76="",G76="Include"),1,0)</f>
        <v>1</v>
      </c>
      <c r="W76" s="57" t="str">
        <f aca="false">IF(I76="","",IF(COUNTIFS(AwardsData[Award ID],J76)=1,INDEX(AwardsData[Current award type],MATCH(J76,AwardsData[Award ID],0)),"Unlinked"))</f>
        <v>Delivery Order</v>
      </c>
      <c r="X76" s="57" t="str">
        <f aca="false">IF(I76="","",IF(COUNTIFS(AwardsData[Award ID],J76)=1,INDEX(AwardsData[Current set-aside],MATCH(J76,AwardsData[Award ID],0)),"Unlinked"))</f>
        <v>8(a) Sole Source</v>
      </c>
      <c r="Y76" s="57" t="str">
        <f aca="false">IF(I76="","",IF(COUNTIFS(AwardsData[Award ID],J76)=1,INDEX(AwardsData[Performance state],MATCH(J76,AwardsData[Award ID],0)),"Unlinked"))</f>
        <v>District of Columbia</v>
      </c>
      <c r="Z76" s="57" t="n">
        <f aca="false">IF(AND(V76=1,OR(Dashboard!$AB$2="All",K76=Dashboard!$AB$2),OR(Dashboard!$AB$3="All",L76=Dashboard!$AB$3),OR(Dashboard!$N$10="All",W76=Dashboard!$N$10)),1,0)</f>
        <v>1</v>
      </c>
      <c r="AA76" s="57" t="n">
        <f aca="false">IF(AND(Z76=1,OR(Dashboard!$B$7="All",S76=Dashboard!$B$7)),1,0)</f>
        <v>0</v>
      </c>
      <c r="AB76" s="57" t="n">
        <f aca="false">IF(AND(V76=1,F76&lt;&gt;0),1,0)</f>
        <v>1</v>
      </c>
      <c r="AC76" s="57" t="n">
        <f aca="false">IF(AND(AA76=1,AB76=1),IF(COUNTIFS($J$17:J76,J76,$AA$17:AA76,1,$AB$17:AB76,1)=1,1,0),0)</f>
        <v>0</v>
      </c>
      <c r="AD76" s="57" t="n">
        <f aca="false">IF(AND(AA76=1,AB76=1),IF(COUNTIFS($K$17:K76,K76,$AA$17:AA76,1,$AB$17:AB76,1)=1,1,0),0)</f>
        <v>0</v>
      </c>
      <c r="AE76" s="57" t="n">
        <f aca="false">IF(AND(Z76=1,AB76=1),IF(COUNTIFS($J$17:J76,J76,$S$17:S76,S76,$Z$17:Z76,1,$AB$17:AB76,1)=1,1,0),0)</f>
        <v>1</v>
      </c>
      <c r="AF76" s="57" t="n">
        <f aca="false">IF(AND(Z76=1,AB76=1),IF(COUNTIFS($K$17:K76,K76,$S$17:S76,S76,$Z$17:Z76,1,$AB$17:AB76,1)=1,1,0),0)</f>
        <v>1</v>
      </c>
      <c r="AG76" s="57" t="n">
        <f aca="false">IF(AND(AA76=1,AB76=1),IF(COUNTIFS($J$17:J76,J76,$L$17:L76,L76,$AA$17:AA76,1,$AB$17:AB76,1)=1,1,0),0)</f>
        <v>0</v>
      </c>
      <c r="AH76" s="57" t="n">
        <f aca="false">IF(AND(AA76=1,AB76=1),IF(COUNTIFS($J$17:J76,J76,$K$17:K76,K76,$AA$17:AA76,1,$AB$17:AB76,1)=1,1,0),0)</f>
        <v>0</v>
      </c>
      <c r="AI76" s="56" t="n">
        <f aca="false">IF(V76=1,MAX(F76,0),0)</f>
        <v>528952.14</v>
      </c>
      <c r="AJ76" s="56" t="n">
        <f aca="false">IF(V76=1,MIN(F76,0),0)</f>
        <v>0</v>
      </c>
    </row>
    <row r="77" customFormat="false" ht="40" hidden="false" customHeight="true" outlineLevel="0" collapsed="false">
      <c r="A77" s="66" t="n">
        <v>45362</v>
      </c>
      <c r="B77" s="54" t="str">
        <f aca="false">IF(M77="","",IF(P77="",M77,HYPERLINK(P77,M77)))</f>
        <v>49100424A0001-49100424F0051</v>
      </c>
      <c r="C77" s="54" t="str">
        <f aca="false">IF(N77="","",IF(Q77="",N77,HYPERLINK(Q77,N77)))</f>
        <v>Spatial Front Inc.</v>
      </c>
      <c r="D77" s="60" t="s">
        <v>166</v>
      </c>
      <c r="E77" s="54" t="str">
        <f aca="false">IF(O77="","",IF(R77="",O77,HYPERLINK(R77,O77)))</f>
        <v>Division of Information Systems</v>
      </c>
      <c r="F77" s="62" t="n">
        <v>277102.8</v>
      </c>
      <c r="G77" s="61" t="s">
        <v>464</v>
      </c>
      <c r="H77" s="58"/>
      <c r="I77" s="58" t="s">
        <v>528</v>
      </c>
      <c r="J77" s="58" t="s">
        <v>367</v>
      </c>
      <c r="K77" s="58" t="s">
        <v>164</v>
      </c>
      <c r="L77" s="58" t="s">
        <v>197</v>
      </c>
      <c r="M77" s="58" t="s">
        <v>368</v>
      </c>
      <c r="N77" s="58" t="s">
        <v>165</v>
      </c>
      <c r="O77" s="58" t="s">
        <v>198</v>
      </c>
      <c r="P77" s="58" t="s">
        <v>369</v>
      </c>
      <c r="Q77" s="58" t="s">
        <v>167</v>
      </c>
      <c r="R77" s="58" t="s">
        <v>200</v>
      </c>
      <c r="S77" s="57" t="n">
        <f aca="false">IF(ISNUMBER(A77),YEAR(A77)+IF(MONTH(A77)&gt;=10,1,0),"")</f>
        <v>2024</v>
      </c>
      <c r="T77" s="57" t="n">
        <f aca="false">IF(ISNUMBER(A77),INT(MOD(MONTH(A77)-10,12)/3)+1,"")</f>
        <v>2</v>
      </c>
      <c r="U77" s="57" t="str">
        <f aca="false">IF(AND(I77&lt;&gt;"",D77&lt;&gt;"",OR(COUNTIFS(TransactionsData[Vendor ID],K77,TransactionsData[UEI],"&lt;&gt;"&amp;D77,TransactionsData[UEI],"?*")&gt;0,COUNTIFS(VendorGroups[Record ID],K77,VendorGroups[Source UEI],"&lt;&gt;"&amp;D77,VendorGroups[Source UEI],"?*")&gt;0)),"Conflicting vendor UEIs",IF(I77="",IF(COUNTA(A77,D77,F77:R77)&gt;0,"Missing transaction ID",""),IF(COUNTIFS(TransactionsData[Transaction ID],I77)&lt;&gt;1,"Duplicate transaction ID",IF(OR(NOT(ISNUMBER(A77)),A77&lt;1,A77&gt;DATE(2099,1,1)),"Use a valid date",IF(OR(A77&lt;$B$4,A77&gt;$D$4),"Outside coverage",IF(NOT(ISNUMBER(F77)),"Missing or invalid amount",IF(OR(K77="",L77="",N77=""),"Add vendor and office identities",IF(G77="Exclude",IF(OR(F77&lt;&gt;0,H77=""),"Review nonzero or unexplained exclusion",""),IF(G77&lt;&gt;"Include","Choose Include or Exclude",IF(COUNTIFS(AwardsData[Award ID],J77)&lt;&gt;1,"Award link needs review",IF(INDEX(AwardsData[Input check],MATCH(J77,AwardsData[Award ID],0))&lt;&gt;"","Check award inputs","")))))))))))</f>
        <v/>
      </c>
      <c r="V77" s="57" t="n">
        <f aca="false">IF(AND(I77&lt;&gt;"",U77="",G77="Include"),1,0)</f>
        <v>1</v>
      </c>
      <c r="W77" s="57" t="str">
        <f aca="false">IF(I77="","",IF(COUNTIFS(AwardsData[Award ID],J77)=1,INDEX(AwardsData[Current award type],MATCH(J77,AwardsData[Award ID],0)),"Unlinked"))</f>
        <v>BPA Call</v>
      </c>
      <c r="X77" s="57" t="str">
        <f aca="false">IF(I77="","",IF(COUNTIFS(AwardsData[Award ID],J77)=1,INDEX(AwardsData[Current set-aside],MATCH(J77,AwardsData[Award ID],0)),"Unlinked"))</f>
        <v>Total Small Business</v>
      </c>
      <c r="Y77" s="57" t="str">
        <f aca="false">IF(I77="","",IF(COUNTIFS(AwardsData[Award ID],J77)=1,INDEX(AwardsData[Performance state],MATCH(J77,AwardsData[Award ID],0)),"Unlinked"))</f>
        <v>Virginia</v>
      </c>
      <c r="Z77" s="57" t="n">
        <f aca="false">IF(AND(V77=1,OR(Dashboard!$AB$2="All",K77=Dashboard!$AB$2),OR(Dashboard!$AB$3="All",L77=Dashboard!$AB$3),OR(Dashboard!$N$10="All",W77=Dashboard!$N$10)),1,0)</f>
        <v>1</v>
      </c>
      <c r="AA77" s="57" t="n">
        <f aca="false">IF(AND(Z77=1,OR(Dashboard!$B$7="All",S77=Dashboard!$B$7)),1,0)</f>
        <v>0</v>
      </c>
      <c r="AB77" s="57" t="n">
        <f aca="false">IF(AND(V77=1,F77&lt;&gt;0),1,0)</f>
        <v>1</v>
      </c>
      <c r="AC77" s="57" t="n">
        <f aca="false">IF(AND(AA77=1,AB77=1),IF(COUNTIFS($J$17:J77,J77,$AA$17:AA77,1,$AB$17:AB77,1)=1,1,0),0)</f>
        <v>0</v>
      </c>
      <c r="AD77" s="57" t="n">
        <f aca="false">IF(AND(AA77=1,AB77=1),IF(COUNTIFS($K$17:K77,K77,$AA$17:AA77,1,$AB$17:AB77,1)=1,1,0),0)</f>
        <v>0</v>
      </c>
      <c r="AE77" s="57" t="n">
        <f aca="false">IF(AND(Z77=1,AB77=1),IF(COUNTIFS($J$17:J77,J77,$S$17:S77,S77,$Z$17:Z77,1,$AB$17:AB77,1)=1,1,0),0)</f>
        <v>1</v>
      </c>
      <c r="AF77" s="57" t="n">
        <f aca="false">IF(AND(Z77=1,AB77=1),IF(COUNTIFS($K$17:K77,K77,$S$17:S77,S77,$Z$17:Z77,1,$AB$17:AB77,1)=1,1,0),0)</f>
        <v>0</v>
      </c>
      <c r="AG77" s="57" t="n">
        <f aca="false">IF(AND(AA77=1,AB77=1),IF(COUNTIFS($J$17:J77,J77,$L$17:L77,L77,$AA$17:AA77,1,$AB$17:AB77,1)=1,1,0),0)</f>
        <v>0</v>
      </c>
      <c r="AH77" s="57" t="n">
        <f aca="false">IF(AND(AA77=1,AB77=1),IF(COUNTIFS($J$17:J77,J77,$K$17:K77,K77,$AA$17:AA77,1,$AB$17:AB77,1)=1,1,0),0)</f>
        <v>0</v>
      </c>
      <c r="AI77" s="56" t="n">
        <f aca="false">IF(V77=1,MAX(F77,0),0)</f>
        <v>277102.8</v>
      </c>
      <c r="AJ77" s="56" t="n">
        <f aca="false">IF(V77=1,MIN(F77,0),0)</f>
        <v>0</v>
      </c>
    </row>
    <row r="78" customFormat="false" ht="40" hidden="false" customHeight="true" outlineLevel="0" collapsed="false">
      <c r="A78" s="66" t="n">
        <v>45362</v>
      </c>
      <c r="B78" s="54" t="str">
        <f aca="false">IF(M78="","",IF(P78="",M78,HYPERLINK(P78,M78)))</f>
        <v>49100424A0001-49100424F0052</v>
      </c>
      <c r="C78" s="54" t="str">
        <f aca="false">IF(N78="","",IF(Q78="",N78,HYPERLINK(Q78,N78)))</f>
        <v>Spatial Front Inc.</v>
      </c>
      <c r="D78" s="60" t="s">
        <v>166</v>
      </c>
      <c r="E78" s="54" t="str">
        <f aca="false">IF(O78="","",IF(R78="",O78,HYPERLINK(R78,O78)))</f>
        <v>Division of Information Systems</v>
      </c>
      <c r="F78" s="62" t="n">
        <v>277448</v>
      </c>
      <c r="G78" s="61" t="s">
        <v>464</v>
      </c>
      <c r="H78" s="58"/>
      <c r="I78" s="58" t="s">
        <v>529</v>
      </c>
      <c r="J78" s="58" t="s">
        <v>370</v>
      </c>
      <c r="K78" s="58" t="s">
        <v>164</v>
      </c>
      <c r="L78" s="58" t="s">
        <v>197</v>
      </c>
      <c r="M78" s="58" t="s">
        <v>371</v>
      </c>
      <c r="N78" s="58" t="s">
        <v>165</v>
      </c>
      <c r="O78" s="58" t="s">
        <v>198</v>
      </c>
      <c r="P78" s="58" t="s">
        <v>372</v>
      </c>
      <c r="Q78" s="58" t="s">
        <v>167</v>
      </c>
      <c r="R78" s="58" t="s">
        <v>200</v>
      </c>
      <c r="S78" s="57" t="n">
        <f aca="false">IF(ISNUMBER(A78),YEAR(A78)+IF(MONTH(A78)&gt;=10,1,0),"")</f>
        <v>2024</v>
      </c>
      <c r="T78" s="57" t="n">
        <f aca="false">IF(ISNUMBER(A78),INT(MOD(MONTH(A78)-10,12)/3)+1,"")</f>
        <v>2</v>
      </c>
      <c r="U78" s="57" t="str">
        <f aca="false">IF(AND(I78&lt;&gt;"",D78&lt;&gt;"",OR(COUNTIFS(TransactionsData[Vendor ID],K78,TransactionsData[UEI],"&lt;&gt;"&amp;D78,TransactionsData[UEI],"?*")&gt;0,COUNTIFS(VendorGroups[Record ID],K78,VendorGroups[Source UEI],"&lt;&gt;"&amp;D78,VendorGroups[Source UEI],"?*")&gt;0)),"Conflicting vendor UEIs",IF(I78="",IF(COUNTA(A78,D78,F78:R78)&gt;0,"Missing transaction ID",""),IF(COUNTIFS(TransactionsData[Transaction ID],I78)&lt;&gt;1,"Duplicate transaction ID",IF(OR(NOT(ISNUMBER(A78)),A78&lt;1,A78&gt;DATE(2099,1,1)),"Use a valid date",IF(OR(A78&lt;$B$4,A78&gt;$D$4),"Outside coverage",IF(NOT(ISNUMBER(F78)),"Missing or invalid amount",IF(OR(K78="",L78="",N78=""),"Add vendor and office identities",IF(G78="Exclude",IF(OR(F78&lt;&gt;0,H78=""),"Review nonzero or unexplained exclusion",""),IF(G78&lt;&gt;"Include","Choose Include or Exclude",IF(COUNTIFS(AwardsData[Award ID],J78)&lt;&gt;1,"Award link needs review",IF(INDEX(AwardsData[Input check],MATCH(J78,AwardsData[Award ID],0))&lt;&gt;"","Check award inputs","")))))))))))</f>
        <v/>
      </c>
      <c r="V78" s="57" t="n">
        <f aca="false">IF(AND(I78&lt;&gt;"",U78="",G78="Include"),1,0)</f>
        <v>1</v>
      </c>
      <c r="W78" s="57" t="str">
        <f aca="false">IF(I78="","",IF(COUNTIFS(AwardsData[Award ID],J78)=1,INDEX(AwardsData[Current award type],MATCH(J78,AwardsData[Award ID],0)),"Unlinked"))</f>
        <v>BPA Call</v>
      </c>
      <c r="X78" s="57" t="str">
        <f aca="false">IF(I78="","",IF(COUNTIFS(AwardsData[Award ID],J78)=1,INDEX(AwardsData[Current set-aside],MATCH(J78,AwardsData[Award ID],0)),"Unlinked"))</f>
        <v>No Set-Aside Used</v>
      </c>
      <c r="Y78" s="57" t="str">
        <f aca="false">IF(I78="","",IF(COUNTIFS(AwardsData[Award ID],J78)=1,INDEX(AwardsData[Performance state],MATCH(J78,AwardsData[Award ID],0)),"Unlinked"))</f>
        <v>Virginia</v>
      </c>
      <c r="Z78" s="57" t="n">
        <f aca="false">IF(AND(V78=1,OR(Dashboard!$AB$2="All",K78=Dashboard!$AB$2),OR(Dashboard!$AB$3="All",L78=Dashboard!$AB$3),OR(Dashboard!$N$10="All",W78=Dashboard!$N$10)),1,0)</f>
        <v>1</v>
      </c>
      <c r="AA78" s="57" t="n">
        <f aca="false">IF(AND(Z78=1,OR(Dashboard!$B$7="All",S78=Dashboard!$B$7)),1,0)</f>
        <v>0</v>
      </c>
      <c r="AB78" s="57" t="n">
        <f aca="false">IF(AND(V78=1,F78&lt;&gt;0),1,0)</f>
        <v>1</v>
      </c>
      <c r="AC78" s="57" t="n">
        <f aca="false">IF(AND(AA78=1,AB78=1),IF(COUNTIFS($J$17:J78,J78,$AA$17:AA78,1,$AB$17:AB78,1)=1,1,0),0)</f>
        <v>0</v>
      </c>
      <c r="AD78" s="57" t="n">
        <f aca="false">IF(AND(AA78=1,AB78=1),IF(COUNTIFS($K$17:K78,K78,$AA$17:AA78,1,$AB$17:AB78,1)=1,1,0),0)</f>
        <v>0</v>
      </c>
      <c r="AE78" s="57" t="n">
        <f aca="false">IF(AND(Z78=1,AB78=1),IF(COUNTIFS($J$17:J78,J78,$S$17:S78,S78,$Z$17:Z78,1,$AB$17:AB78,1)=1,1,0),0)</f>
        <v>1</v>
      </c>
      <c r="AF78" s="57" t="n">
        <f aca="false">IF(AND(Z78=1,AB78=1),IF(COUNTIFS($K$17:K78,K78,$S$17:S78,S78,$Z$17:Z78,1,$AB$17:AB78,1)=1,1,0),0)</f>
        <v>0</v>
      </c>
      <c r="AG78" s="57" t="n">
        <f aca="false">IF(AND(AA78=1,AB78=1),IF(COUNTIFS($J$17:J78,J78,$L$17:L78,L78,$AA$17:AA78,1,$AB$17:AB78,1)=1,1,0),0)</f>
        <v>0</v>
      </c>
      <c r="AH78" s="57" t="n">
        <f aca="false">IF(AND(AA78=1,AB78=1),IF(COUNTIFS($J$17:J78,J78,$K$17:K78,K78,$AA$17:AA78,1,$AB$17:AB78,1)=1,1,0),0)</f>
        <v>0</v>
      </c>
      <c r="AI78" s="56" t="n">
        <f aca="false">IF(V78=1,MAX(F78,0),0)</f>
        <v>277448</v>
      </c>
      <c r="AJ78" s="56" t="n">
        <f aca="false">IF(V78=1,MIN(F78,0),0)</f>
        <v>0</v>
      </c>
    </row>
    <row r="79" customFormat="false" ht="40" hidden="false" customHeight="true" outlineLevel="0" collapsed="false">
      <c r="A79" s="66" t="n">
        <v>45363</v>
      </c>
      <c r="B79" s="54" t="str">
        <f aca="false">IF(M79="","",IF(P79="",M79,HYPERLINK(P79,M79)))</f>
        <v>49100424A0001-49100424F0054</v>
      </c>
      <c r="C79" s="54" t="str">
        <f aca="false">IF(N79="","",IF(Q79="",N79,HYPERLINK(Q79,N79)))</f>
        <v>Spatial Front Inc.</v>
      </c>
      <c r="D79" s="60" t="s">
        <v>166</v>
      </c>
      <c r="E79" s="54" t="str">
        <f aca="false">IF(O79="","",IF(R79="",O79,HYPERLINK(R79,O79)))</f>
        <v>Division of Information Systems</v>
      </c>
      <c r="F79" s="62" t="n">
        <v>189540</v>
      </c>
      <c r="G79" s="61" t="s">
        <v>464</v>
      </c>
      <c r="H79" s="58"/>
      <c r="I79" s="58" t="s">
        <v>530</v>
      </c>
      <c r="J79" s="58" t="s">
        <v>376</v>
      </c>
      <c r="K79" s="58" t="s">
        <v>164</v>
      </c>
      <c r="L79" s="58" t="s">
        <v>197</v>
      </c>
      <c r="M79" s="58" t="s">
        <v>377</v>
      </c>
      <c r="N79" s="58" t="s">
        <v>165</v>
      </c>
      <c r="O79" s="58" t="s">
        <v>198</v>
      </c>
      <c r="P79" s="58" t="s">
        <v>378</v>
      </c>
      <c r="Q79" s="58" t="s">
        <v>167</v>
      </c>
      <c r="R79" s="58" t="s">
        <v>200</v>
      </c>
      <c r="S79" s="57" t="n">
        <f aca="false">IF(ISNUMBER(A79),YEAR(A79)+IF(MONTH(A79)&gt;=10,1,0),"")</f>
        <v>2024</v>
      </c>
      <c r="T79" s="57" t="n">
        <f aca="false">IF(ISNUMBER(A79),INT(MOD(MONTH(A79)-10,12)/3)+1,"")</f>
        <v>2</v>
      </c>
      <c r="U79" s="57" t="str">
        <f aca="false">IF(AND(I79&lt;&gt;"",D79&lt;&gt;"",OR(COUNTIFS(TransactionsData[Vendor ID],K79,TransactionsData[UEI],"&lt;&gt;"&amp;D79,TransactionsData[UEI],"?*")&gt;0,COUNTIFS(VendorGroups[Record ID],K79,VendorGroups[Source UEI],"&lt;&gt;"&amp;D79,VendorGroups[Source UEI],"?*")&gt;0)),"Conflicting vendor UEIs",IF(I79="",IF(COUNTA(A79,D79,F79:R79)&gt;0,"Missing transaction ID",""),IF(COUNTIFS(TransactionsData[Transaction ID],I79)&lt;&gt;1,"Duplicate transaction ID",IF(OR(NOT(ISNUMBER(A79)),A79&lt;1,A79&gt;DATE(2099,1,1)),"Use a valid date",IF(OR(A79&lt;$B$4,A79&gt;$D$4),"Outside coverage",IF(NOT(ISNUMBER(F79)),"Missing or invalid amount",IF(OR(K79="",L79="",N79=""),"Add vendor and office identities",IF(G79="Exclude",IF(OR(F79&lt;&gt;0,H79=""),"Review nonzero or unexplained exclusion",""),IF(G79&lt;&gt;"Include","Choose Include or Exclude",IF(COUNTIFS(AwardsData[Award ID],J79)&lt;&gt;1,"Award link needs review",IF(INDEX(AwardsData[Input check],MATCH(J79,AwardsData[Award ID],0))&lt;&gt;"","Check award inputs","")))))))))))</f>
        <v/>
      </c>
      <c r="V79" s="57" t="n">
        <f aca="false">IF(AND(I79&lt;&gt;"",U79="",G79="Include"),1,0)</f>
        <v>1</v>
      </c>
      <c r="W79" s="57" t="str">
        <f aca="false">IF(I79="","",IF(COUNTIFS(AwardsData[Award ID],J79)=1,INDEX(AwardsData[Current award type],MATCH(J79,AwardsData[Award ID],0)),"Unlinked"))</f>
        <v>BPA Call</v>
      </c>
      <c r="X79" s="57" t="str">
        <f aca="false">IF(I79="","",IF(COUNTIFS(AwardsData[Award ID],J79)=1,INDEX(AwardsData[Current set-aside],MATCH(J79,AwardsData[Award ID],0)),"Unlinked"))</f>
        <v>Total Small Business</v>
      </c>
      <c r="Y79" s="57" t="str">
        <f aca="false">IF(I79="","",IF(COUNTIFS(AwardsData[Award ID],J79)=1,INDEX(AwardsData[Performance state],MATCH(J79,AwardsData[Award ID],0)),"Unlinked"))</f>
        <v>Virginia</v>
      </c>
      <c r="Z79" s="57" t="n">
        <f aca="false">IF(AND(V79=1,OR(Dashboard!$AB$2="All",K79=Dashboard!$AB$2),OR(Dashboard!$AB$3="All",L79=Dashboard!$AB$3),OR(Dashboard!$N$10="All",W79=Dashboard!$N$10)),1,0)</f>
        <v>1</v>
      </c>
      <c r="AA79" s="57" t="n">
        <f aca="false">IF(AND(Z79=1,OR(Dashboard!$B$7="All",S79=Dashboard!$B$7)),1,0)</f>
        <v>0</v>
      </c>
      <c r="AB79" s="57" t="n">
        <f aca="false">IF(AND(V79=1,F79&lt;&gt;0),1,0)</f>
        <v>1</v>
      </c>
      <c r="AC79" s="57" t="n">
        <f aca="false">IF(AND(AA79=1,AB79=1),IF(COUNTIFS($J$17:J79,J79,$AA$17:AA79,1,$AB$17:AB79,1)=1,1,0),0)</f>
        <v>0</v>
      </c>
      <c r="AD79" s="57" t="n">
        <f aca="false">IF(AND(AA79=1,AB79=1),IF(COUNTIFS($K$17:K79,K79,$AA$17:AA79,1,$AB$17:AB79,1)=1,1,0),0)</f>
        <v>0</v>
      </c>
      <c r="AE79" s="57" t="n">
        <f aca="false">IF(AND(Z79=1,AB79=1),IF(COUNTIFS($J$17:J79,J79,$S$17:S79,S79,$Z$17:Z79,1,$AB$17:AB79,1)=1,1,0),0)</f>
        <v>1</v>
      </c>
      <c r="AF79" s="57" t="n">
        <f aca="false">IF(AND(Z79=1,AB79=1),IF(COUNTIFS($K$17:K79,K79,$S$17:S79,S79,$Z$17:Z79,1,$AB$17:AB79,1)=1,1,0),0)</f>
        <v>0</v>
      </c>
      <c r="AG79" s="57" t="n">
        <f aca="false">IF(AND(AA79=1,AB79=1),IF(COUNTIFS($J$17:J79,J79,$L$17:L79,L79,$AA$17:AA79,1,$AB$17:AB79,1)=1,1,0),0)</f>
        <v>0</v>
      </c>
      <c r="AH79" s="57" t="n">
        <f aca="false">IF(AND(AA79=1,AB79=1),IF(COUNTIFS($J$17:J79,J79,$K$17:K79,K79,$AA$17:AA79,1,$AB$17:AB79,1)=1,1,0),0)</f>
        <v>0</v>
      </c>
      <c r="AI79" s="56" t="n">
        <f aca="false">IF(V79=1,MAX(F79,0),0)</f>
        <v>189540</v>
      </c>
      <c r="AJ79" s="56" t="n">
        <f aca="false">IF(V79=1,MIN(F79,0),0)</f>
        <v>0</v>
      </c>
    </row>
    <row r="80" customFormat="false" ht="40" hidden="false" customHeight="true" outlineLevel="0" collapsed="false">
      <c r="A80" s="66" t="n">
        <v>45363</v>
      </c>
      <c r="B80" s="54" t="str">
        <f aca="false">IF(M80="","",IF(P80="",M80,HYPERLINK(P80,M80)))</f>
        <v>49100424A0001-49100424F0055</v>
      </c>
      <c r="C80" s="54" t="str">
        <f aca="false">IF(N80="","",IF(Q80="",N80,HYPERLINK(Q80,N80)))</f>
        <v>Spatial Front Inc.</v>
      </c>
      <c r="D80" s="60" t="s">
        <v>166</v>
      </c>
      <c r="E80" s="54" t="str">
        <f aca="false">IF(O80="","",IF(R80="",O80,HYPERLINK(R80,O80)))</f>
        <v>Division of Information Systems</v>
      </c>
      <c r="F80" s="62" t="n">
        <v>65847.6</v>
      </c>
      <c r="G80" s="61" t="s">
        <v>464</v>
      </c>
      <c r="H80" s="58"/>
      <c r="I80" s="58" t="s">
        <v>531</v>
      </c>
      <c r="J80" s="58" t="s">
        <v>379</v>
      </c>
      <c r="K80" s="58" t="s">
        <v>164</v>
      </c>
      <c r="L80" s="58" t="s">
        <v>197</v>
      </c>
      <c r="M80" s="58" t="s">
        <v>380</v>
      </c>
      <c r="N80" s="58" t="s">
        <v>165</v>
      </c>
      <c r="O80" s="58" t="s">
        <v>198</v>
      </c>
      <c r="P80" s="58" t="s">
        <v>381</v>
      </c>
      <c r="Q80" s="58" t="s">
        <v>167</v>
      </c>
      <c r="R80" s="58" t="s">
        <v>200</v>
      </c>
      <c r="S80" s="57" t="n">
        <f aca="false">IF(ISNUMBER(A80),YEAR(A80)+IF(MONTH(A80)&gt;=10,1,0),"")</f>
        <v>2024</v>
      </c>
      <c r="T80" s="57" t="n">
        <f aca="false">IF(ISNUMBER(A80),INT(MOD(MONTH(A80)-10,12)/3)+1,"")</f>
        <v>2</v>
      </c>
      <c r="U80" s="57" t="str">
        <f aca="false">IF(AND(I80&lt;&gt;"",D80&lt;&gt;"",OR(COUNTIFS(TransactionsData[Vendor ID],K80,TransactionsData[UEI],"&lt;&gt;"&amp;D80,TransactionsData[UEI],"?*")&gt;0,COUNTIFS(VendorGroups[Record ID],K80,VendorGroups[Source UEI],"&lt;&gt;"&amp;D80,VendorGroups[Source UEI],"?*")&gt;0)),"Conflicting vendor UEIs",IF(I80="",IF(COUNTA(A80,D80,F80:R80)&gt;0,"Missing transaction ID",""),IF(COUNTIFS(TransactionsData[Transaction ID],I80)&lt;&gt;1,"Duplicate transaction ID",IF(OR(NOT(ISNUMBER(A80)),A80&lt;1,A80&gt;DATE(2099,1,1)),"Use a valid date",IF(OR(A80&lt;$B$4,A80&gt;$D$4),"Outside coverage",IF(NOT(ISNUMBER(F80)),"Missing or invalid amount",IF(OR(K80="",L80="",N80=""),"Add vendor and office identities",IF(G80="Exclude",IF(OR(F80&lt;&gt;0,H80=""),"Review nonzero or unexplained exclusion",""),IF(G80&lt;&gt;"Include","Choose Include or Exclude",IF(COUNTIFS(AwardsData[Award ID],J80)&lt;&gt;1,"Award link needs review",IF(INDEX(AwardsData[Input check],MATCH(J80,AwardsData[Award ID],0))&lt;&gt;"","Check award inputs","")))))))))))</f>
        <v/>
      </c>
      <c r="V80" s="57" t="n">
        <f aca="false">IF(AND(I80&lt;&gt;"",U80="",G80="Include"),1,0)</f>
        <v>1</v>
      </c>
      <c r="W80" s="57" t="str">
        <f aca="false">IF(I80="","",IF(COUNTIFS(AwardsData[Award ID],J80)=1,INDEX(AwardsData[Current award type],MATCH(J80,AwardsData[Award ID],0)),"Unlinked"))</f>
        <v>BPA Call</v>
      </c>
      <c r="X80" s="57" t="str">
        <f aca="false">IF(I80="","",IF(COUNTIFS(AwardsData[Award ID],J80)=1,INDEX(AwardsData[Current set-aside],MATCH(J80,AwardsData[Award ID],0)),"Unlinked"))</f>
        <v>Total Small Business</v>
      </c>
      <c r="Y80" s="57" t="str">
        <f aca="false">IF(I80="","",IF(COUNTIFS(AwardsData[Award ID],J80)=1,INDEX(AwardsData[Performance state],MATCH(J80,AwardsData[Award ID],0)),"Unlinked"))</f>
        <v>Virginia</v>
      </c>
      <c r="Z80" s="57" t="n">
        <f aca="false">IF(AND(V80=1,OR(Dashboard!$AB$2="All",K80=Dashboard!$AB$2),OR(Dashboard!$AB$3="All",L80=Dashboard!$AB$3),OR(Dashboard!$N$10="All",W80=Dashboard!$N$10)),1,0)</f>
        <v>1</v>
      </c>
      <c r="AA80" s="57" t="n">
        <f aca="false">IF(AND(Z80=1,OR(Dashboard!$B$7="All",S80=Dashboard!$B$7)),1,0)</f>
        <v>0</v>
      </c>
      <c r="AB80" s="57" t="n">
        <f aca="false">IF(AND(V80=1,F80&lt;&gt;0),1,0)</f>
        <v>1</v>
      </c>
      <c r="AC80" s="57" t="n">
        <f aca="false">IF(AND(AA80=1,AB80=1),IF(COUNTIFS($J$17:J80,J80,$AA$17:AA80,1,$AB$17:AB80,1)=1,1,0),0)</f>
        <v>0</v>
      </c>
      <c r="AD80" s="57" t="n">
        <f aca="false">IF(AND(AA80=1,AB80=1),IF(COUNTIFS($K$17:K80,K80,$AA$17:AA80,1,$AB$17:AB80,1)=1,1,0),0)</f>
        <v>0</v>
      </c>
      <c r="AE80" s="57" t="n">
        <f aca="false">IF(AND(Z80=1,AB80=1),IF(COUNTIFS($J$17:J80,J80,$S$17:S80,S80,$Z$17:Z80,1,$AB$17:AB80,1)=1,1,0),0)</f>
        <v>1</v>
      </c>
      <c r="AF80" s="57" t="n">
        <f aca="false">IF(AND(Z80=1,AB80=1),IF(COUNTIFS($K$17:K80,K80,$S$17:S80,S80,$Z$17:Z80,1,$AB$17:AB80,1)=1,1,0),0)</f>
        <v>0</v>
      </c>
      <c r="AG80" s="57" t="n">
        <f aca="false">IF(AND(AA80=1,AB80=1),IF(COUNTIFS($J$17:J80,J80,$L$17:L80,L80,$AA$17:AA80,1,$AB$17:AB80,1)=1,1,0),0)</f>
        <v>0</v>
      </c>
      <c r="AH80" s="57" t="n">
        <f aca="false">IF(AND(AA80=1,AB80=1),IF(COUNTIFS($J$17:J80,J80,$K$17:K80,K80,$AA$17:AA80,1,$AB$17:AB80,1)=1,1,0),0)</f>
        <v>0</v>
      </c>
      <c r="AI80" s="56" t="n">
        <f aca="false">IF(V80=1,MAX(F80,0),0)</f>
        <v>65847.6</v>
      </c>
      <c r="AJ80" s="56" t="n">
        <f aca="false">IF(V80=1,MIN(F80,0),0)</f>
        <v>0</v>
      </c>
    </row>
    <row r="81" customFormat="false" ht="40" hidden="false" customHeight="true" outlineLevel="0" collapsed="false">
      <c r="A81" s="66" t="n">
        <v>45364</v>
      </c>
      <c r="B81" s="54" t="str">
        <f aca="false">IF(M81="","",IF(P81="",M81,HYPERLINK(P81,M81)))</f>
        <v>49100424A0001-49100424F0053</v>
      </c>
      <c r="C81" s="54" t="str">
        <f aca="false">IF(N81="","",IF(Q81="",N81,HYPERLINK(Q81,N81)))</f>
        <v>Spatial Front Inc.</v>
      </c>
      <c r="D81" s="60" t="s">
        <v>166</v>
      </c>
      <c r="E81" s="54" t="str">
        <f aca="false">IF(O81="","",IF(R81="",O81,HYPERLINK(R81,O81)))</f>
        <v>Division of Information Systems</v>
      </c>
      <c r="F81" s="62" t="n">
        <v>159120</v>
      </c>
      <c r="G81" s="61" t="s">
        <v>464</v>
      </c>
      <c r="H81" s="58"/>
      <c r="I81" s="58" t="s">
        <v>532</v>
      </c>
      <c r="J81" s="58" t="s">
        <v>373</v>
      </c>
      <c r="K81" s="58" t="s">
        <v>164</v>
      </c>
      <c r="L81" s="58" t="s">
        <v>197</v>
      </c>
      <c r="M81" s="58" t="s">
        <v>374</v>
      </c>
      <c r="N81" s="58" t="s">
        <v>165</v>
      </c>
      <c r="O81" s="58" t="s">
        <v>198</v>
      </c>
      <c r="P81" s="58" t="s">
        <v>375</v>
      </c>
      <c r="Q81" s="58" t="s">
        <v>167</v>
      </c>
      <c r="R81" s="58" t="s">
        <v>200</v>
      </c>
      <c r="S81" s="57" t="n">
        <f aca="false">IF(ISNUMBER(A81),YEAR(A81)+IF(MONTH(A81)&gt;=10,1,0),"")</f>
        <v>2024</v>
      </c>
      <c r="T81" s="57" t="n">
        <f aca="false">IF(ISNUMBER(A81),INT(MOD(MONTH(A81)-10,12)/3)+1,"")</f>
        <v>2</v>
      </c>
      <c r="U81" s="57" t="str">
        <f aca="false">IF(AND(I81&lt;&gt;"",D81&lt;&gt;"",OR(COUNTIFS(TransactionsData[Vendor ID],K81,TransactionsData[UEI],"&lt;&gt;"&amp;D81,TransactionsData[UEI],"?*")&gt;0,COUNTIFS(VendorGroups[Record ID],K81,VendorGroups[Source UEI],"&lt;&gt;"&amp;D81,VendorGroups[Source UEI],"?*")&gt;0)),"Conflicting vendor UEIs",IF(I81="",IF(COUNTA(A81,D81,F81:R81)&gt;0,"Missing transaction ID",""),IF(COUNTIFS(TransactionsData[Transaction ID],I81)&lt;&gt;1,"Duplicate transaction ID",IF(OR(NOT(ISNUMBER(A81)),A81&lt;1,A81&gt;DATE(2099,1,1)),"Use a valid date",IF(OR(A81&lt;$B$4,A81&gt;$D$4),"Outside coverage",IF(NOT(ISNUMBER(F81)),"Missing or invalid amount",IF(OR(K81="",L81="",N81=""),"Add vendor and office identities",IF(G81="Exclude",IF(OR(F81&lt;&gt;0,H81=""),"Review nonzero or unexplained exclusion",""),IF(G81&lt;&gt;"Include","Choose Include or Exclude",IF(COUNTIFS(AwardsData[Award ID],J81)&lt;&gt;1,"Award link needs review",IF(INDEX(AwardsData[Input check],MATCH(J81,AwardsData[Award ID],0))&lt;&gt;"","Check award inputs","")))))))))))</f>
        <v/>
      </c>
      <c r="V81" s="57" t="n">
        <f aca="false">IF(AND(I81&lt;&gt;"",U81="",G81="Include"),1,0)</f>
        <v>1</v>
      </c>
      <c r="W81" s="57" t="str">
        <f aca="false">IF(I81="","",IF(COUNTIFS(AwardsData[Award ID],J81)=1,INDEX(AwardsData[Current award type],MATCH(J81,AwardsData[Award ID],0)),"Unlinked"))</f>
        <v>BPA Call</v>
      </c>
      <c r="X81" s="57" t="str">
        <f aca="false">IF(I81="","",IF(COUNTIFS(AwardsData[Award ID],J81)=1,INDEX(AwardsData[Current set-aside],MATCH(J81,AwardsData[Award ID],0)),"Unlinked"))</f>
        <v>Total Small Business</v>
      </c>
      <c r="Y81" s="57" t="str">
        <f aca="false">IF(I81="","",IF(COUNTIFS(AwardsData[Award ID],J81)=1,INDEX(AwardsData[Performance state],MATCH(J81,AwardsData[Award ID],0)),"Unlinked"))</f>
        <v>Virginia</v>
      </c>
      <c r="Z81" s="57" t="n">
        <f aca="false">IF(AND(V81=1,OR(Dashboard!$AB$2="All",K81=Dashboard!$AB$2),OR(Dashboard!$AB$3="All",L81=Dashboard!$AB$3),OR(Dashboard!$N$10="All",W81=Dashboard!$N$10)),1,0)</f>
        <v>1</v>
      </c>
      <c r="AA81" s="57" t="n">
        <f aca="false">IF(AND(Z81=1,OR(Dashboard!$B$7="All",S81=Dashboard!$B$7)),1,0)</f>
        <v>0</v>
      </c>
      <c r="AB81" s="57" t="n">
        <f aca="false">IF(AND(V81=1,F81&lt;&gt;0),1,0)</f>
        <v>1</v>
      </c>
      <c r="AC81" s="57" t="n">
        <f aca="false">IF(AND(AA81=1,AB81=1),IF(COUNTIFS($J$17:J81,J81,$AA$17:AA81,1,$AB$17:AB81,1)=1,1,0),0)</f>
        <v>0</v>
      </c>
      <c r="AD81" s="57" t="n">
        <f aca="false">IF(AND(AA81=1,AB81=1),IF(COUNTIFS($K$17:K81,K81,$AA$17:AA81,1,$AB$17:AB81,1)=1,1,0),0)</f>
        <v>0</v>
      </c>
      <c r="AE81" s="57" t="n">
        <f aca="false">IF(AND(Z81=1,AB81=1),IF(COUNTIFS($J$17:J81,J81,$S$17:S81,S81,$Z$17:Z81,1,$AB$17:AB81,1)=1,1,0),0)</f>
        <v>1</v>
      </c>
      <c r="AF81" s="57" t="n">
        <f aca="false">IF(AND(Z81=1,AB81=1),IF(COUNTIFS($K$17:K81,K81,$S$17:S81,S81,$Z$17:Z81,1,$AB$17:AB81,1)=1,1,0),0)</f>
        <v>0</v>
      </c>
      <c r="AG81" s="57" t="n">
        <f aca="false">IF(AND(AA81=1,AB81=1),IF(COUNTIFS($J$17:J81,J81,$L$17:L81,L81,$AA$17:AA81,1,$AB$17:AB81,1)=1,1,0),0)</f>
        <v>0</v>
      </c>
      <c r="AH81" s="57" t="n">
        <f aca="false">IF(AND(AA81=1,AB81=1),IF(COUNTIFS($J$17:J81,J81,$K$17:K81,K81,$AA$17:AA81,1,$AB$17:AB81,1)=1,1,0),0)</f>
        <v>0</v>
      </c>
      <c r="AI81" s="56" t="n">
        <f aca="false">IF(V81=1,MAX(F81,0),0)</f>
        <v>159120</v>
      </c>
      <c r="AJ81" s="56" t="n">
        <f aca="false">IF(V81=1,MIN(F81,0),0)</f>
        <v>0</v>
      </c>
    </row>
    <row r="82" customFormat="false" ht="40" hidden="false" customHeight="true" outlineLevel="0" collapsed="false">
      <c r="A82" s="66" t="n">
        <v>45366</v>
      </c>
      <c r="B82" s="54" t="str">
        <f aca="false">IF(M82="","",IF(P82="",M82,HYPERLINK(P82,M82)))</f>
        <v>47QTCK18D0004-49100424F0001</v>
      </c>
      <c r="C82" s="54" t="str">
        <f aca="false">IF(N82="","",IF(Q82="",N82,HYPERLINK(Q82,N82)))</f>
        <v>Booz Allen Hamilton Inc.</v>
      </c>
      <c r="D82" s="60" t="s">
        <v>111</v>
      </c>
      <c r="E82" s="54" t="str">
        <f aca="false">IF(O82="","",IF(R82="",O82,HYPERLINK(R82,O82)))</f>
        <v>Division of Information Systems</v>
      </c>
      <c r="F82" s="62" t="n">
        <v>650000</v>
      </c>
      <c r="G82" s="61" t="s">
        <v>464</v>
      </c>
      <c r="H82" s="58"/>
      <c r="I82" s="58" t="s">
        <v>533</v>
      </c>
      <c r="J82" s="58" t="s">
        <v>297</v>
      </c>
      <c r="K82" s="58" t="s">
        <v>109</v>
      </c>
      <c r="L82" s="58" t="s">
        <v>197</v>
      </c>
      <c r="M82" s="58" t="s">
        <v>298</v>
      </c>
      <c r="N82" s="58" t="s">
        <v>110</v>
      </c>
      <c r="O82" s="58" t="s">
        <v>198</v>
      </c>
      <c r="P82" s="58" t="s">
        <v>299</v>
      </c>
      <c r="Q82" s="58" t="s">
        <v>112</v>
      </c>
      <c r="R82" s="58" t="s">
        <v>200</v>
      </c>
      <c r="S82" s="57" t="n">
        <f aca="false">IF(ISNUMBER(A82),YEAR(A82)+IF(MONTH(A82)&gt;=10,1,0),"")</f>
        <v>2024</v>
      </c>
      <c r="T82" s="57" t="n">
        <f aca="false">IF(ISNUMBER(A82),INT(MOD(MONTH(A82)-10,12)/3)+1,"")</f>
        <v>2</v>
      </c>
      <c r="U82" s="57" t="str">
        <f aca="false">IF(AND(I82&lt;&gt;"",D82&lt;&gt;"",OR(COUNTIFS(TransactionsData[Vendor ID],K82,TransactionsData[UEI],"&lt;&gt;"&amp;D82,TransactionsData[UEI],"?*")&gt;0,COUNTIFS(VendorGroups[Record ID],K82,VendorGroups[Source UEI],"&lt;&gt;"&amp;D82,VendorGroups[Source UEI],"?*")&gt;0)),"Conflicting vendor UEIs",IF(I82="",IF(COUNTA(A82,D82,F82:R82)&gt;0,"Missing transaction ID",""),IF(COUNTIFS(TransactionsData[Transaction ID],I82)&lt;&gt;1,"Duplicate transaction ID",IF(OR(NOT(ISNUMBER(A82)),A82&lt;1,A82&gt;DATE(2099,1,1)),"Use a valid date",IF(OR(A82&lt;$B$4,A82&gt;$D$4),"Outside coverage",IF(NOT(ISNUMBER(F82)),"Missing or invalid amount",IF(OR(K82="",L82="",N82=""),"Add vendor and office identities",IF(G82="Exclude",IF(OR(F82&lt;&gt;0,H82=""),"Review nonzero or unexplained exclusion",""),IF(G82&lt;&gt;"Include","Choose Include or Exclude",IF(COUNTIFS(AwardsData[Award ID],J82)&lt;&gt;1,"Award link needs review",IF(INDEX(AwardsData[Input check],MATCH(J82,AwardsData[Award ID],0))&lt;&gt;"","Check award inputs","")))))))))))</f>
        <v/>
      </c>
      <c r="V82" s="57" t="n">
        <f aca="false">IF(AND(I82&lt;&gt;"",U82="",G82="Include"),1,0)</f>
        <v>1</v>
      </c>
      <c r="W82" s="57" t="str">
        <f aca="false">IF(I82="","",IF(COUNTIFS(AwardsData[Award ID],J82)=1,INDEX(AwardsData[Current award type],MATCH(J82,AwardsData[Award ID],0)),"Unlinked"))</f>
        <v>Delivery Order</v>
      </c>
      <c r="X82" s="57" t="str">
        <f aca="false">IF(I82="","",IF(COUNTIFS(AwardsData[Award ID],J82)=1,INDEX(AwardsData[Current set-aside],MATCH(J82,AwardsData[Award ID],0)),"Unlinked"))</f>
        <v>No Set-Aside Used</v>
      </c>
      <c r="Y82" s="57" t="str">
        <f aca="false">IF(I82="","",IF(COUNTIFS(AwardsData[Award ID],J82)=1,INDEX(AwardsData[Performance state],MATCH(J82,AwardsData[Award ID],0)),"Unlinked"))</f>
        <v>Virginia</v>
      </c>
      <c r="Z82" s="57" t="n">
        <f aca="false">IF(AND(V82=1,OR(Dashboard!$AB$2="All",K82=Dashboard!$AB$2),OR(Dashboard!$AB$3="All",L82=Dashboard!$AB$3),OR(Dashboard!$N$10="All",W82=Dashboard!$N$10)),1,0)</f>
        <v>1</v>
      </c>
      <c r="AA82" s="57" t="n">
        <f aca="false">IF(AND(Z82=1,OR(Dashboard!$B$7="All",S82=Dashboard!$B$7)),1,0)</f>
        <v>0</v>
      </c>
      <c r="AB82" s="57" t="n">
        <f aca="false">IF(AND(V82=1,F82&lt;&gt;0),1,0)</f>
        <v>1</v>
      </c>
      <c r="AC82" s="57" t="n">
        <f aca="false">IF(AND(AA82=1,AB82=1),IF(COUNTIFS($J$17:J82,J82,$AA$17:AA82,1,$AB$17:AB82,1)=1,1,0),0)</f>
        <v>0</v>
      </c>
      <c r="AD82" s="57" t="n">
        <f aca="false">IF(AND(AA82=1,AB82=1),IF(COUNTIFS($K$17:K82,K82,$AA$17:AA82,1,$AB$17:AB82,1)=1,1,0),0)</f>
        <v>0</v>
      </c>
      <c r="AE82" s="57" t="n">
        <f aca="false">IF(AND(Z82=1,AB82=1),IF(COUNTIFS($J$17:J82,J82,$S$17:S82,S82,$Z$17:Z82,1,$AB$17:AB82,1)=1,1,0),0)</f>
        <v>0</v>
      </c>
      <c r="AF82" s="57" t="n">
        <f aca="false">IF(AND(Z82=1,AB82=1),IF(COUNTIFS($K$17:K82,K82,$S$17:S82,S82,$Z$17:Z82,1,$AB$17:AB82,1)=1,1,0),0)</f>
        <v>0</v>
      </c>
      <c r="AG82" s="57" t="n">
        <f aca="false">IF(AND(AA82=1,AB82=1),IF(COUNTIFS($J$17:J82,J82,$L$17:L82,L82,$AA$17:AA82,1,$AB$17:AB82,1)=1,1,0),0)</f>
        <v>0</v>
      </c>
      <c r="AH82" s="57" t="n">
        <f aca="false">IF(AND(AA82=1,AB82=1),IF(COUNTIFS($J$17:J82,J82,$K$17:K82,K82,$AA$17:AA82,1,$AB$17:AB82,1)=1,1,0),0)</f>
        <v>0</v>
      </c>
      <c r="AI82" s="56" t="n">
        <f aca="false">IF(V82=1,MAX(F82,0),0)</f>
        <v>650000</v>
      </c>
      <c r="AJ82" s="56" t="n">
        <f aca="false">IF(V82=1,MIN(F82,0),0)</f>
        <v>0</v>
      </c>
    </row>
    <row r="83" customFormat="false" ht="40" hidden="false" customHeight="true" outlineLevel="0" collapsed="false">
      <c r="A83" s="66" t="n">
        <v>45371</v>
      </c>
      <c r="B83" s="54" t="str">
        <f aca="false">IF(M83="","",IF(P83="",M83,HYPERLINK(P83,M83)))</f>
        <v>GS35F337BA-49100421F0078</v>
      </c>
      <c r="C83" s="54" t="str">
        <f aca="false">IF(N83="","",IF(Q83="",N83,HYPERLINK(Q83,N83)))</f>
        <v>Civicactions, Inc.</v>
      </c>
      <c r="D83" s="60" t="s">
        <v>115</v>
      </c>
      <c r="E83" s="54" t="str">
        <f aca="false">IF(O83="","",IF(R83="",O83,HYPERLINK(R83,O83)))</f>
        <v>Division of Information Systems</v>
      </c>
      <c r="F83" s="62" t="n">
        <v>120597.44</v>
      </c>
      <c r="G83" s="61" t="s">
        <v>464</v>
      </c>
      <c r="H83" s="58"/>
      <c r="I83" s="58" t="s">
        <v>534</v>
      </c>
      <c r="J83" s="58" t="s">
        <v>414</v>
      </c>
      <c r="K83" s="58" t="s">
        <v>113</v>
      </c>
      <c r="L83" s="58" t="s">
        <v>197</v>
      </c>
      <c r="M83" s="58" t="s">
        <v>415</v>
      </c>
      <c r="N83" s="58" t="s">
        <v>114</v>
      </c>
      <c r="O83" s="58" t="s">
        <v>198</v>
      </c>
      <c r="P83" s="58" t="s">
        <v>416</v>
      </c>
      <c r="Q83" s="58" t="s">
        <v>116</v>
      </c>
      <c r="R83" s="58" t="s">
        <v>200</v>
      </c>
      <c r="S83" s="57" t="n">
        <f aca="false">IF(ISNUMBER(A83),YEAR(A83)+IF(MONTH(A83)&gt;=10,1,0),"")</f>
        <v>2024</v>
      </c>
      <c r="T83" s="57" t="n">
        <f aca="false">IF(ISNUMBER(A83),INT(MOD(MONTH(A83)-10,12)/3)+1,"")</f>
        <v>2</v>
      </c>
      <c r="U83" s="57" t="str">
        <f aca="false">IF(AND(I83&lt;&gt;"",D83&lt;&gt;"",OR(COUNTIFS(TransactionsData[Vendor ID],K83,TransactionsData[UEI],"&lt;&gt;"&amp;D83,TransactionsData[UEI],"?*")&gt;0,COUNTIFS(VendorGroups[Record ID],K83,VendorGroups[Source UEI],"&lt;&gt;"&amp;D83,VendorGroups[Source UEI],"?*")&gt;0)),"Conflicting vendor UEIs",IF(I83="",IF(COUNTA(A83,D83,F83:R83)&gt;0,"Missing transaction ID",""),IF(COUNTIFS(TransactionsData[Transaction ID],I83)&lt;&gt;1,"Duplicate transaction ID",IF(OR(NOT(ISNUMBER(A83)),A83&lt;1,A83&gt;DATE(2099,1,1)),"Use a valid date",IF(OR(A83&lt;$B$4,A83&gt;$D$4),"Outside coverage",IF(NOT(ISNUMBER(F83)),"Missing or invalid amount",IF(OR(K83="",L83="",N83=""),"Add vendor and office identities",IF(G83="Exclude",IF(OR(F83&lt;&gt;0,H83=""),"Review nonzero or unexplained exclusion",""),IF(G83&lt;&gt;"Include","Choose Include or Exclude",IF(COUNTIFS(AwardsData[Award ID],J83)&lt;&gt;1,"Award link needs review",IF(INDEX(AwardsData[Input check],MATCH(J83,AwardsData[Award ID],0))&lt;&gt;"","Check award inputs","")))))))))))</f>
        <v/>
      </c>
      <c r="V83" s="57" t="n">
        <f aca="false">IF(AND(I83&lt;&gt;"",U83="",G83="Include"),1,0)</f>
        <v>1</v>
      </c>
      <c r="W83" s="57" t="str">
        <f aca="false">IF(I83="","",IF(COUNTIFS(AwardsData[Award ID],J83)=1,INDEX(AwardsData[Current award type],MATCH(J83,AwardsData[Award ID],0)),"Unlinked"))</f>
        <v>Delivery Order</v>
      </c>
      <c r="X83" s="57" t="str">
        <f aca="false">IF(I83="","",IF(COUNTIFS(AwardsData[Award ID],J83)=1,INDEX(AwardsData[Current set-aside],MATCH(J83,AwardsData[Award ID],0)),"Unlinked"))</f>
        <v>Total Small Business</v>
      </c>
      <c r="Y83" s="57" t="str">
        <f aca="false">IF(I83="","",IF(COUNTIFS(AwardsData[Award ID],J83)=1,INDEX(AwardsData[Performance state],MATCH(J83,AwardsData[Award ID],0)),"Unlinked"))</f>
        <v>California</v>
      </c>
      <c r="Z83" s="57" t="n">
        <f aca="false">IF(AND(V83=1,OR(Dashboard!$AB$2="All",K83=Dashboard!$AB$2),OR(Dashboard!$AB$3="All",L83=Dashboard!$AB$3),OR(Dashboard!$N$10="All",W83=Dashboard!$N$10)),1,0)</f>
        <v>1</v>
      </c>
      <c r="AA83" s="57" t="n">
        <f aca="false">IF(AND(Z83=1,OR(Dashboard!$B$7="All",S83=Dashboard!$B$7)),1,0)</f>
        <v>0</v>
      </c>
      <c r="AB83" s="57" t="n">
        <f aca="false">IF(AND(V83=1,F83&lt;&gt;0),1,0)</f>
        <v>1</v>
      </c>
      <c r="AC83" s="57" t="n">
        <f aca="false">IF(AND(AA83=1,AB83=1),IF(COUNTIFS($J$17:J83,J83,$AA$17:AA83,1,$AB$17:AB83,1)=1,1,0),0)</f>
        <v>0</v>
      </c>
      <c r="AD83" s="57" t="n">
        <f aca="false">IF(AND(AA83=1,AB83=1),IF(COUNTIFS($K$17:K83,K83,$AA$17:AA83,1,$AB$17:AB83,1)=1,1,0),0)</f>
        <v>0</v>
      </c>
      <c r="AE83" s="57" t="n">
        <f aca="false">IF(AND(Z83=1,AB83=1),IF(COUNTIFS($J$17:J83,J83,$S$17:S83,S83,$Z$17:Z83,1,$AB$17:AB83,1)=1,1,0),0)</f>
        <v>0</v>
      </c>
      <c r="AF83" s="57" t="n">
        <f aca="false">IF(AND(Z83=1,AB83=1),IF(COUNTIFS($K$17:K83,K83,$S$17:S83,S83,$Z$17:Z83,1,$AB$17:AB83,1)=1,1,0),0)</f>
        <v>0</v>
      </c>
      <c r="AG83" s="57" t="n">
        <f aca="false">IF(AND(AA83=1,AB83=1),IF(COUNTIFS($J$17:J83,J83,$L$17:L83,L83,$AA$17:AA83,1,$AB$17:AB83,1)=1,1,0),0)</f>
        <v>0</v>
      </c>
      <c r="AH83" s="57" t="n">
        <f aca="false">IF(AND(AA83=1,AB83=1),IF(COUNTIFS($J$17:J83,J83,$K$17:K83,K83,$AA$17:AA83,1,$AB$17:AB83,1)=1,1,0),0)</f>
        <v>0</v>
      </c>
      <c r="AI83" s="56" t="n">
        <f aca="false">IF(V83=1,MAX(F83,0),0)</f>
        <v>120597.44</v>
      </c>
      <c r="AJ83" s="56" t="n">
        <f aca="false">IF(V83=1,MIN(F83,0),0)</f>
        <v>0</v>
      </c>
    </row>
    <row r="84" customFormat="false" ht="40" hidden="false" customHeight="true" outlineLevel="0" collapsed="false">
      <c r="A84" s="66" t="n">
        <v>45384</v>
      </c>
      <c r="B84" s="54" t="str">
        <f aca="false">IF(M84="","",IF(P84="",M84,HYPERLINK(P84,M84)))</f>
        <v>49100424A0006-49100424F0073</v>
      </c>
      <c r="C84" s="54" t="str">
        <f aca="false">IF(N84="","",IF(Q84="",N84,HYPERLINK(Q84,N84)))</f>
        <v>Anika Systems Incorporated</v>
      </c>
      <c r="D84" s="60" t="s">
        <v>107</v>
      </c>
      <c r="E84" s="54" t="str">
        <f aca="false">IF(O84="","",IF(R84="",O84,HYPERLINK(R84,O84)))</f>
        <v>Division of Information Systems</v>
      </c>
      <c r="F84" s="62" t="n">
        <v>630000</v>
      </c>
      <c r="G84" s="61" t="s">
        <v>464</v>
      </c>
      <c r="H84" s="58"/>
      <c r="I84" s="58" t="s">
        <v>535</v>
      </c>
      <c r="J84" s="58" t="s">
        <v>393</v>
      </c>
      <c r="K84" s="58" t="s">
        <v>105</v>
      </c>
      <c r="L84" s="58" t="s">
        <v>197</v>
      </c>
      <c r="M84" s="58" t="s">
        <v>394</v>
      </c>
      <c r="N84" s="58" t="s">
        <v>106</v>
      </c>
      <c r="O84" s="58" t="s">
        <v>198</v>
      </c>
      <c r="P84" s="58" t="s">
        <v>395</v>
      </c>
      <c r="Q84" s="58" t="s">
        <v>108</v>
      </c>
      <c r="R84" s="58" t="s">
        <v>200</v>
      </c>
      <c r="S84" s="57" t="n">
        <f aca="false">IF(ISNUMBER(A84),YEAR(A84)+IF(MONTH(A84)&gt;=10,1,0),"")</f>
        <v>2024</v>
      </c>
      <c r="T84" s="57" t="n">
        <f aca="false">IF(ISNUMBER(A84),INT(MOD(MONTH(A84)-10,12)/3)+1,"")</f>
        <v>3</v>
      </c>
      <c r="U84" s="57" t="str">
        <f aca="false">IF(AND(I84&lt;&gt;"",D84&lt;&gt;"",OR(COUNTIFS(TransactionsData[Vendor ID],K84,TransactionsData[UEI],"&lt;&gt;"&amp;D84,TransactionsData[UEI],"?*")&gt;0,COUNTIFS(VendorGroups[Record ID],K84,VendorGroups[Source UEI],"&lt;&gt;"&amp;D84,VendorGroups[Source UEI],"?*")&gt;0)),"Conflicting vendor UEIs",IF(I84="",IF(COUNTA(A84,D84,F84:R84)&gt;0,"Missing transaction ID",""),IF(COUNTIFS(TransactionsData[Transaction ID],I84)&lt;&gt;1,"Duplicate transaction ID",IF(OR(NOT(ISNUMBER(A84)),A84&lt;1,A84&gt;DATE(2099,1,1)),"Use a valid date",IF(OR(A84&lt;$B$4,A84&gt;$D$4),"Outside coverage",IF(NOT(ISNUMBER(F84)),"Missing or invalid amount",IF(OR(K84="",L84="",N84=""),"Add vendor and office identities",IF(G84="Exclude",IF(OR(F84&lt;&gt;0,H84=""),"Review nonzero or unexplained exclusion",""),IF(G84&lt;&gt;"Include","Choose Include or Exclude",IF(COUNTIFS(AwardsData[Award ID],J84)&lt;&gt;1,"Award link needs review",IF(INDEX(AwardsData[Input check],MATCH(J84,AwardsData[Award ID],0))&lt;&gt;"","Check award inputs","")))))))))))</f>
        <v/>
      </c>
      <c r="V84" s="57" t="n">
        <f aca="false">IF(AND(I84&lt;&gt;"",U84="",G84="Include"),1,0)</f>
        <v>1</v>
      </c>
      <c r="W84" s="57" t="str">
        <f aca="false">IF(I84="","",IF(COUNTIFS(AwardsData[Award ID],J84)=1,INDEX(AwardsData[Current award type],MATCH(J84,AwardsData[Award ID],0)),"Unlinked"))</f>
        <v>BPA Call</v>
      </c>
      <c r="X84" s="57" t="str">
        <f aca="false">IF(I84="","",IF(COUNTIFS(AwardsData[Award ID],J84)=1,INDEX(AwardsData[Current set-aside],MATCH(J84,AwardsData[Award ID],0)),"Unlinked"))</f>
        <v>Competitive 8(a)</v>
      </c>
      <c r="Y84" s="57" t="str">
        <f aca="false">IF(I84="","",IF(COUNTIFS(AwardsData[Award ID],J84)=1,INDEX(AwardsData[Performance state],MATCH(J84,AwardsData[Award ID],0)),"Unlinked"))</f>
        <v>Virginia</v>
      </c>
      <c r="Z84" s="57" t="n">
        <f aca="false">IF(AND(V84=1,OR(Dashboard!$AB$2="All",K84=Dashboard!$AB$2),OR(Dashboard!$AB$3="All",L84=Dashboard!$AB$3),OR(Dashboard!$N$10="All",W84=Dashboard!$N$10)),1,0)</f>
        <v>1</v>
      </c>
      <c r="AA84" s="57" t="n">
        <f aca="false">IF(AND(Z84=1,OR(Dashboard!$B$7="All",S84=Dashboard!$B$7)),1,0)</f>
        <v>0</v>
      </c>
      <c r="AB84" s="57" t="n">
        <f aca="false">IF(AND(V84=1,F84&lt;&gt;0),1,0)</f>
        <v>1</v>
      </c>
      <c r="AC84" s="57" t="n">
        <f aca="false">IF(AND(AA84=1,AB84=1),IF(COUNTIFS($J$17:J84,J84,$AA$17:AA84,1,$AB$17:AB84,1)=1,1,0),0)</f>
        <v>0</v>
      </c>
      <c r="AD84" s="57" t="n">
        <f aca="false">IF(AND(AA84=1,AB84=1),IF(COUNTIFS($K$17:K84,K84,$AA$17:AA84,1,$AB$17:AB84,1)=1,1,0),0)</f>
        <v>0</v>
      </c>
      <c r="AE84" s="57" t="n">
        <f aca="false">IF(AND(Z84=1,AB84=1),IF(COUNTIFS($J$17:J84,J84,$S$17:S84,S84,$Z$17:Z84,1,$AB$17:AB84,1)=1,1,0),0)</f>
        <v>1</v>
      </c>
      <c r="AF84" s="57" t="n">
        <f aca="false">IF(AND(Z84=1,AB84=1),IF(COUNTIFS($K$17:K84,K84,$S$17:S84,S84,$Z$17:Z84,1,$AB$17:AB84,1)=1,1,0),0)</f>
        <v>1</v>
      </c>
      <c r="AG84" s="57" t="n">
        <f aca="false">IF(AND(AA84=1,AB84=1),IF(COUNTIFS($J$17:J84,J84,$L$17:L84,L84,$AA$17:AA84,1,$AB$17:AB84,1)=1,1,0),0)</f>
        <v>0</v>
      </c>
      <c r="AH84" s="57" t="n">
        <f aca="false">IF(AND(AA84=1,AB84=1),IF(COUNTIFS($J$17:J84,J84,$K$17:K84,K84,$AA$17:AA84,1,$AB$17:AB84,1)=1,1,0),0)</f>
        <v>0</v>
      </c>
      <c r="AI84" s="56" t="n">
        <f aca="false">IF(V84=1,MAX(F84,0),0)</f>
        <v>630000</v>
      </c>
      <c r="AJ84" s="56" t="n">
        <f aca="false">IF(V84=1,MIN(F84,0),0)</f>
        <v>0</v>
      </c>
    </row>
    <row r="85" customFormat="false" ht="40" hidden="false" customHeight="true" outlineLevel="0" collapsed="false">
      <c r="A85" s="66" t="n">
        <v>45384</v>
      </c>
      <c r="B85" s="54" t="str">
        <f aca="false">IF(M85="","",IF(P85="",M85,HYPERLINK(P85,M85)))</f>
        <v>Unlinked</v>
      </c>
      <c r="C85" s="54" t="str">
        <f aca="false">IF(N85="","",IF(Q85="",N85,HYPERLINK(Q85,N85)))</f>
        <v>Anika Systems Incorporated</v>
      </c>
      <c r="D85" s="60" t="s">
        <v>107</v>
      </c>
      <c r="E85" s="54" t="str">
        <f aca="false">IF(O85="","",IF(R85="",O85,HYPERLINK(R85,O85)))</f>
        <v>Division of Information Systems</v>
      </c>
      <c r="F85" s="62" t="n">
        <v>0</v>
      </c>
      <c r="G85" s="61" t="s">
        <v>492</v>
      </c>
      <c r="H85" s="58" t="s">
        <v>493</v>
      </c>
      <c r="I85" s="58" t="s">
        <v>536</v>
      </c>
      <c r="J85" s="58"/>
      <c r="K85" s="58" t="s">
        <v>105</v>
      </c>
      <c r="L85" s="58" t="s">
        <v>197</v>
      </c>
      <c r="M85" s="58" t="s">
        <v>495</v>
      </c>
      <c r="N85" s="58" t="s">
        <v>106</v>
      </c>
      <c r="O85" s="58" t="s">
        <v>198</v>
      </c>
      <c r="P85" s="58"/>
      <c r="Q85" s="58" t="s">
        <v>108</v>
      </c>
      <c r="R85" s="58" t="s">
        <v>200</v>
      </c>
      <c r="S85" s="57" t="n">
        <f aca="false">IF(ISNUMBER(A85),YEAR(A85)+IF(MONTH(A85)&gt;=10,1,0),"")</f>
        <v>2024</v>
      </c>
      <c r="T85" s="57" t="n">
        <f aca="false">IF(ISNUMBER(A85),INT(MOD(MONTH(A85)-10,12)/3)+1,"")</f>
        <v>3</v>
      </c>
      <c r="U85" s="57" t="str">
        <f aca="false">IF(AND(I85&lt;&gt;"",D85&lt;&gt;"",OR(COUNTIFS(TransactionsData[Vendor ID],K85,TransactionsData[UEI],"&lt;&gt;"&amp;D85,TransactionsData[UEI],"?*")&gt;0,COUNTIFS(VendorGroups[Record ID],K85,VendorGroups[Source UEI],"&lt;&gt;"&amp;D85,VendorGroups[Source UEI],"?*")&gt;0)),"Conflicting vendor UEIs",IF(I85="",IF(COUNTA(A85,D85,F85:R85)&gt;0,"Missing transaction ID",""),IF(COUNTIFS(TransactionsData[Transaction ID],I85)&lt;&gt;1,"Duplicate transaction ID",IF(OR(NOT(ISNUMBER(A85)),A85&lt;1,A85&gt;DATE(2099,1,1)),"Use a valid date",IF(OR(A85&lt;$B$4,A85&gt;$D$4),"Outside coverage",IF(NOT(ISNUMBER(F85)),"Missing or invalid amount",IF(OR(K85="",L85="",N85=""),"Add vendor and office identities",IF(G85="Exclude",IF(OR(F85&lt;&gt;0,H85=""),"Review nonzero or unexplained exclusion",""),IF(G85&lt;&gt;"Include","Choose Include or Exclude",IF(COUNTIFS(AwardsData[Award ID],J85)&lt;&gt;1,"Award link needs review",IF(INDEX(AwardsData[Input check],MATCH(J85,AwardsData[Award ID],0))&lt;&gt;"","Check award inputs","")))))))))))</f>
        <v/>
      </c>
      <c r="V85" s="57" t="n">
        <f aca="false">IF(AND(I85&lt;&gt;"",U85="",G85="Include"),1,0)</f>
        <v>0</v>
      </c>
      <c r="W85" s="57" t="str">
        <f aca="false">IF(I85="","",IF(COUNTIFS(AwardsData[Award ID],J85)=1,INDEX(AwardsData[Current award type],MATCH(J85,AwardsData[Award ID],0)),"Unlinked"))</f>
        <v>Unlinked</v>
      </c>
      <c r="X85" s="57" t="str">
        <f aca="false">IF(I85="","",IF(COUNTIFS(AwardsData[Award ID],J85)=1,INDEX(AwardsData[Current set-aside],MATCH(J85,AwardsData[Award ID],0)),"Unlinked"))</f>
        <v>Unlinked</v>
      </c>
      <c r="Y85" s="57" t="str">
        <f aca="false">IF(I85="","",IF(COUNTIFS(AwardsData[Award ID],J85)=1,INDEX(AwardsData[Performance state],MATCH(J85,AwardsData[Award ID],0)),"Unlinked"))</f>
        <v>Unlinked</v>
      </c>
      <c r="Z85" s="57" t="n">
        <f aca="false">IF(AND(V85=1,OR(Dashboard!$AB$2="All",K85=Dashboard!$AB$2),OR(Dashboard!$AB$3="All",L85=Dashboard!$AB$3),OR(Dashboard!$N$10="All",W85=Dashboard!$N$10)),1,0)</f>
        <v>0</v>
      </c>
      <c r="AA85" s="57" t="n">
        <f aca="false">IF(AND(Z85=1,OR(Dashboard!$B$7="All",S85=Dashboard!$B$7)),1,0)</f>
        <v>0</v>
      </c>
      <c r="AB85" s="57" t="n">
        <f aca="false">IF(AND(V85=1,F85&lt;&gt;0),1,0)</f>
        <v>0</v>
      </c>
      <c r="AC85" s="57" t="n">
        <f aca="false">IF(AND(AA85=1,AB85=1),IF(COUNTIFS($J$17:J85,J85,$AA$17:AA85,1,$AB$17:AB85,1)=1,1,0),0)</f>
        <v>0</v>
      </c>
      <c r="AD85" s="57" t="n">
        <f aca="false">IF(AND(AA85=1,AB85=1),IF(COUNTIFS($K$17:K85,K85,$AA$17:AA85,1,$AB$17:AB85,1)=1,1,0),0)</f>
        <v>0</v>
      </c>
      <c r="AE85" s="57" t="n">
        <f aca="false">IF(AND(Z85=1,AB85=1),IF(COUNTIFS($J$17:J85,J85,$S$17:S85,S85,$Z$17:Z85,1,$AB$17:AB85,1)=1,1,0),0)</f>
        <v>0</v>
      </c>
      <c r="AF85" s="57" t="n">
        <f aca="false">IF(AND(Z85=1,AB85=1),IF(COUNTIFS($K$17:K85,K85,$S$17:S85,S85,$Z$17:Z85,1,$AB$17:AB85,1)=1,1,0),0)</f>
        <v>0</v>
      </c>
      <c r="AG85" s="57" t="n">
        <f aca="false">IF(AND(AA85=1,AB85=1),IF(COUNTIFS($J$17:J85,J85,$L$17:L85,L85,$AA$17:AA85,1,$AB$17:AB85,1)=1,1,0),0)</f>
        <v>0</v>
      </c>
      <c r="AH85" s="57" t="n">
        <f aca="false">IF(AND(AA85=1,AB85=1),IF(COUNTIFS($J$17:J85,J85,$K$17:K85,K85,$AA$17:AA85,1,$AB$17:AB85,1)=1,1,0),0)</f>
        <v>0</v>
      </c>
      <c r="AI85" s="56" t="n">
        <f aca="false">IF(V85=1,MAX(F85,0),0)</f>
        <v>0</v>
      </c>
      <c r="AJ85" s="56" t="n">
        <f aca="false">IF(V85=1,MIN(F85,0),0)</f>
        <v>0</v>
      </c>
    </row>
    <row r="86" customFormat="false" ht="40" hidden="false" customHeight="true" outlineLevel="0" collapsed="false">
      <c r="A86" s="66" t="n">
        <v>45392</v>
      </c>
      <c r="B86" s="54" t="str">
        <f aca="false">IF(M86="","",IF(P86="",M86,HYPERLINK(P86,M86)))</f>
        <v>47QTCK18D0004-49100424F0001</v>
      </c>
      <c r="C86" s="54" t="str">
        <f aca="false">IF(N86="","",IF(Q86="",N86,HYPERLINK(Q86,N86)))</f>
        <v>Booz Allen Hamilton Inc.</v>
      </c>
      <c r="D86" s="60" t="s">
        <v>111</v>
      </c>
      <c r="E86" s="54" t="str">
        <f aca="false">IF(O86="","",IF(R86="",O86,HYPERLINK(R86,O86)))</f>
        <v>Division of Information Systems</v>
      </c>
      <c r="F86" s="62" t="n">
        <v>4950000</v>
      </c>
      <c r="G86" s="61" t="s">
        <v>464</v>
      </c>
      <c r="H86" s="58"/>
      <c r="I86" s="58" t="s">
        <v>537</v>
      </c>
      <c r="J86" s="58" t="s">
        <v>297</v>
      </c>
      <c r="K86" s="58" t="s">
        <v>109</v>
      </c>
      <c r="L86" s="58" t="s">
        <v>197</v>
      </c>
      <c r="M86" s="58" t="s">
        <v>298</v>
      </c>
      <c r="N86" s="58" t="s">
        <v>110</v>
      </c>
      <c r="O86" s="58" t="s">
        <v>198</v>
      </c>
      <c r="P86" s="58" t="s">
        <v>299</v>
      </c>
      <c r="Q86" s="58" t="s">
        <v>112</v>
      </c>
      <c r="R86" s="58" t="s">
        <v>200</v>
      </c>
      <c r="S86" s="57" t="n">
        <f aca="false">IF(ISNUMBER(A86),YEAR(A86)+IF(MONTH(A86)&gt;=10,1,0),"")</f>
        <v>2024</v>
      </c>
      <c r="T86" s="57" t="n">
        <f aca="false">IF(ISNUMBER(A86),INT(MOD(MONTH(A86)-10,12)/3)+1,"")</f>
        <v>3</v>
      </c>
      <c r="U86" s="57" t="str">
        <f aca="false">IF(AND(I86&lt;&gt;"",D86&lt;&gt;"",OR(COUNTIFS(TransactionsData[Vendor ID],K86,TransactionsData[UEI],"&lt;&gt;"&amp;D86,TransactionsData[UEI],"?*")&gt;0,COUNTIFS(VendorGroups[Record ID],K86,VendorGroups[Source UEI],"&lt;&gt;"&amp;D86,VendorGroups[Source UEI],"?*")&gt;0)),"Conflicting vendor UEIs",IF(I86="",IF(COUNTA(A86,D86,F86:R86)&gt;0,"Missing transaction ID",""),IF(COUNTIFS(TransactionsData[Transaction ID],I86)&lt;&gt;1,"Duplicate transaction ID",IF(OR(NOT(ISNUMBER(A86)),A86&lt;1,A86&gt;DATE(2099,1,1)),"Use a valid date",IF(OR(A86&lt;$B$4,A86&gt;$D$4),"Outside coverage",IF(NOT(ISNUMBER(F86)),"Missing or invalid amount",IF(OR(K86="",L86="",N86=""),"Add vendor and office identities",IF(G86="Exclude",IF(OR(F86&lt;&gt;0,H86=""),"Review nonzero or unexplained exclusion",""),IF(G86&lt;&gt;"Include","Choose Include or Exclude",IF(COUNTIFS(AwardsData[Award ID],J86)&lt;&gt;1,"Award link needs review",IF(INDEX(AwardsData[Input check],MATCH(J86,AwardsData[Award ID],0))&lt;&gt;"","Check award inputs","")))))))))))</f>
        <v/>
      </c>
      <c r="V86" s="57" t="n">
        <f aca="false">IF(AND(I86&lt;&gt;"",U86="",G86="Include"),1,0)</f>
        <v>1</v>
      </c>
      <c r="W86" s="57" t="str">
        <f aca="false">IF(I86="","",IF(COUNTIFS(AwardsData[Award ID],J86)=1,INDEX(AwardsData[Current award type],MATCH(J86,AwardsData[Award ID],0)),"Unlinked"))</f>
        <v>Delivery Order</v>
      </c>
      <c r="X86" s="57" t="str">
        <f aca="false">IF(I86="","",IF(COUNTIFS(AwardsData[Award ID],J86)=1,INDEX(AwardsData[Current set-aside],MATCH(J86,AwardsData[Award ID],0)),"Unlinked"))</f>
        <v>No Set-Aside Used</v>
      </c>
      <c r="Y86" s="57" t="str">
        <f aca="false">IF(I86="","",IF(COUNTIFS(AwardsData[Award ID],J86)=1,INDEX(AwardsData[Performance state],MATCH(J86,AwardsData[Award ID],0)),"Unlinked"))</f>
        <v>Virginia</v>
      </c>
      <c r="Z86" s="57" t="n">
        <f aca="false">IF(AND(V86=1,OR(Dashboard!$AB$2="All",K86=Dashboard!$AB$2),OR(Dashboard!$AB$3="All",L86=Dashboard!$AB$3),OR(Dashboard!$N$10="All",W86=Dashboard!$N$10)),1,0)</f>
        <v>1</v>
      </c>
      <c r="AA86" s="57" t="n">
        <f aca="false">IF(AND(Z86=1,OR(Dashboard!$B$7="All",S86=Dashboard!$B$7)),1,0)</f>
        <v>0</v>
      </c>
      <c r="AB86" s="57" t="n">
        <f aca="false">IF(AND(V86=1,F86&lt;&gt;0),1,0)</f>
        <v>1</v>
      </c>
      <c r="AC86" s="57" t="n">
        <f aca="false">IF(AND(AA86=1,AB86=1),IF(COUNTIFS($J$17:J86,J86,$AA$17:AA86,1,$AB$17:AB86,1)=1,1,0),0)</f>
        <v>0</v>
      </c>
      <c r="AD86" s="57" t="n">
        <f aca="false">IF(AND(AA86=1,AB86=1),IF(COUNTIFS($K$17:K86,K86,$AA$17:AA86,1,$AB$17:AB86,1)=1,1,0),0)</f>
        <v>0</v>
      </c>
      <c r="AE86" s="57" t="n">
        <f aca="false">IF(AND(Z86=1,AB86=1),IF(COUNTIFS($J$17:J86,J86,$S$17:S86,S86,$Z$17:Z86,1,$AB$17:AB86,1)=1,1,0),0)</f>
        <v>0</v>
      </c>
      <c r="AF86" s="57" t="n">
        <f aca="false">IF(AND(Z86=1,AB86=1),IF(COUNTIFS($K$17:K86,K86,$S$17:S86,S86,$Z$17:Z86,1,$AB$17:AB86,1)=1,1,0),0)</f>
        <v>0</v>
      </c>
      <c r="AG86" s="57" t="n">
        <f aca="false">IF(AND(AA86=1,AB86=1),IF(COUNTIFS($J$17:J86,J86,$L$17:L86,L86,$AA$17:AA86,1,$AB$17:AB86,1)=1,1,0),0)</f>
        <v>0</v>
      </c>
      <c r="AH86" s="57" t="n">
        <f aca="false">IF(AND(AA86=1,AB86=1),IF(COUNTIFS($J$17:J86,J86,$K$17:K86,K86,$AA$17:AA86,1,$AB$17:AB86,1)=1,1,0),0)</f>
        <v>0</v>
      </c>
      <c r="AI86" s="56" t="n">
        <f aca="false">IF(V86=1,MAX(F86,0),0)</f>
        <v>4950000</v>
      </c>
      <c r="AJ86" s="56" t="n">
        <f aca="false">IF(V86=1,MIN(F86,0),0)</f>
        <v>0</v>
      </c>
    </row>
    <row r="87" customFormat="false" ht="40" hidden="false" customHeight="true" outlineLevel="0" collapsed="false">
      <c r="A87" s="66" t="n">
        <v>45393</v>
      </c>
      <c r="B87" s="54" t="str">
        <f aca="false">IF(M87="","",IF(P87="",M87,HYPERLINK(P87,M87)))</f>
        <v>47QTCB21D0271-49100424F0075</v>
      </c>
      <c r="C87" s="54" t="str">
        <f aca="false">IF(N87="","",IF(Q87="",N87,HYPERLINK(Q87,N87)))</f>
        <v>Expediteinfotech, Inc.</v>
      </c>
      <c r="D87" s="60" t="s">
        <v>127</v>
      </c>
      <c r="E87" s="54" t="str">
        <f aca="false">IF(O87="","",IF(R87="",O87,HYPERLINK(R87,O87)))</f>
        <v>Directorate for Engineering</v>
      </c>
      <c r="F87" s="62" t="n">
        <v>251320.88</v>
      </c>
      <c r="G87" s="61" t="s">
        <v>464</v>
      </c>
      <c r="H87" s="58"/>
      <c r="I87" s="58" t="s">
        <v>538</v>
      </c>
      <c r="J87" s="58" t="s">
        <v>289</v>
      </c>
      <c r="K87" s="58" t="s">
        <v>125</v>
      </c>
      <c r="L87" s="58" t="s">
        <v>181</v>
      </c>
      <c r="M87" s="58" t="s">
        <v>290</v>
      </c>
      <c r="N87" s="58" t="s">
        <v>126</v>
      </c>
      <c r="O87" s="58" t="s">
        <v>182</v>
      </c>
      <c r="P87" s="58" t="s">
        <v>291</v>
      </c>
      <c r="Q87" s="58" t="s">
        <v>128</v>
      </c>
      <c r="R87" s="58" t="s">
        <v>184</v>
      </c>
      <c r="S87" s="57" t="n">
        <f aca="false">IF(ISNUMBER(A87),YEAR(A87)+IF(MONTH(A87)&gt;=10,1,0),"")</f>
        <v>2024</v>
      </c>
      <c r="T87" s="57" t="n">
        <f aca="false">IF(ISNUMBER(A87),INT(MOD(MONTH(A87)-10,12)/3)+1,"")</f>
        <v>3</v>
      </c>
      <c r="U87" s="57" t="str">
        <f aca="false">IF(AND(I87&lt;&gt;"",D87&lt;&gt;"",OR(COUNTIFS(TransactionsData[Vendor ID],K87,TransactionsData[UEI],"&lt;&gt;"&amp;D87,TransactionsData[UEI],"?*")&gt;0,COUNTIFS(VendorGroups[Record ID],K87,VendorGroups[Source UEI],"&lt;&gt;"&amp;D87,VendorGroups[Source UEI],"?*")&gt;0)),"Conflicting vendor UEIs",IF(I87="",IF(COUNTA(A87,D87,F87:R87)&gt;0,"Missing transaction ID",""),IF(COUNTIFS(TransactionsData[Transaction ID],I87)&lt;&gt;1,"Duplicate transaction ID",IF(OR(NOT(ISNUMBER(A87)),A87&lt;1,A87&gt;DATE(2099,1,1)),"Use a valid date",IF(OR(A87&lt;$B$4,A87&gt;$D$4),"Outside coverage",IF(NOT(ISNUMBER(F87)),"Missing or invalid amount",IF(OR(K87="",L87="",N87=""),"Add vendor and office identities",IF(G87="Exclude",IF(OR(F87&lt;&gt;0,H87=""),"Review nonzero or unexplained exclusion",""),IF(G87&lt;&gt;"Include","Choose Include or Exclude",IF(COUNTIFS(AwardsData[Award ID],J87)&lt;&gt;1,"Award link needs review",IF(INDEX(AwardsData[Input check],MATCH(J87,AwardsData[Award ID],0))&lt;&gt;"","Check award inputs","")))))))))))</f>
        <v/>
      </c>
      <c r="V87" s="57" t="n">
        <f aca="false">IF(AND(I87&lt;&gt;"",U87="",G87="Include"),1,0)</f>
        <v>1</v>
      </c>
      <c r="W87" s="57" t="str">
        <f aca="false">IF(I87="","",IF(COUNTIFS(AwardsData[Award ID],J87)=1,INDEX(AwardsData[Current award type],MATCH(J87,AwardsData[Award ID],0)),"Unlinked"))</f>
        <v>Delivery Order</v>
      </c>
      <c r="X87" s="57" t="str">
        <f aca="false">IF(I87="","",IF(COUNTIFS(AwardsData[Award ID],J87)=1,INDEX(AwardsData[Current set-aside],MATCH(J87,AwardsData[Award ID],0)),"Unlinked"))</f>
        <v>Competitive 8(a)</v>
      </c>
      <c r="Y87" s="57" t="str">
        <f aca="false">IF(I87="","",IF(COUNTIFS(AwardsData[Award ID],J87)=1,INDEX(AwardsData[Performance state],MATCH(J87,AwardsData[Award ID],0)),"Unlinked"))</f>
        <v>Maryland</v>
      </c>
      <c r="Z87" s="57" t="n">
        <f aca="false">IF(AND(V87=1,OR(Dashboard!$AB$2="All",K87=Dashboard!$AB$2),OR(Dashboard!$AB$3="All",L87=Dashboard!$AB$3),OR(Dashboard!$N$10="All",W87=Dashboard!$N$10)),1,0)</f>
        <v>1</v>
      </c>
      <c r="AA87" s="57" t="n">
        <f aca="false">IF(AND(Z87=1,OR(Dashboard!$B$7="All",S87=Dashboard!$B$7)),1,0)</f>
        <v>0</v>
      </c>
      <c r="AB87" s="57" t="n">
        <f aca="false">IF(AND(V87=1,F87&lt;&gt;0),1,0)</f>
        <v>1</v>
      </c>
      <c r="AC87" s="57" t="n">
        <f aca="false">IF(AND(AA87=1,AB87=1),IF(COUNTIFS($J$17:J87,J87,$AA$17:AA87,1,$AB$17:AB87,1)=1,1,0),0)</f>
        <v>0</v>
      </c>
      <c r="AD87" s="57" t="n">
        <f aca="false">IF(AND(AA87=1,AB87=1),IF(COUNTIFS($K$17:K87,K87,$AA$17:AA87,1,$AB$17:AB87,1)=1,1,0),0)</f>
        <v>0</v>
      </c>
      <c r="AE87" s="57" t="n">
        <f aca="false">IF(AND(Z87=1,AB87=1),IF(COUNTIFS($J$17:J87,J87,$S$17:S87,S87,$Z$17:Z87,1,$AB$17:AB87,1)=1,1,0),0)</f>
        <v>1</v>
      </c>
      <c r="AF87" s="57" t="n">
        <f aca="false">IF(AND(Z87=1,AB87=1),IF(COUNTIFS($K$17:K87,K87,$S$17:S87,S87,$Z$17:Z87,1,$AB$17:AB87,1)=1,1,0),0)</f>
        <v>1</v>
      </c>
      <c r="AG87" s="57" t="n">
        <f aca="false">IF(AND(AA87=1,AB87=1),IF(COUNTIFS($J$17:J87,J87,$L$17:L87,L87,$AA$17:AA87,1,$AB$17:AB87,1)=1,1,0),0)</f>
        <v>0</v>
      </c>
      <c r="AH87" s="57" t="n">
        <f aca="false">IF(AND(AA87=1,AB87=1),IF(COUNTIFS($J$17:J87,J87,$K$17:K87,K87,$AA$17:AA87,1,$AB$17:AB87,1)=1,1,0),0)</f>
        <v>0</v>
      </c>
      <c r="AI87" s="56" t="n">
        <f aca="false">IF(V87=1,MAX(F87,0),0)</f>
        <v>251320.88</v>
      </c>
      <c r="AJ87" s="56" t="n">
        <f aca="false">IF(V87=1,MIN(F87,0),0)</f>
        <v>0</v>
      </c>
    </row>
    <row r="88" customFormat="false" ht="40" hidden="false" customHeight="true" outlineLevel="0" collapsed="false">
      <c r="A88" s="66" t="n">
        <v>45398</v>
      </c>
      <c r="B88" s="54" t="str">
        <f aca="false">IF(M88="","",IF(P88="",M88,HYPERLINK(P88,M88)))</f>
        <v>NNG15SC90B-49100424F0064</v>
      </c>
      <c r="C88" s="54" t="str">
        <f aca="false">IF(N88="","",IF(Q88="",N88,HYPERLINK(Q88,N88)))</f>
        <v>Strategic Communications LLC</v>
      </c>
      <c r="D88" s="60" t="s">
        <v>170</v>
      </c>
      <c r="E88" s="54" t="str">
        <f aca="false">IF(O88="","",IF(R88="",O88,HYPERLINK(R88,O88)))</f>
        <v>Division of Information Systems</v>
      </c>
      <c r="F88" s="62" t="n">
        <v>793600</v>
      </c>
      <c r="G88" s="61" t="s">
        <v>464</v>
      </c>
      <c r="H88" s="58"/>
      <c r="I88" s="58" t="s">
        <v>539</v>
      </c>
      <c r="J88" s="58" t="s">
        <v>418</v>
      </c>
      <c r="K88" s="58" t="s">
        <v>168</v>
      </c>
      <c r="L88" s="58" t="s">
        <v>197</v>
      </c>
      <c r="M88" s="58" t="s">
        <v>419</v>
      </c>
      <c r="N88" s="58" t="s">
        <v>169</v>
      </c>
      <c r="O88" s="58" t="s">
        <v>198</v>
      </c>
      <c r="P88" s="58" t="s">
        <v>420</v>
      </c>
      <c r="Q88" s="58" t="s">
        <v>171</v>
      </c>
      <c r="R88" s="58" t="s">
        <v>200</v>
      </c>
      <c r="S88" s="57" t="n">
        <f aca="false">IF(ISNUMBER(A88),YEAR(A88)+IF(MONTH(A88)&gt;=10,1,0),"")</f>
        <v>2024</v>
      </c>
      <c r="T88" s="57" t="n">
        <f aca="false">IF(ISNUMBER(A88),INT(MOD(MONTH(A88)-10,12)/3)+1,"")</f>
        <v>3</v>
      </c>
      <c r="U88" s="57" t="str">
        <f aca="false">IF(AND(I88&lt;&gt;"",D88&lt;&gt;"",OR(COUNTIFS(TransactionsData[Vendor ID],K88,TransactionsData[UEI],"&lt;&gt;"&amp;D88,TransactionsData[UEI],"?*")&gt;0,COUNTIFS(VendorGroups[Record ID],K88,VendorGroups[Source UEI],"&lt;&gt;"&amp;D88,VendorGroups[Source UEI],"?*")&gt;0)),"Conflicting vendor UEIs",IF(I88="",IF(COUNTA(A88,D88,F88:R88)&gt;0,"Missing transaction ID",""),IF(COUNTIFS(TransactionsData[Transaction ID],I88)&lt;&gt;1,"Duplicate transaction ID",IF(OR(NOT(ISNUMBER(A88)),A88&lt;1,A88&gt;DATE(2099,1,1)),"Use a valid date",IF(OR(A88&lt;$B$4,A88&gt;$D$4),"Outside coverage",IF(NOT(ISNUMBER(F88)),"Missing or invalid amount",IF(OR(K88="",L88="",N88=""),"Add vendor and office identities",IF(G88="Exclude",IF(OR(F88&lt;&gt;0,H88=""),"Review nonzero or unexplained exclusion",""),IF(G88&lt;&gt;"Include","Choose Include or Exclude",IF(COUNTIFS(AwardsData[Award ID],J88)&lt;&gt;1,"Award link needs review",IF(INDEX(AwardsData[Input check],MATCH(J88,AwardsData[Award ID],0))&lt;&gt;"","Check award inputs","")))))))))))</f>
        <v/>
      </c>
      <c r="V88" s="57" t="n">
        <f aca="false">IF(AND(I88&lt;&gt;"",U88="",G88="Include"),1,0)</f>
        <v>1</v>
      </c>
      <c r="W88" s="57" t="str">
        <f aca="false">IF(I88="","",IF(COUNTIFS(AwardsData[Award ID],J88)=1,INDEX(AwardsData[Current award type],MATCH(J88,AwardsData[Award ID],0)),"Unlinked"))</f>
        <v>Delivery Order</v>
      </c>
      <c r="X88" s="57" t="str">
        <f aca="false">IF(I88="","",IF(COUNTIFS(AwardsData[Award ID],J88)=1,INDEX(AwardsData[Current set-aside],MATCH(J88,AwardsData[Award ID],0)),"Unlinked"))</f>
        <v>Total Small Business</v>
      </c>
      <c r="Y88" s="57" t="str">
        <f aca="false">IF(I88="","",IF(COUNTIFS(AwardsData[Award ID],J88)=1,INDEX(AwardsData[Performance state],MATCH(J88,AwardsData[Award ID],0)),"Unlinked"))</f>
        <v>Virginia</v>
      </c>
      <c r="Z88" s="57" t="n">
        <f aca="false">IF(AND(V88=1,OR(Dashboard!$AB$2="All",K88=Dashboard!$AB$2),OR(Dashboard!$AB$3="All",L88=Dashboard!$AB$3),OR(Dashboard!$N$10="All",W88=Dashboard!$N$10)),1,0)</f>
        <v>1</v>
      </c>
      <c r="AA88" s="57" t="n">
        <f aca="false">IF(AND(Z88=1,OR(Dashboard!$B$7="All",S88=Dashboard!$B$7)),1,0)</f>
        <v>0</v>
      </c>
      <c r="AB88" s="57" t="n">
        <f aca="false">IF(AND(V88=1,F88&lt;&gt;0),1,0)</f>
        <v>1</v>
      </c>
      <c r="AC88" s="57" t="n">
        <f aca="false">IF(AND(AA88=1,AB88=1),IF(COUNTIFS($J$17:J88,J88,$AA$17:AA88,1,$AB$17:AB88,1)=1,1,0),0)</f>
        <v>0</v>
      </c>
      <c r="AD88" s="57" t="n">
        <f aca="false">IF(AND(AA88=1,AB88=1),IF(COUNTIFS($K$17:K88,K88,$AA$17:AA88,1,$AB$17:AB88,1)=1,1,0),0)</f>
        <v>0</v>
      </c>
      <c r="AE88" s="57" t="n">
        <f aca="false">IF(AND(Z88=1,AB88=1),IF(COUNTIFS($J$17:J88,J88,$S$17:S88,S88,$Z$17:Z88,1,$AB$17:AB88,1)=1,1,0),0)</f>
        <v>1</v>
      </c>
      <c r="AF88" s="57" t="n">
        <f aca="false">IF(AND(Z88=1,AB88=1),IF(COUNTIFS($K$17:K88,K88,$S$17:S88,S88,$Z$17:Z88,1,$AB$17:AB88,1)=1,1,0),0)</f>
        <v>1</v>
      </c>
      <c r="AG88" s="57" t="n">
        <f aca="false">IF(AND(AA88=1,AB88=1),IF(COUNTIFS($J$17:J88,J88,$L$17:L88,L88,$AA$17:AA88,1,$AB$17:AB88,1)=1,1,0),0)</f>
        <v>0</v>
      </c>
      <c r="AH88" s="57" t="n">
        <f aca="false">IF(AND(AA88=1,AB88=1),IF(COUNTIFS($J$17:J88,J88,$K$17:K88,K88,$AA$17:AA88,1,$AB$17:AB88,1)=1,1,0),0)</f>
        <v>0</v>
      </c>
      <c r="AI88" s="56" t="n">
        <f aca="false">IF(V88=1,MAX(F88,0),0)</f>
        <v>793600</v>
      </c>
      <c r="AJ88" s="56" t="n">
        <f aca="false">IF(V88=1,MIN(F88,0),0)</f>
        <v>0</v>
      </c>
    </row>
    <row r="89" customFormat="false" ht="40" hidden="false" customHeight="true" outlineLevel="0" collapsed="false">
      <c r="A89" s="66" t="n">
        <v>45413</v>
      </c>
      <c r="B89" s="54" t="str">
        <f aca="false">IF(M89="","",IF(P89="",M89,HYPERLINK(P89,M89)))</f>
        <v>GS35F337BA-49100421F0078</v>
      </c>
      <c r="C89" s="54" t="str">
        <f aca="false">IF(N89="","",IF(Q89="",N89,HYPERLINK(Q89,N89)))</f>
        <v>Civicactions, Inc.</v>
      </c>
      <c r="D89" s="60" t="s">
        <v>115</v>
      </c>
      <c r="E89" s="54" t="str">
        <f aca="false">IF(O89="","",IF(R89="",O89,HYPERLINK(R89,O89)))</f>
        <v>Division of Information Systems</v>
      </c>
      <c r="F89" s="62" t="n">
        <v>2143797.04</v>
      </c>
      <c r="G89" s="61" t="s">
        <v>464</v>
      </c>
      <c r="H89" s="58"/>
      <c r="I89" s="58" t="s">
        <v>540</v>
      </c>
      <c r="J89" s="58" t="s">
        <v>414</v>
      </c>
      <c r="K89" s="58" t="s">
        <v>113</v>
      </c>
      <c r="L89" s="58" t="s">
        <v>197</v>
      </c>
      <c r="M89" s="58" t="s">
        <v>415</v>
      </c>
      <c r="N89" s="58" t="s">
        <v>114</v>
      </c>
      <c r="O89" s="58" t="s">
        <v>198</v>
      </c>
      <c r="P89" s="58" t="s">
        <v>416</v>
      </c>
      <c r="Q89" s="58" t="s">
        <v>116</v>
      </c>
      <c r="R89" s="58" t="s">
        <v>200</v>
      </c>
      <c r="S89" s="57" t="n">
        <f aca="false">IF(ISNUMBER(A89),YEAR(A89)+IF(MONTH(A89)&gt;=10,1,0),"")</f>
        <v>2024</v>
      </c>
      <c r="T89" s="57" t="n">
        <f aca="false">IF(ISNUMBER(A89),INT(MOD(MONTH(A89)-10,12)/3)+1,"")</f>
        <v>3</v>
      </c>
      <c r="U89" s="57" t="str">
        <f aca="false">IF(AND(I89&lt;&gt;"",D89&lt;&gt;"",OR(COUNTIFS(TransactionsData[Vendor ID],K89,TransactionsData[UEI],"&lt;&gt;"&amp;D89,TransactionsData[UEI],"?*")&gt;0,COUNTIFS(VendorGroups[Record ID],K89,VendorGroups[Source UEI],"&lt;&gt;"&amp;D89,VendorGroups[Source UEI],"?*")&gt;0)),"Conflicting vendor UEIs",IF(I89="",IF(COUNTA(A89,D89,F89:R89)&gt;0,"Missing transaction ID",""),IF(COUNTIFS(TransactionsData[Transaction ID],I89)&lt;&gt;1,"Duplicate transaction ID",IF(OR(NOT(ISNUMBER(A89)),A89&lt;1,A89&gt;DATE(2099,1,1)),"Use a valid date",IF(OR(A89&lt;$B$4,A89&gt;$D$4),"Outside coverage",IF(NOT(ISNUMBER(F89)),"Missing or invalid amount",IF(OR(K89="",L89="",N89=""),"Add vendor and office identities",IF(G89="Exclude",IF(OR(F89&lt;&gt;0,H89=""),"Review nonzero or unexplained exclusion",""),IF(G89&lt;&gt;"Include","Choose Include or Exclude",IF(COUNTIFS(AwardsData[Award ID],J89)&lt;&gt;1,"Award link needs review",IF(INDEX(AwardsData[Input check],MATCH(J89,AwardsData[Award ID],0))&lt;&gt;"","Check award inputs","")))))))))))</f>
        <v/>
      </c>
      <c r="V89" s="57" t="n">
        <f aca="false">IF(AND(I89&lt;&gt;"",U89="",G89="Include"),1,0)</f>
        <v>1</v>
      </c>
      <c r="W89" s="57" t="str">
        <f aca="false">IF(I89="","",IF(COUNTIFS(AwardsData[Award ID],J89)=1,INDEX(AwardsData[Current award type],MATCH(J89,AwardsData[Award ID],0)),"Unlinked"))</f>
        <v>Delivery Order</v>
      </c>
      <c r="X89" s="57" t="str">
        <f aca="false">IF(I89="","",IF(COUNTIFS(AwardsData[Award ID],J89)=1,INDEX(AwardsData[Current set-aside],MATCH(J89,AwardsData[Award ID],0)),"Unlinked"))</f>
        <v>Total Small Business</v>
      </c>
      <c r="Y89" s="57" t="str">
        <f aca="false">IF(I89="","",IF(COUNTIFS(AwardsData[Award ID],J89)=1,INDEX(AwardsData[Performance state],MATCH(J89,AwardsData[Award ID],0)),"Unlinked"))</f>
        <v>California</v>
      </c>
      <c r="Z89" s="57" t="n">
        <f aca="false">IF(AND(V89=1,OR(Dashboard!$AB$2="All",K89=Dashboard!$AB$2),OR(Dashboard!$AB$3="All",L89=Dashboard!$AB$3),OR(Dashboard!$N$10="All",W89=Dashboard!$N$10)),1,0)</f>
        <v>1</v>
      </c>
      <c r="AA89" s="57" t="n">
        <f aca="false">IF(AND(Z89=1,OR(Dashboard!$B$7="All",S89=Dashboard!$B$7)),1,0)</f>
        <v>0</v>
      </c>
      <c r="AB89" s="57" t="n">
        <f aca="false">IF(AND(V89=1,F89&lt;&gt;0),1,0)</f>
        <v>1</v>
      </c>
      <c r="AC89" s="57" t="n">
        <f aca="false">IF(AND(AA89=1,AB89=1),IF(COUNTIFS($J$17:J89,J89,$AA$17:AA89,1,$AB$17:AB89,1)=1,1,0),0)</f>
        <v>0</v>
      </c>
      <c r="AD89" s="57" t="n">
        <f aca="false">IF(AND(AA89=1,AB89=1),IF(COUNTIFS($K$17:K89,K89,$AA$17:AA89,1,$AB$17:AB89,1)=1,1,0),0)</f>
        <v>0</v>
      </c>
      <c r="AE89" s="57" t="n">
        <f aca="false">IF(AND(Z89=1,AB89=1),IF(COUNTIFS($J$17:J89,J89,$S$17:S89,S89,$Z$17:Z89,1,$AB$17:AB89,1)=1,1,0),0)</f>
        <v>0</v>
      </c>
      <c r="AF89" s="57" t="n">
        <f aca="false">IF(AND(Z89=1,AB89=1),IF(COUNTIFS($K$17:K89,K89,$S$17:S89,S89,$Z$17:Z89,1,$AB$17:AB89,1)=1,1,0),0)</f>
        <v>0</v>
      </c>
      <c r="AG89" s="57" t="n">
        <f aca="false">IF(AND(AA89=1,AB89=1),IF(COUNTIFS($J$17:J89,J89,$L$17:L89,L89,$AA$17:AA89,1,$AB$17:AB89,1)=1,1,0),0)</f>
        <v>0</v>
      </c>
      <c r="AH89" s="57" t="n">
        <f aca="false">IF(AND(AA89=1,AB89=1),IF(COUNTIFS($J$17:J89,J89,$K$17:K89,K89,$AA$17:AA89,1,$AB$17:AB89,1)=1,1,0),0)</f>
        <v>0</v>
      </c>
      <c r="AI89" s="56" t="n">
        <f aca="false">IF(V89=1,MAX(F89,0),0)</f>
        <v>2143797.04</v>
      </c>
      <c r="AJ89" s="56" t="n">
        <f aca="false">IF(V89=1,MIN(F89,0),0)</f>
        <v>0</v>
      </c>
    </row>
    <row r="90" customFormat="false" ht="40" hidden="false" customHeight="true" outlineLevel="0" collapsed="false">
      <c r="A90" s="66" t="n">
        <v>45419</v>
      </c>
      <c r="B90" s="54" t="str">
        <f aca="false">IF(M90="","",IF(P90="",M90,HYPERLINK(P90,M90)))</f>
        <v>49100422C0029</v>
      </c>
      <c r="C90" s="54" t="str">
        <f aca="false">IF(N90="","",IF(Q90="",N90,HYPERLINK(Q90,N90)))</f>
        <v>Rei Systems, Inc.</v>
      </c>
      <c r="D90" s="60" t="s">
        <v>158</v>
      </c>
      <c r="E90" s="54" t="str">
        <f aca="false">IF(O90="","",IF(R90="",O90,HYPERLINK(R90,O90)))</f>
        <v>Division of Information Systems</v>
      </c>
      <c r="F90" s="62" t="n">
        <v>411000</v>
      </c>
      <c r="G90" s="61" t="s">
        <v>464</v>
      </c>
      <c r="H90" s="58"/>
      <c r="I90" s="58" t="s">
        <v>541</v>
      </c>
      <c r="J90" s="58" t="s">
        <v>327</v>
      </c>
      <c r="K90" s="58" t="s">
        <v>156</v>
      </c>
      <c r="L90" s="58" t="s">
        <v>197</v>
      </c>
      <c r="M90" s="58" t="s">
        <v>327</v>
      </c>
      <c r="N90" s="58" t="s">
        <v>157</v>
      </c>
      <c r="O90" s="58" t="s">
        <v>198</v>
      </c>
      <c r="P90" s="58" t="s">
        <v>328</v>
      </c>
      <c r="Q90" s="58" t="s">
        <v>159</v>
      </c>
      <c r="R90" s="58" t="s">
        <v>200</v>
      </c>
      <c r="S90" s="57" t="n">
        <f aca="false">IF(ISNUMBER(A90),YEAR(A90)+IF(MONTH(A90)&gt;=10,1,0),"")</f>
        <v>2024</v>
      </c>
      <c r="T90" s="57" t="n">
        <f aca="false">IF(ISNUMBER(A90),INT(MOD(MONTH(A90)-10,12)/3)+1,"")</f>
        <v>3</v>
      </c>
      <c r="U90" s="57" t="str">
        <f aca="false">IF(AND(I90&lt;&gt;"",D90&lt;&gt;"",OR(COUNTIFS(TransactionsData[Vendor ID],K90,TransactionsData[UEI],"&lt;&gt;"&amp;D90,TransactionsData[UEI],"?*")&gt;0,COUNTIFS(VendorGroups[Record ID],K90,VendorGroups[Source UEI],"&lt;&gt;"&amp;D90,VendorGroups[Source UEI],"?*")&gt;0)),"Conflicting vendor UEIs",IF(I90="",IF(COUNTA(A90,D90,F90:R90)&gt;0,"Missing transaction ID",""),IF(COUNTIFS(TransactionsData[Transaction ID],I90)&lt;&gt;1,"Duplicate transaction ID",IF(OR(NOT(ISNUMBER(A90)),A90&lt;1,A90&gt;DATE(2099,1,1)),"Use a valid date",IF(OR(A90&lt;$B$4,A90&gt;$D$4),"Outside coverage",IF(NOT(ISNUMBER(F90)),"Missing or invalid amount",IF(OR(K90="",L90="",N90=""),"Add vendor and office identities",IF(G90="Exclude",IF(OR(F90&lt;&gt;0,H90=""),"Review nonzero or unexplained exclusion",""),IF(G90&lt;&gt;"Include","Choose Include or Exclude",IF(COUNTIFS(AwardsData[Award ID],J90)&lt;&gt;1,"Award link needs review",IF(INDEX(AwardsData[Input check],MATCH(J90,AwardsData[Award ID],0))&lt;&gt;"","Check award inputs","")))))))))))</f>
        <v/>
      </c>
      <c r="V90" s="57" t="n">
        <f aca="false">IF(AND(I90&lt;&gt;"",U90="",G90="Include"),1,0)</f>
        <v>1</v>
      </c>
      <c r="W90" s="57" t="str">
        <f aca="false">IF(I90="","",IF(COUNTIFS(AwardsData[Award ID],J90)=1,INDEX(AwardsData[Current award type],MATCH(J90,AwardsData[Award ID],0)),"Unlinked"))</f>
        <v>Definitive Contract</v>
      </c>
      <c r="X90" s="57" t="str">
        <f aca="false">IF(I90="","",IF(COUNTIFS(AwardsData[Award ID],J90)=1,INDEX(AwardsData[Current set-aside],MATCH(J90,AwardsData[Award ID],0)),"Unlinked"))</f>
        <v>No Set-Aside Used</v>
      </c>
      <c r="Y90" s="57" t="str">
        <f aca="false">IF(I90="","",IF(COUNTIFS(AwardsData[Award ID],J90)=1,INDEX(AwardsData[Performance state],MATCH(J90,AwardsData[Award ID],0)),"Unlinked"))</f>
        <v>Virginia</v>
      </c>
      <c r="Z90" s="57" t="n">
        <f aca="false">IF(AND(V90=1,OR(Dashboard!$AB$2="All",K90=Dashboard!$AB$2),OR(Dashboard!$AB$3="All",L90=Dashboard!$AB$3),OR(Dashboard!$N$10="All",W90=Dashboard!$N$10)),1,0)</f>
        <v>1</v>
      </c>
      <c r="AA90" s="57" t="n">
        <f aca="false">IF(AND(Z90=1,OR(Dashboard!$B$7="All",S90=Dashboard!$B$7)),1,0)</f>
        <v>0</v>
      </c>
      <c r="AB90" s="57" t="n">
        <f aca="false">IF(AND(V90=1,F90&lt;&gt;0),1,0)</f>
        <v>1</v>
      </c>
      <c r="AC90" s="57" t="n">
        <f aca="false">IF(AND(AA90=1,AB90=1),IF(COUNTIFS($J$17:J90,J90,$AA$17:AA90,1,$AB$17:AB90,1)=1,1,0),0)</f>
        <v>0</v>
      </c>
      <c r="AD90" s="57" t="n">
        <f aca="false">IF(AND(AA90=1,AB90=1),IF(COUNTIFS($K$17:K90,K90,$AA$17:AA90,1,$AB$17:AB90,1)=1,1,0),0)</f>
        <v>0</v>
      </c>
      <c r="AE90" s="57" t="n">
        <f aca="false">IF(AND(Z90=1,AB90=1),IF(COUNTIFS($J$17:J90,J90,$S$17:S90,S90,$Z$17:Z90,1,$AB$17:AB90,1)=1,1,0),0)</f>
        <v>0</v>
      </c>
      <c r="AF90" s="57" t="n">
        <f aca="false">IF(AND(Z90=1,AB90=1),IF(COUNTIFS($K$17:K90,K90,$S$17:S90,S90,$Z$17:Z90,1,$AB$17:AB90,1)=1,1,0),0)</f>
        <v>0</v>
      </c>
      <c r="AG90" s="57" t="n">
        <f aca="false">IF(AND(AA90=1,AB90=1),IF(COUNTIFS($J$17:J90,J90,$L$17:L90,L90,$AA$17:AA90,1,$AB$17:AB90,1)=1,1,0),0)</f>
        <v>0</v>
      </c>
      <c r="AH90" s="57" t="n">
        <f aca="false">IF(AND(AA90=1,AB90=1),IF(COUNTIFS($J$17:J90,J90,$K$17:K90,K90,$AA$17:AA90,1,$AB$17:AB90,1)=1,1,0),0)</f>
        <v>0</v>
      </c>
      <c r="AI90" s="56" t="n">
        <f aca="false">IF(V90=1,MAX(F90,0),0)</f>
        <v>411000</v>
      </c>
      <c r="AJ90" s="56" t="n">
        <f aca="false">IF(V90=1,MIN(F90,0),0)</f>
        <v>0</v>
      </c>
    </row>
    <row r="91" customFormat="false" ht="40" hidden="false" customHeight="true" outlineLevel="0" collapsed="false">
      <c r="A91" s="66" t="n">
        <v>45420</v>
      </c>
      <c r="B91" s="54" t="str">
        <f aca="false">IF(M91="","",IF(P91="",M91,HYPERLINK(P91,M91)))</f>
        <v>49100424A0001-49100424F0030</v>
      </c>
      <c r="C91" s="54" t="str">
        <f aca="false">IF(N91="","",IF(Q91="",N91,HYPERLINK(Q91,N91)))</f>
        <v>Spatial Front Inc.</v>
      </c>
      <c r="D91" s="60" t="s">
        <v>166</v>
      </c>
      <c r="E91" s="54" t="str">
        <f aca="false">IF(O91="","",IF(R91="",O91,HYPERLINK(R91,O91)))</f>
        <v>Division of Information Systems</v>
      </c>
      <c r="F91" s="62" t="n">
        <v>0</v>
      </c>
      <c r="G91" s="61" t="s">
        <v>464</v>
      </c>
      <c r="H91" s="58"/>
      <c r="I91" s="58" t="s">
        <v>542</v>
      </c>
      <c r="J91" s="58" t="s">
        <v>364</v>
      </c>
      <c r="K91" s="58" t="s">
        <v>164</v>
      </c>
      <c r="L91" s="58" t="s">
        <v>197</v>
      </c>
      <c r="M91" s="58" t="s">
        <v>365</v>
      </c>
      <c r="N91" s="58" t="s">
        <v>165</v>
      </c>
      <c r="O91" s="58" t="s">
        <v>198</v>
      </c>
      <c r="P91" s="58" t="s">
        <v>366</v>
      </c>
      <c r="Q91" s="58" t="s">
        <v>167</v>
      </c>
      <c r="R91" s="58" t="s">
        <v>200</v>
      </c>
      <c r="S91" s="57" t="n">
        <f aca="false">IF(ISNUMBER(A91),YEAR(A91)+IF(MONTH(A91)&gt;=10,1,0),"")</f>
        <v>2024</v>
      </c>
      <c r="T91" s="57" t="n">
        <f aca="false">IF(ISNUMBER(A91),INT(MOD(MONTH(A91)-10,12)/3)+1,"")</f>
        <v>3</v>
      </c>
      <c r="U91" s="57" t="str">
        <f aca="false">IF(AND(I91&lt;&gt;"",D91&lt;&gt;"",OR(COUNTIFS(TransactionsData[Vendor ID],K91,TransactionsData[UEI],"&lt;&gt;"&amp;D91,TransactionsData[UEI],"?*")&gt;0,COUNTIFS(VendorGroups[Record ID],K91,VendorGroups[Source UEI],"&lt;&gt;"&amp;D91,VendorGroups[Source UEI],"?*")&gt;0)),"Conflicting vendor UEIs",IF(I91="",IF(COUNTA(A91,D91,F91:R91)&gt;0,"Missing transaction ID",""),IF(COUNTIFS(TransactionsData[Transaction ID],I91)&lt;&gt;1,"Duplicate transaction ID",IF(OR(NOT(ISNUMBER(A91)),A91&lt;1,A91&gt;DATE(2099,1,1)),"Use a valid date",IF(OR(A91&lt;$B$4,A91&gt;$D$4),"Outside coverage",IF(NOT(ISNUMBER(F91)),"Missing or invalid amount",IF(OR(K91="",L91="",N91=""),"Add vendor and office identities",IF(G91="Exclude",IF(OR(F91&lt;&gt;0,H91=""),"Review nonzero or unexplained exclusion",""),IF(G91&lt;&gt;"Include","Choose Include or Exclude",IF(COUNTIFS(AwardsData[Award ID],J91)&lt;&gt;1,"Award link needs review",IF(INDEX(AwardsData[Input check],MATCH(J91,AwardsData[Award ID],0))&lt;&gt;"","Check award inputs","")))))))))))</f>
        <v/>
      </c>
      <c r="V91" s="57" t="n">
        <f aca="false">IF(AND(I91&lt;&gt;"",U91="",G91="Include"),1,0)</f>
        <v>1</v>
      </c>
      <c r="W91" s="57" t="str">
        <f aca="false">IF(I91="","",IF(COUNTIFS(AwardsData[Award ID],J91)=1,INDEX(AwardsData[Current award type],MATCH(J91,AwardsData[Award ID],0)),"Unlinked"))</f>
        <v>BPA Call</v>
      </c>
      <c r="X91" s="57" t="str">
        <f aca="false">IF(I91="","",IF(COUNTIFS(AwardsData[Award ID],J91)=1,INDEX(AwardsData[Current set-aside],MATCH(J91,AwardsData[Award ID],0)),"Unlinked"))</f>
        <v>No Set-Aside Used</v>
      </c>
      <c r="Y91" s="57" t="str">
        <f aca="false">IF(I91="","",IF(COUNTIFS(AwardsData[Award ID],J91)=1,INDEX(AwardsData[Performance state],MATCH(J91,AwardsData[Award ID],0)),"Unlinked"))</f>
        <v>Virginia</v>
      </c>
      <c r="Z91" s="57" t="n">
        <f aca="false">IF(AND(V91=1,OR(Dashboard!$AB$2="All",K91=Dashboard!$AB$2),OR(Dashboard!$AB$3="All",L91=Dashboard!$AB$3),OR(Dashboard!$N$10="All",W91=Dashboard!$N$10)),1,0)</f>
        <v>1</v>
      </c>
      <c r="AA91" s="57" t="n">
        <f aca="false">IF(AND(Z91=1,OR(Dashboard!$B$7="All",S91=Dashboard!$B$7)),1,0)</f>
        <v>0</v>
      </c>
      <c r="AB91" s="57" t="n">
        <f aca="false">IF(AND(V91=1,F91&lt;&gt;0),1,0)</f>
        <v>0</v>
      </c>
      <c r="AC91" s="57" t="n">
        <f aca="false">IF(AND(AA91=1,AB91=1),IF(COUNTIFS($J$17:J91,J91,$AA$17:AA91,1,$AB$17:AB91,1)=1,1,0),0)</f>
        <v>0</v>
      </c>
      <c r="AD91" s="57" t="n">
        <f aca="false">IF(AND(AA91=1,AB91=1),IF(COUNTIFS($K$17:K91,K91,$AA$17:AA91,1,$AB$17:AB91,1)=1,1,0),0)</f>
        <v>0</v>
      </c>
      <c r="AE91" s="57" t="n">
        <f aca="false">IF(AND(Z91=1,AB91=1),IF(COUNTIFS($J$17:J91,J91,$S$17:S91,S91,$Z$17:Z91,1,$AB$17:AB91,1)=1,1,0),0)</f>
        <v>0</v>
      </c>
      <c r="AF91" s="57" t="n">
        <f aca="false">IF(AND(Z91=1,AB91=1),IF(COUNTIFS($K$17:K91,K91,$S$17:S91,S91,$Z$17:Z91,1,$AB$17:AB91,1)=1,1,0),0)</f>
        <v>0</v>
      </c>
      <c r="AG91" s="57" t="n">
        <f aca="false">IF(AND(AA91=1,AB91=1),IF(COUNTIFS($J$17:J91,J91,$L$17:L91,L91,$AA$17:AA91,1,$AB$17:AB91,1)=1,1,0),0)</f>
        <v>0</v>
      </c>
      <c r="AH91" s="57" t="n">
        <f aca="false">IF(AND(AA91=1,AB91=1),IF(COUNTIFS($J$17:J91,J91,$K$17:K91,K91,$AA$17:AA91,1,$AB$17:AB91,1)=1,1,0),0)</f>
        <v>0</v>
      </c>
      <c r="AI91" s="56" t="n">
        <f aca="false">IF(V91=1,MAX(F91,0),0)</f>
        <v>0</v>
      </c>
      <c r="AJ91" s="56" t="n">
        <f aca="false">IF(V91=1,MIN(F91,0),0)</f>
        <v>0</v>
      </c>
    </row>
    <row r="92" customFormat="false" ht="40" hidden="false" customHeight="true" outlineLevel="0" collapsed="false">
      <c r="A92" s="66" t="n">
        <v>45420</v>
      </c>
      <c r="B92" s="54" t="str">
        <f aca="false">IF(M92="","",IF(P92="",M92,HYPERLINK(P92,M92)))</f>
        <v>GS35F337BA-49100421F0078</v>
      </c>
      <c r="C92" s="54" t="str">
        <f aca="false">IF(N92="","",IF(Q92="",N92,HYPERLINK(Q92,N92)))</f>
        <v>Civicactions, Inc.</v>
      </c>
      <c r="D92" s="60" t="s">
        <v>115</v>
      </c>
      <c r="E92" s="54" t="str">
        <f aca="false">IF(O92="","",IF(R92="",O92,HYPERLINK(R92,O92)))</f>
        <v>Division of Information Systems</v>
      </c>
      <c r="F92" s="62" t="n">
        <v>144276.68</v>
      </c>
      <c r="G92" s="61" t="s">
        <v>464</v>
      </c>
      <c r="H92" s="58"/>
      <c r="I92" s="58" t="s">
        <v>543</v>
      </c>
      <c r="J92" s="58" t="s">
        <v>414</v>
      </c>
      <c r="K92" s="58" t="s">
        <v>113</v>
      </c>
      <c r="L92" s="58" t="s">
        <v>197</v>
      </c>
      <c r="M92" s="58" t="s">
        <v>415</v>
      </c>
      <c r="N92" s="58" t="s">
        <v>114</v>
      </c>
      <c r="O92" s="58" t="s">
        <v>198</v>
      </c>
      <c r="P92" s="58" t="s">
        <v>416</v>
      </c>
      <c r="Q92" s="58" t="s">
        <v>116</v>
      </c>
      <c r="R92" s="58" t="s">
        <v>200</v>
      </c>
      <c r="S92" s="57" t="n">
        <f aca="false">IF(ISNUMBER(A92),YEAR(A92)+IF(MONTH(A92)&gt;=10,1,0),"")</f>
        <v>2024</v>
      </c>
      <c r="T92" s="57" t="n">
        <f aca="false">IF(ISNUMBER(A92),INT(MOD(MONTH(A92)-10,12)/3)+1,"")</f>
        <v>3</v>
      </c>
      <c r="U92" s="57" t="str">
        <f aca="false">IF(AND(I92&lt;&gt;"",D92&lt;&gt;"",OR(COUNTIFS(TransactionsData[Vendor ID],K92,TransactionsData[UEI],"&lt;&gt;"&amp;D92,TransactionsData[UEI],"?*")&gt;0,COUNTIFS(VendorGroups[Record ID],K92,VendorGroups[Source UEI],"&lt;&gt;"&amp;D92,VendorGroups[Source UEI],"?*")&gt;0)),"Conflicting vendor UEIs",IF(I92="",IF(COUNTA(A92,D92,F92:R92)&gt;0,"Missing transaction ID",""),IF(COUNTIFS(TransactionsData[Transaction ID],I92)&lt;&gt;1,"Duplicate transaction ID",IF(OR(NOT(ISNUMBER(A92)),A92&lt;1,A92&gt;DATE(2099,1,1)),"Use a valid date",IF(OR(A92&lt;$B$4,A92&gt;$D$4),"Outside coverage",IF(NOT(ISNUMBER(F92)),"Missing or invalid amount",IF(OR(K92="",L92="",N92=""),"Add vendor and office identities",IF(G92="Exclude",IF(OR(F92&lt;&gt;0,H92=""),"Review nonzero or unexplained exclusion",""),IF(G92&lt;&gt;"Include","Choose Include or Exclude",IF(COUNTIFS(AwardsData[Award ID],J92)&lt;&gt;1,"Award link needs review",IF(INDEX(AwardsData[Input check],MATCH(J92,AwardsData[Award ID],0))&lt;&gt;"","Check award inputs","")))))))))))</f>
        <v/>
      </c>
      <c r="V92" s="57" t="n">
        <f aca="false">IF(AND(I92&lt;&gt;"",U92="",G92="Include"),1,0)</f>
        <v>1</v>
      </c>
      <c r="W92" s="57" t="str">
        <f aca="false">IF(I92="","",IF(COUNTIFS(AwardsData[Award ID],J92)=1,INDEX(AwardsData[Current award type],MATCH(J92,AwardsData[Award ID],0)),"Unlinked"))</f>
        <v>Delivery Order</v>
      </c>
      <c r="X92" s="57" t="str">
        <f aca="false">IF(I92="","",IF(COUNTIFS(AwardsData[Award ID],J92)=1,INDEX(AwardsData[Current set-aside],MATCH(J92,AwardsData[Award ID],0)),"Unlinked"))</f>
        <v>Total Small Business</v>
      </c>
      <c r="Y92" s="57" t="str">
        <f aca="false">IF(I92="","",IF(COUNTIFS(AwardsData[Award ID],J92)=1,INDEX(AwardsData[Performance state],MATCH(J92,AwardsData[Award ID],0)),"Unlinked"))</f>
        <v>California</v>
      </c>
      <c r="Z92" s="57" t="n">
        <f aca="false">IF(AND(V92=1,OR(Dashboard!$AB$2="All",K92=Dashboard!$AB$2),OR(Dashboard!$AB$3="All",L92=Dashboard!$AB$3),OR(Dashboard!$N$10="All",W92=Dashboard!$N$10)),1,0)</f>
        <v>1</v>
      </c>
      <c r="AA92" s="57" t="n">
        <f aca="false">IF(AND(Z92=1,OR(Dashboard!$B$7="All",S92=Dashboard!$B$7)),1,0)</f>
        <v>0</v>
      </c>
      <c r="AB92" s="57" t="n">
        <f aca="false">IF(AND(V92=1,F92&lt;&gt;0),1,0)</f>
        <v>1</v>
      </c>
      <c r="AC92" s="57" t="n">
        <f aca="false">IF(AND(AA92=1,AB92=1),IF(COUNTIFS($J$17:J92,J92,$AA$17:AA92,1,$AB$17:AB92,1)=1,1,0),0)</f>
        <v>0</v>
      </c>
      <c r="AD92" s="57" t="n">
        <f aca="false">IF(AND(AA92=1,AB92=1),IF(COUNTIFS($K$17:K92,K92,$AA$17:AA92,1,$AB$17:AB92,1)=1,1,0),0)</f>
        <v>0</v>
      </c>
      <c r="AE92" s="57" t="n">
        <f aca="false">IF(AND(Z92=1,AB92=1),IF(COUNTIFS($J$17:J92,J92,$S$17:S92,S92,$Z$17:Z92,1,$AB$17:AB92,1)=1,1,0),0)</f>
        <v>0</v>
      </c>
      <c r="AF92" s="57" t="n">
        <f aca="false">IF(AND(Z92=1,AB92=1),IF(COUNTIFS($K$17:K92,K92,$S$17:S92,S92,$Z$17:Z92,1,$AB$17:AB92,1)=1,1,0),0)</f>
        <v>0</v>
      </c>
      <c r="AG92" s="57" t="n">
        <f aca="false">IF(AND(AA92=1,AB92=1),IF(COUNTIFS($J$17:J92,J92,$L$17:L92,L92,$AA$17:AA92,1,$AB$17:AB92,1)=1,1,0),0)</f>
        <v>0</v>
      </c>
      <c r="AH92" s="57" t="n">
        <f aca="false">IF(AND(AA92=1,AB92=1),IF(COUNTIFS($J$17:J92,J92,$K$17:K92,K92,$AA$17:AA92,1,$AB$17:AB92,1)=1,1,0),0)</f>
        <v>0</v>
      </c>
      <c r="AI92" s="56" t="n">
        <f aca="false">IF(V92=1,MAX(F92,0),0)</f>
        <v>144276.68</v>
      </c>
      <c r="AJ92" s="56" t="n">
        <f aca="false">IF(V92=1,MIN(F92,0),0)</f>
        <v>0</v>
      </c>
    </row>
    <row r="93" customFormat="false" ht="40" hidden="false" customHeight="true" outlineLevel="0" collapsed="false">
      <c r="A93" s="66" t="n">
        <v>45421</v>
      </c>
      <c r="B93" s="54" t="str">
        <f aca="false">IF(M93="","",IF(P93="",M93,HYPERLINK(P93,M93)))</f>
        <v>49100424C0027</v>
      </c>
      <c r="C93" s="54" t="str">
        <f aca="false">IF(N93="","",IF(Q93="",N93,HYPERLINK(Q93,N93)))</f>
        <v>Montage + Magnum, LLC</v>
      </c>
      <c r="D93" s="60" t="s">
        <v>149</v>
      </c>
      <c r="E93" s="54" t="str">
        <f aca="false">IF(O93="","",IF(R93="",O93,HYPERLINK(R93,O93)))</f>
        <v>National Center for Science and Engineering Statistics</v>
      </c>
      <c r="F93" s="62" t="n">
        <v>1448801.11</v>
      </c>
      <c r="G93" s="61" t="s">
        <v>464</v>
      </c>
      <c r="H93" s="58"/>
      <c r="I93" s="58" t="s">
        <v>544</v>
      </c>
      <c r="J93" s="58" t="s">
        <v>398</v>
      </c>
      <c r="K93" s="58" t="s">
        <v>149</v>
      </c>
      <c r="L93" s="58" t="s">
        <v>205</v>
      </c>
      <c r="M93" s="58" t="s">
        <v>398</v>
      </c>
      <c r="N93" s="58" t="s">
        <v>150</v>
      </c>
      <c r="O93" s="58" t="s">
        <v>206</v>
      </c>
      <c r="P93" s="58" t="s">
        <v>399</v>
      </c>
      <c r="Q93" s="58" t="s">
        <v>151</v>
      </c>
      <c r="R93" s="58" t="s">
        <v>208</v>
      </c>
      <c r="S93" s="57" t="n">
        <f aca="false">IF(ISNUMBER(A93),YEAR(A93)+IF(MONTH(A93)&gt;=10,1,0),"")</f>
        <v>2024</v>
      </c>
      <c r="T93" s="57" t="n">
        <f aca="false">IF(ISNUMBER(A93),INT(MOD(MONTH(A93)-10,12)/3)+1,"")</f>
        <v>3</v>
      </c>
      <c r="U93" s="57" t="str">
        <f aca="false">IF(AND(I93&lt;&gt;"",D93&lt;&gt;"",OR(COUNTIFS(TransactionsData[Vendor ID],K93,TransactionsData[UEI],"&lt;&gt;"&amp;D93,TransactionsData[UEI],"?*")&gt;0,COUNTIFS(VendorGroups[Record ID],K93,VendorGroups[Source UEI],"&lt;&gt;"&amp;D93,VendorGroups[Source UEI],"?*")&gt;0)),"Conflicting vendor UEIs",IF(I93="",IF(COUNTA(A93,D93,F93:R93)&gt;0,"Missing transaction ID",""),IF(COUNTIFS(TransactionsData[Transaction ID],I93)&lt;&gt;1,"Duplicate transaction ID",IF(OR(NOT(ISNUMBER(A93)),A93&lt;1,A93&gt;DATE(2099,1,1)),"Use a valid date",IF(OR(A93&lt;$B$4,A93&gt;$D$4),"Outside coverage",IF(NOT(ISNUMBER(F93)),"Missing or invalid amount",IF(OR(K93="",L93="",N93=""),"Add vendor and office identities",IF(G93="Exclude",IF(OR(F93&lt;&gt;0,H93=""),"Review nonzero or unexplained exclusion",""),IF(G93&lt;&gt;"Include","Choose Include or Exclude",IF(COUNTIFS(AwardsData[Award ID],J93)&lt;&gt;1,"Award link needs review",IF(INDEX(AwardsData[Input check],MATCH(J93,AwardsData[Award ID],0))&lt;&gt;"","Check award inputs","")))))))))))</f>
        <v/>
      </c>
      <c r="V93" s="57" t="n">
        <f aca="false">IF(AND(I93&lt;&gt;"",U93="",G93="Include"),1,0)</f>
        <v>1</v>
      </c>
      <c r="W93" s="57" t="str">
        <f aca="false">IF(I93="","",IF(COUNTIFS(AwardsData[Award ID],J93)=1,INDEX(AwardsData[Current award type],MATCH(J93,AwardsData[Award ID],0)),"Unlinked"))</f>
        <v>Definitive Contract</v>
      </c>
      <c r="X93" s="57" t="str">
        <f aca="false">IF(I93="","",IF(COUNTIFS(AwardsData[Award ID],J93)=1,INDEX(AwardsData[Current set-aside],MATCH(J93,AwardsData[Award ID],0)),"Unlinked"))</f>
        <v>No Set-Aside Used</v>
      </c>
      <c r="Y93" s="57" t="str">
        <f aca="false">IF(I93="","",IF(COUNTIFS(AwardsData[Award ID],J93)=1,INDEX(AwardsData[Performance state],MATCH(J93,AwardsData[Award ID],0)),"Unlinked"))</f>
        <v>Virginia</v>
      </c>
      <c r="Z93" s="57" t="n">
        <f aca="false">IF(AND(V93=1,OR(Dashboard!$AB$2="All",K93=Dashboard!$AB$2),OR(Dashboard!$AB$3="All",L93=Dashboard!$AB$3),OR(Dashboard!$N$10="All",W93=Dashboard!$N$10)),1,0)</f>
        <v>1</v>
      </c>
      <c r="AA93" s="57" t="n">
        <f aca="false">IF(AND(Z93=1,OR(Dashboard!$B$7="All",S93=Dashboard!$B$7)),1,0)</f>
        <v>0</v>
      </c>
      <c r="AB93" s="57" t="n">
        <f aca="false">IF(AND(V93=1,F93&lt;&gt;0),1,0)</f>
        <v>1</v>
      </c>
      <c r="AC93" s="57" t="n">
        <f aca="false">IF(AND(AA93=1,AB93=1),IF(COUNTIFS($J$17:J93,J93,$AA$17:AA93,1,$AB$17:AB93,1)=1,1,0),0)</f>
        <v>0</v>
      </c>
      <c r="AD93" s="57" t="n">
        <f aca="false">IF(AND(AA93=1,AB93=1),IF(COUNTIFS($K$17:K93,K93,$AA$17:AA93,1,$AB$17:AB93,1)=1,1,0),0)</f>
        <v>0</v>
      </c>
      <c r="AE93" s="57" t="n">
        <f aca="false">IF(AND(Z93=1,AB93=1),IF(COUNTIFS($J$17:J93,J93,$S$17:S93,S93,$Z$17:Z93,1,$AB$17:AB93,1)=1,1,0),0)</f>
        <v>1</v>
      </c>
      <c r="AF93" s="57" t="n">
        <f aca="false">IF(AND(Z93=1,AB93=1),IF(COUNTIFS($K$17:K93,K93,$S$17:S93,S93,$Z$17:Z93,1,$AB$17:AB93,1)=1,1,0),0)</f>
        <v>1</v>
      </c>
      <c r="AG93" s="57" t="n">
        <f aca="false">IF(AND(AA93=1,AB93=1),IF(COUNTIFS($J$17:J93,J93,$L$17:L93,L93,$AA$17:AA93,1,$AB$17:AB93,1)=1,1,0),0)</f>
        <v>0</v>
      </c>
      <c r="AH93" s="57" t="n">
        <f aca="false">IF(AND(AA93=1,AB93=1),IF(COUNTIFS($J$17:J93,J93,$K$17:K93,K93,$AA$17:AA93,1,$AB$17:AB93,1)=1,1,0),0)</f>
        <v>0</v>
      </c>
      <c r="AI93" s="56" t="n">
        <f aca="false">IF(V93=1,MAX(F93,0),0)</f>
        <v>1448801.11</v>
      </c>
      <c r="AJ93" s="56" t="n">
        <f aca="false">IF(V93=1,MIN(F93,0),0)</f>
        <v>0</v>
      </c>
    </row>
    <row r="94" customFormat="false" ht="40" hidden="false" customHeight="true" outlineLevel="0" collapsed="false">
      <c r="A94" s="66" t="n">
        <v>45426</v>
      </c>
      <c r="B94" s="54" t="str">
        <f aca="false">IF(M94="","",IF(P94="",M94,HYPERLINK(P94,M94)))</f>
        <v>49100422D0010-49100424F0097</v>
      </c>
      <c r="C94" s="54" t="str">
        <f aca="false">IF(N94="","",IF(Q94="",N94,HYPERLINK(Q94,N94)))</f>
        <v>Agility Technologies Inc.</v>
      </c>
      <c r="D94" s="60" t="s">
        <v>103</v>
      </c>
      <c r="E94" s="54" t="str">
        <f aca="false">IF(O94="","",IF(R94="",O94,HYPERLINK(R94,O94)))</f>
        <v>NSF — office not specified</v>
      </c>
      <c r="F94" s="62" t="n">
        <v>45287.91</v>
      </c>
      <c r="G94" s="61" t="s">
        <v>464</v>
      </c>
      <c r="H94" s="58"/>
      <c r="I94" s="58" t="s">
        <v>545</v>
      </c>
      <c r="J94" s="58" t="s">
        <v>343</v>
      </c>
      <c r="K94" s="58" t="s">
        <v>101</v>
      </c>
      <c r="L94" s="58" t="s">
        <v>213</v>
      </c>
      <c r="M94" s="58" t="s">
        <v>344</v>
      </c>
      <c r="N94" s="58" t="s">
        <v>102</v>
      </c>
      <c r="O94" s="58" t="s">
        <v>214</v>
      </c>
      <c r="P94" s="58" t="s">
        <v>345</v>
      </c>
      <c r="Q94" s="58" t="s">
        <v>104</v>
      </c>
      <c r="R94" s="58" t="s">
        <v>215</v>
      </c>
      <c r="S94" s="57" t="n">
        <f aca="false">IF(ISNUMBER(A94),YEAR(A94)+IF(MONTH(A94)&gt;=10,1,0),"")</f>
        <v>2024</v>
      </c>
      <c r="T94" s="57" t="n">
        <f aca="false">IF(ISNUMBER(A94),INT(MOD(MONTH(A94)-10,12)/3)+1,"")</f>
        <v>3</v>
      </c>
      <c r="U94" s="57" t="str">
        <f aca="false">IF(AND(I94&lt;&gt;"",D94&lt;&gt;"",OR(COUNTIFS(TransactionsData[Vendor ID],K94,TransactionsData[UEI],"&lt;&gt;"&amp;D94,TransactionsData[UEI],"?*")&gt;0,COUNTIFS(VendorGroups[Record ID],K94,VendorGroups[Source UEI],"&lt;&gt;"&amp;D94,VendorGroups[Source UEI],"?*")&gt;0)),"Conflicting vendor UEIs",IF(I94="",IF(COUNTA(A94,D94,F94:R94)&gt;0,"Missing transaction ID",""),IF(COUNTIFS(TransactionsData[Transaction ID],I94)&lt;&gt;1,"Duplicate transaction ID",IF(OR(NOT(ISNUMBER(A94)),A94&lt;1,A94&gt;DATE(2099,1,1)),"Use a valid date",IF(OR(A94&lt;$B$4,A94&gt;$D$4),"Outside coverage",IF(NOT(ISNUMBER(F94)),"Missing or invalid amount",IF(OR(K94="",L94="",N94=""),"Add vendor and office identities",IF(G94="Exclude",IF(OR(F94&lt;&gt;0,H94=""),"Review nonzero or unexplained exclusion",""),IF(G94&lt;&gt;"Include","Choose Include or Exclude",IF(COUNTIFS(AwardsData[Award ID],J94)&lt;&gt;1,"Award link needs review",IF(INDEX(AwardsData[Input check],MATCH(J94,AwardsData[Award ID],0))&lt;&gt;"","Check award inputs","")))))))))))</f>
        <v/>
      </c>
      <c r="V94" s="57" t="n">
        <f aca="false">IF(AND(I94&lt;&gt;"",U94="",G94="Include"),1,0)</f>
        <v>1</v>
      </c>
      <c r="W94" s="57" t="str">
        <f aca="false">IF(I94="","",IF(COUNTIFS(AwardsData[Award ID],J94)=1,INDEX(AwardsData[Current award type],MATCH(J94,AwardsData[Award ID],0)),"Unlinked"))</f>
        <v>Delivery Order</v>
      </c>
      <c r="X94" s="57" t="str">
        <f aca="false">IF(I94="","",IF(COUNTIFS(AwardsData[Award ID],J94)=1,INDEX(AwardsData[Current set-aside],MATCH(J94,AwardsData[Award ID],0)),"Unlinked"))</f>
        <v>No Set-Aside Used</v>
      </c>
      <c r="Y94" s="57" t="str">
        <f aca="false">IF(I94="","",IF(COUNTIFS(AwardsData[Award ID],J94)=1,INDEX(AwardsData[Performance state],MATCH(J94,AwardsData[Award ID],0)),"Unlinked"))</f>
        <v>Virginia</v>
      </c>
      <c r="Z94" s="57" t="n">
        <f aca="false">IF(AND(V94=1,OR(Dashboard!$AB$2="All",K94=Dashboard!$AB$2),OR(Dashboard!$AB$3="All",L94=Dashboard!$AB$3),OR(Dashboard!$N$10="All",W94=Dashboard!$N$10)),1,0)</f>
        <v>1</v>
      </c>
      <c r="AA94" s="57" t="n">
        <f aca="false">IF(AND(Z94=1,OR(Dashboard!$B$7="All",S94=Dashboard!$B$7)),1,0)</f>
        <v>0</v>
      </c>
      <c r="AB94" s="57" t="n">
        <f aca="false">IF(AND(V94=1,F94&lt;&gt;0),1,0)</f>
        <v>1</v>
      </c>
      <c r="AC94" s="57" t="n">
        <f aca="false">IF(AND(AA94=1,AB94=1),IF(COUNTIFS($J$17:J94,J94,$AA$17:AA94,1,$AB$17:AB94,1)=1,1,0),0)</f>
        <v>0</v>
      </c>
      <c r="AD94" s="57" t="n">
        <f aca="false">IF(AND(AA94=1,AB94=1),IF(COUNTIFS($K$17:K94,K94,$AA$17:AA94,1,$AB$17:AB94,1)=1,1,0),0)</f>
        <v>0</v>
      </c>
      <c r="AE94" s="57" t="n">
        <f aca="false">IF(AND(Z94=1,AB94=1),IF(COUNTIFS($J$17:J94,J94,$S$17:S94,S94,$Z$17:Z94,1,$AB$17:AB94,1)=1,1,0),0)</f>
        <v>1</v>
      </c>
      <c r="AF94" s="57" t="n">
        <f aca="false">IF(AND(Z94=1,AB94=1),IF(COUNTIFS($K$17:K94,K94,$S$17:S94,S94,$Z$17:Z94,1,$AB$17:AB94,1)=1,1,0),0)</f>
        <v>1</v>
      </c>
      <c r="AG94" s="57" t="n">
        <f aca="false">IF(AND(AA94=1,AB94=1),IF(COUNTIFS($J$17:J94,J94,$L$17:L94,L94,$AA$17:AA94,1,$AB$17:AB94,1)=1,1,0),0)</f>
        <v>0</v>
      </c>
      <c r="AH94" s="57" t="n">
        <f aca="false">IF(AND(AA94=1,AB94=1),IF(COUNTIFS($J$17:J94,J94,$K$17:K94,K94,$AA$17:AA94,1,$AB$17:AB94,1)=1,1,0),0)</f>
        <v>0</v>
      </c>
      <c r="AI94" s="56" t="n">
        <f aca="false">IF(V94=1,MAX(F94,0),0)</f>
        <v>45287.91</v>
      </c>
      <c r="AJ94" s="56" t="n">
        <f aca="false">IF(V94=1,MIN(F94,0),0)</f>
        <v>0</v>
      </c>
    </row>
    <row r="95" customFormat="false" ht="40" hidden="false" customHeight="true" outlineLevel="0" collapsed="false">
      <c r="A95" s="66" t="n">
        <v>45432</v>
      </c>
      <c r="B95" s="54" t="str">
        <f aca="false">IF(M95="","",IF(P95="",M95,HYPERLINK(P95,M95)))</f>
        <v>49100424C0027</v>
      </c>
      <c r="C95" s="54" t="str">
        <f aca="false">IF(N95="","",IF(Q95="",N95,HYPERLINK(Q95,N95)))</f>
        <v>Montage + Magnum, LLC</v>
      </c>
      <c r="D95" s="60" t="s">
        <v>149</v>
      </c>
      <c r="E95" s="54" t="str">
        <f aca="false">IF(O95="","",IF(R95="",O95,HYPERLINK(R95,O95)))</f>
        <v>National Center for Science and Engineering Statistics</v>
      </c>
      <c r="F95" s="62" t="n">
        <v>0</v>
      </c>
      <c r="G95" s="61" t="s">
        <v>464</v>
      </c>
      <c r="H95" s="58"/>
      <c r="I95" s="58" t="s">
        <v>546</v>
      </c>
      <c r="J95" s="58" t="s">
        <v>398</v>
      </c>
      <c r="K95" s="58" t="s">
        <v>149</v>
      </c>
      <c r="L95" s="58" t="s">
        <v>205</v>
      </c>
      <c r="M95" s="58" t="s">
        <v>398</v>
      </c>
      <c r="N95" s="58" t="s">
        <v>150</v>
      </c>
      <c r="O95" s="58" t="s">
        <v>206</v>
      </c>
      <c r="P95" s="58" t="s">
        <v>399</v>
      </c>
      <c r="Q95" s="58" t="s">
        <v>151</v>
      </c>
      <c r="R95" s="58" t="s">
        <v>208</v>
      </c>
      <c r="S95" s="57" t="n">
        <f aca="false">IF(ISNUMBER(A95),YEAR(A95)+IF(MONTH(A95)&gt;=10,1,0),"")</f>
        <v>2024</v>
      </c>
      <c r="T95" s="57" t="n">
        <f aca="false">IF(ISNUMBER(A95),INT(MOD(MONTH(A95)-10,12)/3)+1,"")</f>
        <v>3</v>
      </c>
      <c r="U95" s="57" t="str">
        <f aca="false">IF(AND(I95&lt;&gt;"",D95&lt;&gt;"",OR(COUNTIFS(TransactionsData[Vendor ID],K95,TransactionsData[UEI],"&lt;&gt;"&amp;D95,TransactionsData[UEI],"?*")&gt;0,COUNTIFS(VendorGroups[Record ID],K95,VendorGroups[Source UEI],"&lt;&gt;"&amp;D95,VendorGroups[Source UEI],"?*")&gt;0)),"Conflicting vendor UEIs",IF(I95="",IF(COUNTA(A95,D95,F95:R95)&gt;0,"Missing transaction ID",""),IF(COUNTIFS(TransactionsData[Transaction ID],I95)&lt;&gt;1,"Duplicate transaction ID",IF(OR(NOT(ISNUMBER(A95)),A95&lt;1,A95&gt;DATE(2099,1,1)),"Use a valid date",IF(OR(A95&lt;$B$4,A95&gt;$D$4),"Outside coverage",IF(NOT(ISNUMBER(F95)),"Missing or invalid amount",IF(OR(K95="",L95="",N95=""),"Add vendor and office identities",IF(G95="Exclude",IF(OR(F95&lt;&gt;0,H95=""),"Review nonzero or unexplained exclusion",""),IF(G95&lt;&gt;"Include","Choose Include or Exclude",IF(COUNTIFS(AwardsData[Award ID],J95)&lt;&gt;1,"Award link needs review",IF(INDEX(AwardsData[Input check],MATCH(J95,AwardsData[Award ID],0))&lt;&gt;"","Check award inputs","")))))))))))</f>
        <v/>
      </c>
      <c r="V95" s="57" t="n">
        <f aca="false">IF(AND(I95&lt;&gt;"",U95="",G95="Include"),1,0)</f>
        <v>1</v>
      </c>
      <c r="W95" s="57" t="str">
        <f aca="false">IF(I95="","",IF(COUNTIFS(AwardsData[Award ID],J95)=1,INDEX(AwardsData[Current award type],MATCH(J95,AwardsData[Award ID],0)),"Unlinked"))</f>
        <v>Definitive Contract</v>
      </c>
      <c r="X95" s="57" t="str">
        <f aca="false">IF(I95="","",IF(COUNTIFS(AwardsData[Award ID],J95)=1,INDEX(AwardsData[Current set-aside],MATCH(J95,AwardsData[Award ID],0)),"Unlinked"))</f>
        <v>No Set-Aside Used</v>
      </c>
      <c r="Y95" s="57" t="str">
        <f aca="false">IF(I95="","",IF(COUNTIFS(AwardsData[Award ID],J95)=1,INDEX(AwardsData[Performance state],MATCH(J95,AwardsData[Award ID],0)),"Unlinked"))</f>
        <v>Virginia</v>
      </c>
      <c r="Z95" s="57" t="n">
        <f aca="false">IF(AND(V95=1,OR(Dashboard!$AB$2="All",K95=Dashboard!$AB$2),OR(Dashboard!$AB$3="All",L95=Dashboard!$AB$3),OR(Dashboard!$N$10="All",W95=Dashboard!$N$10)),1,0)</f>
        <v>1</v>
      </c>
      <c r="AA95" s="57" t="n">
        <f aca="false">IF(AND(Z95=1,OR(Dashboard!$B$7="All",S95=Dashboard!$B$7)),1,0)</f>
        <v>0</v>
      </c>
      <c r="AB95" s="57" t="n">
        <f aca="false">IF(AND(V95=1,F95&lt;&gt;0),1,0)</f>
        <v>0</v>
      </c>
      <c r="AC95" s="57" t="n">
        <f aca="false">IF(AND(AA95=1,AB95=1),IF(COUNTIFS($J$17:J95,J95,$AA$17:AA95,1,$AB$17:AB95,1)=1,1,0),0)</f>
        <v>0</v>
      </c>
      <c r="AD95" s="57" t="n">
        <f aca="false">IF(AND(AA95=1,AB95=1),IF(COUNTIFS($K$17:K95,K95,$AA$17:AA95,1,$AB$17:AB95,1)=1,1,0),0)</f>
        <v>0</v>
      </c>
      <c r="AE95" s="57" t="n">
        <f aca="false">IF(AND(Z95=1,AB95=1),IF(COUNTIFS($J$17:J95,J95,$S$17:S95,S95,$Z$17:Z95,1,$AB$17:AB95,1)=1,1,0),0)</f>
        <v>0</v>
      </c>
      <c r="AF95" s="57" t="n">
        <f aca="false">IF(AND(Z95=1,AB95=1),IF(COUNTIFS($K$17:K95,K95,$S$17:S95,S95,$Z$17:Z95,1,$AB$17:AB95,1)=1,1,0),0)</f>
        <v>0</v>
      </c>
      <c r="AG95" s="57" t="n">
        <f aca="false">IF(AND(AA95=1,AB95=1),IF(COUNTIFS($J$17:J95,J95,$L$17:L95,L95,$AA$17:AA95,1,$AB$17:AB95,1)=1,1,0),0)</f>
        <v>0</v>
      </c>
      <c r="AH95" s="57" t="n">
        <f aca="false">IF(AND(AA95=1,AB95=1),IF(COUNTIFS($J$17:J95,J95,$K$17:K95,K95,$AA$17:AA95,1,$AB$17:AB95,1)=1,1,0),0)</f>
        <v>0</v>
      </c>
      <c r="AI95" s="56" t="n">
        <f aca="false">IF(V95=1,MAX(F95,0),0)</f>
        <v>0</v>
      </c>
      <c r="AJ95" s="56" t="n">
        <f aca="false">IF(V95=1,MIN(F95,0),0)</f>
        <v>0</v>
      </c>
    </row>
    <row r="96" customFormat="false" ht="40" hidden="false" customHeight="true" outlineLevel="0" collapsed="false">
      <c r="A96" s="66" t="n">
        <v>45442</v>
      </c>
      <c r="B96" s="54" t="str">
        <f aca="false">IF(M96="","",IF(P96="",M96,HYPERLINK(P96,M96)))</f>
        <v>47QTCK18D0004-49100424F0001</v>
      </c>
      <c r="C96" s="54" t="str">
        <f aca="false">IF(N96="","",IF(Q96="",N96,HYPERLINK(Q96,N96)))</f>
        <v>Booz Allen Hamilton Inc.</v>
      </c>
      <c r="D96" s="60" t="s">
        <v>111</v>
      </c>
      <c r="E96" s="54" t="str">
        <f aca="false">IF(O96="","",IF(R96="",O96,HYPERLINK(R96,O96)))</f>
        <v>Division of Information Systems</v>
      </c>
      <c r="F96" s="62" t="n">
        <v>9540000</v>
      </c>
      <c r="G96" s="61" t="s">
        <v>464</v>
      </c>
      <c r="H96" s="58"/>
      <c r="I96" s="58" t="s">
        <v>547</v>
      </c>
      <c r="J96" s="58" t="s">
        <v>297</v>
      </c>
      <c r="K96" s="58" t="s">
        <v>109</v>
      </c>
      <c r="L96" s="58" t="s">
        <v>197</v>
      </c>
      <c r="M96" s="58" t="s">
        <v>298</v>
      </c>
      <c r="N96" s="58" t="s">
        <v>110</v>
      </c>
      <c r="O96" s="58" t="s">
        <v>198</v>
      </c>
      <c r="P96" s="58" t="s">
        <v>299</v>
      </c>
      <c r="Q96" s="58" t="s">
        <v>112</v>
      </c>
      <c r="R96" s="58" t="s">
        <v>200</v>
      </c>
      <c r="S96" s="57" t="n">
        <f aca="false">IF(ISNUMBER(A96),YEAR(A96)+IF(MONTH(A96)&gt;=10,1,0),"")</f>
        <v>2024</v>
      </c>
      <c r="T96" s="57" t="n">
        <f aca="false">IF(ISNUMBER(A96),INT(MOD(MONTH(A96)-10,12)/3)+1,"")</f>
        <v>3</v>
      </c>
      <c r="U96" s="57" t="str">
        <f aca="false">IF(AND(I96&lt;&gt;"",D96&lt;&gt;"",OR(COUNTIFS(TransactionsData[Vendor ID],K96,TransactionsData[UEI],"&lt;&gt;"&amp;D96,TransactionsData[UEI],"?*")&gt;0,COUNTIFS(VendorGroups[Record ID],K96,VendorGroups[Source UEI],"&lt;&gt;"&amp;D96,VendorGroups[Source UEI],"?*")&gt;0)),"Conflicting vendor UEIs",IF(I96="",IF(COUNTA(A96,D96,F96:R96)&gt;0,"Missing transaction ID",""),IF(COUNTIFS(TransactionsData[Transaction ID],I96)&lt;&gt;1,"Duplicate transaction ID",IF(OR(NOT(ISNUMBER(A96)),A96&lt;1,A96&gt;DATE(2099,1,1)),"Use a valid date",IF(OR(A96&lt;$B$4,A96&gt;$D$4),"Outside coverage",IF(NOT(ISNUMBER(F96)),"Missing or invalid amount",IF(OR(K96="",L96="",N96=""),"Add vendor and office identities",IF(G96="Exclude",IF(OR(F96&lt;&gt;0,H96=""),"Review nonzero or unexplained exclusion",""),IF(G96&lt;&gt;"Include","Choose Include or Exclude",IF(COUNTIFS(AwardsData[Award ID],J96)&lt;&gt;1,"Award link needs review",IF(INDEX(AwardsData[Input check],MATCH(J96,AwardsData[Award ID],0))&lt;&gt;"","Check award inputs","")))))))))))</f>
        <v/>
      </c>
      <c r="V96" s="57" t="n">
        <f aca="false">IF(AND(I96&lt;&gt;"",U96="",G96="Include"),1,0)</f>
        <v>1</v>
      </c>
      <c r="W96" s="57" t="str">
        <f aca="false">IF(I96="","",IF(COUNTIFS(AwardsData[Award ID],J96)=1,INDEX(AwardsData[Current award type],MATCH(J96,AwardsData[Award ID],0)),"Unlinked"))</f>
        <v>Delivery Order</v>
      </c>
      <c r="X96" s="57" t="str">
        <f aca="false">IF(I96="","",IF(COUNTIFS(AwardsData[Award ID],J96)=1,INDEX(AwardsData[Current set-aside],MATCH(J96,AwardsData[Award ID],0)),"Unlinked"))</f>
        <v>No Set-Aside Used</v>
      </c>
      <c r="Y96" s="57" t="str">
        <f aca="false">IF(I96="","",IF(COUNTIFS(AwardsData[Award ID],J96)=1,INDEX(AwardsData[Performance state],MATCH(J96,AwardsData[Award ID],0)),"Unlinked"))</f>
        <v>Virginia</v>
      </c>
      <c r="Z96" s="57" t="n">
        <f aca="false">IF(AND(V96=1,OR(Dashboard!$AB$2="All",K96=Dashboard!$AB$2),OR(Dashboard!$AB$3="All",L96=Dashboard!$AB$3),OR(Dashboard!$N$10="All",W96=Dashboard!$N$10)),1,0)</f>
        <v>1</v>
      </c>
      <c r="AA96" s="57" t="n">
        <f aca="false">IF(AND(Z96=1,OR(Dashboard!$B$7="All",S96=Dashboard!$B$7)),1,0)</f>
        <v>0</v>
      </c>
      <c r="AB96" s="57" t="n">
        <f aca="false">IF(AND(V96=1,F96&lt;&gt;0),1,0)</f>
        <v>1</v>
      </c>
      <c r="AC96" s="57" t="n">
        <f aca="false">IF(AND(AA96=1,AB96=1),IF(COUNTIFS($J$17:J96,J96,$AA$17:AA96,1,$AB$17:AB96,1)=1,1,0),0)</f>
        <v>0</v>
      </c>
      <c r="AD96" s="57" t="n">
        <f aca="false">IF(AND(AA96=1,AB96=1),IF(COUNTIFS($K$17:K96,K96,$AA$17:AA96,1,$AB$17:AB96,1)=1,1,0),0)</f>
        <v>0</v>
      </c>
      <c r="AE96" s="57" t="n">
        <f aca="false">IF(AND(Z96=1,AB96=1),IF(COUNTIFS($J$17:J96,J96,$S$17:S96,S96,$Z$17:Z96,1,$AB$17:AB96,1)=1,1,0),0)</f>
        <v>0</v>
      </c>
      <c r="AF96" s="57" t="n">
        <f aca="false">IF(AND(Z96=1,AB96=1),IF(COUNTIFS($K$17:K96,K96,$S$17:S96,S96,$Z$17:Z96,1,$AB$17:AB96,1)=1,1,0),0)</f>
        <v>0</v>
      </c>
      <c r="AG96" s="57" t="n">
        <f aca="false">IF(AND(AA96=1,AB96=1),IF(COUNTIFS($J$17:J96,J96,$L$17:L96,L96,$AA$17:AA96,1,$AB$17:AB96,1)=1,1,0),0)</f>
        <v>0</v>
      </c>
      <c r="AH96" s="57" t="n">
        <f aca="false">IF(AND(AA96=1,AB96=1),IF(COUNTIFS($J$17:J96,J96,$K$17:K96,K96,$AA$17:AA96,1,$AB$17:AB96,1)=1,1,0),0)</f>
        <v>0</v>
      </c>
      <c r="AI96" s="56" t="n">
        <f aca="false">IF(V96=1,MAX(F96,0),0)</f>
        <v>9540000</v>
      </c>
      <c r="AJ96" s="56" t="n">
        <f aca="false">IF(V96=1,MIN(F96,0),0)</f>
        <v>0</v>
      </c>
    </row>
    <row r="97" customFormat="false" ht="40" hidden="false" customHeight="true" outlineLevel="0" collapsed="false">
      <c r="A97" s="66" t="n">
        <v>45442</v>
      </c>
      <c r="B97" s="54" t="str">
        <f aca="false">IF(M97="","",IF(P97="",M97,HYPERLINK(P97,M97)))</f>
        <v>49100424A0001-49100424F0055</v>
      </c>
      <c r="C97" s="54" t="str">
        <f aca="false">IF(N97="","",IF(Q97="",N97,HYPERLINK(Q97,N97)))</f>
        <v>Spatial Front Inc.</v>
      </c>
      <c r="D97" s="60" t="s">
        <v>166</v>
      </c>
      <c r="E97" s="54" t="str">
        <f aca="false">IF(O97="","",IF(R97="",O97,HYPERLINK(R97,O97)))</f>
        <v>Division of Information Systems</v>
      </c>
      <c r="F97" s="62" t="n">
        <v>87796.8</v>
      </c>
      <c r="G97" s="61" t="s">
        <v>464</v>
      </c>
      <c r="H97" s="58"/>
      <c r="I97" s="58" t="s">
        <v>548</v>
      </c>
      <c r="J97" s="58" t="s">
        <v>379</v>
      </c>
      <c r="K97" s="58" t="s">
        <v>164</v>
      </c>
      <c r="L97" s="58" t="s">
        <v>197</v>
      </c>
      <c r="M97" s="58" t="s">
        <v>380</v>
      </c>
      <c r="N97" s="58" t="s">
        <v>165</v>
      </c>
      <c r="O97" s="58" t="s">
        <v>198</v>
      </c>
      <c r="P97" s="58" t="s">
        <v>381</v>
      </c>
      <c r="Q97" s="58" t="s">
        <v>167</v>
      </c>
      <c r="R97" s="58" t="s">
        <v>200</v>
      </c>
      <c r="S97" s="57" t="n">
        <f aca="false">IF(ISNUMBER(A97),YEAR(A97)+IF(MONTH(A97)&gt;=10,1,0),"")</f>
        <v>2024</v>
      </c>
      <c r="T97" s="57" t="n">
        <f aca="false">IF(ISNUMBER(A97),INT(MOD(MONTH(A97)-10,12)/3)+1,"")</f>
        <v>3</v>
      </c>
      <c r="U97" s="57" t="str">
        <f aca="false">IF(AND(I97&lt;&gt;"",D97&lt;&gt;"",OR(COUNTIFS(TransactionsData[Vendor ID],K97,TransactionsData[UEI],"&lt;&gt;"&amp;D97,TransactionsData[UEI],"?*")&gt;0,COUNTIFS(VendorGroups[Record ID],K97,VendorGroups[Source UEI],"&lt;&gt;"&amp;D97,VendorGroups[Source UEI],"?*")&gt;0)),"Conflicting vendor UEIs",IF(I97="",IF(COUNTA(A97,D97,F97:R97)&gt;0,"Missing transaction ID",""),IF(COUNTIFS(TransactionsData[Transaction ID],I97)&lt;&gt;1,"Duplicate transaction ID",IF(OR(NOT(ISNUMBER(A97)),A97&lt;1,A97&gt;DATE(2099,1,1)),"Use a valid date",IF(OR(A97&lt;$B$4,A97&gt;$D$4),"Outside coverage",IF(NOT(ISNUMBER(F97)),"Missing or invalid amount",IF(OR(K97="",L97="",N97=""),"Add vendor and office identities",IF(G97="Exclude",IF(OR(F97&lt;&gt;0,H97=""),"Review nonzero or unexplained exclusion",""),IF(G97&lt;&gt;"Include","Choose Include or Exclude",IF(COUNTIFS(AwardsData[Award ID],J97)&lt;&gt;1,"Award link needs review",IF(INDEX(AwardsData[Input check],MATCH(J97,AwardsData[Award ID],0))&lt;&gt;"","Check award inputs","")))))))))))</f>
        <v/>
      </c>
      <c r="V97" s="57" t="n">
        <f aca="false">IF(AND(I97&lt;&gt;"",U97="",G97="Include"),1,0)</f>
        <v>1</v>
      </c>
      <c r="W97" s="57" t="str">
        <f aca="false">IF(I97="","",IF(COUNTIFS(AwardsData[Award ID],J97)=1,INDEX(AwardsData[Current award type],MATCH(J97,AwardsData[Award ID],0)),"Unlinked"))</f>
        <v>BPA Call</v>
      </c>
      <c r="X97" s="57" t="str">
        <f aca="false">IF(I97="","",IF(COUNTIFS(AwardsData[Award ID],J97)=1,INDEX(AwardsData[Current set-aside],MATCH(J97,AwardsData[Award ID],0)),"Unlinked"))</f>
        <v>Total Small Business</v>
      </c>
      <c r="Y97" s="57" t="str">
        <f aca="false">IF(I97="","",IF(COUNTIFS(AwardsData[Award ID],J97)=1,INDEX(AwardsData[Performance state],MATCH(J97,AwardsData[Award ID],0)),"Unlinked"))</f>
        <v>Virginia</v>
      </c>
      <c r="Z97" s="57" t="n">
        <f aca="false">IF(AND(V97=1,OR(Dashboard!$AB$2="All",K97=Dashboard!$AB$2),OR(Dashboard!$AB$3="All",L97=Dashboard!$AB$3),OR(Dashboard!$N$10="All",W97=Dashboard!$N$10)),1,0)</f>
        <v>1</v>
      </c>
      <c r="AA97" s="57" t="n">
        <f aca="false">IF(AND(Z97=1,OR(Dashboard!$B$7="All",S97=Dashboard!$B$7)),1,0)</f>
        <v>0</v>
      </c>
      <c r="AB97" s="57" t="n">
        <f aca="false">IF(AND(V97=1,F97&lt;&gt;0),1,0)</f>
        <v>1</v>
      </c>
      <c r="AC97" s="57" t="n">
        <f aca="false">IF(AND(AA97=1,AB97=1),IF(COUNTIFS($J$17:J97,J97,$AA$17:AA97,1,$AB$17:AB97,1)=1,1,0),0)</f>
        <v>0</v>
      </c>
      <c r="AD97" s="57" t="n">
        <f aca="false">IF(AND(AA97=1,AB97=1),IF(COUNTIFS($K$17:K97,K97,$AA$17:AA97,1,$AB$17:AB97,1)=1,1,0),0)</f>
        <v>0</v>
      </c>
      <c r="AE97" s="57" t="n">
        <f aca="false">IF(AND(Z97=1,AB97=1),IF(COUNTIFS($J$17:J97,J97,$S$17:S97,S97,$Z$17:Z97,1,$AB$17:AB97,1)=1,1,0),0)</f>
        <v>0</v>
      </c>
      <c r="AF97" s="57" t="n">
        <f aca="false">IF(AND(Z97=1,AB97=1),IF(COUNTIFS($K$17:K97,K97,$S$17:S97,S97,$Z$17:Z97,1,$AB$17:AB97,1)=1,1,0),0)</f>
        <v>0</v>
      </c>
      <c r="AG97" s="57" t="n">
        <f aca="false">IF(AND(AA97=1,AB97=1),IF(COUNTIFS($J$17:J97,J97,$L$17:L97,L97,$AA$17:AA97,1,$AB$17:AB97,1)=1,1,0),0)</f>
        <v>0</v>
      </c>
      <c r="AH97" s="57" t="n">
        <f aca="false">IF(AND(AA97=1,AB97=1),IF(COUNTIFS($J$17:J97,J97,$K$17:K97,K97,$AA$17:AA97,1,$AB$17:AB97,1)=1,1,0),0)</f>
        <v>0</v>
      </c>
      <c r="AI97" s="56" t="n">
        <f aca="false">IF(V97=1,MAX(F97,0),0)</f>
        <v>87796.8</v>
      </c>
      <c r="AJ97" s="56" t="n">
        <f aca="false">IF(V97=1,MIN(F97,0),0)</f>
        <v>0</v>
      </c>
    </row>
    <row r="98" customFormat="false" ht="40" hidden="false" customHeight="true" outlineLevel="0" collapsed="false">
      <c r="A98" s="66" t="n">
        <v>45443</v>
      </c>
      <c r="B98" s="54" t="str">
        <f aca="false">IF(M98="","",IF(P98="",M98,HYPERLINK(P98,M98)))</f>
        <v>49100422D0010-49100424F0099</v>
      </c>
      <c r="C98" s="54" t="str">
        <f aca="false">IF(N98="","",IF(Q98="",N98,HYPERLINK(Q98,N98)))</f>
        <v>Agility Technologies Inc.</v>
      </c>
      <c r="D98" s="60" t="s">
        <v>103</v>
      </c>
      <c r="E98" s="54" t="str">
        <f aca="false">IF(O98="","",IF(R98="",O98,HYPERLINK(R98,O98)))</f>
        <v>NSF — office not specified</v>
      </c>
      <c r="F98" s="62" t="n">
        <v>294827.54</v>
      </c>
      <c r="G98" s="61" t="s">
        <v>464</v>
      </c>
      <c r="H98" s="58"/>
      <c r="I98" s="58" t="s">
        <v>549</v>
      </c>
      <c r="J98" s="58" t="s">
        <v>346</v>
      </c>
      <c r="K98" s="58" t="s">
        <v>101</v>
      </c>
      <c r="L98" s="58" t="s">
        <v>213</v>
      </c>
      <c r="M98" s="58" t="s">
        <v>347</v>
      </c>
      <c r="N98" s="58" t="s">
        <v>102</v>
      </c>
      <c r="O98" s="58" t="s">
        <v>214</v>
      </c>
      <c r="P98" s="58" t="s">
        <v>348</v>
      </c>
      <c r="Q98" s="58" t="s">
        <v>104</v>
      </c>
      <c r="R98" s="58" t="s">
        <v>215</v>
      </c>
      <c r="S98" s="57" t="n">
        <f aca="false">IF(ISNUMBER(A98),YEAR(A98)+IF(MONTH(A98)&gt;=10,1,0),"")</f>
        <v>2024</v>
      </c>
      <c r="T98" s="57" t="n">
        <f aca="false">IF(ISNUMBER(A98),INT(MOD(MONTH(A98)-10,12)/3)+1,"")</f>
        <v>3</v>
      </c>
      <c r="U98" s="57" t="str">
        <f aca="false">IF(AND(I98&lt;&gt;"",D98&lt;&gt;"",OR(COUNTIFS(TransactionsData[Vendor ID],K98,TransactionsData[UEI],"&lt;&gt;"&amp;D98,TransactionsData[UEI],"?*")&gt;0,COUNTIFS(VendorGroups[Record ID],K98,VendorGroups[Source UEI],"&lt;&gt;"&amp;D98,VendorGroups[Source UEI],"?*")&gt;0)),"Conflicting vendor UEIs",IF(I98="",IF(COUNTA(A98,D98,F98:R98)&gt;0,"Missing transaction ID",""),IF(COUNTIFS(TransactionsData[Transaction ID],I98)&lt;&gt;1,"Duplicate transaction ID",IF(OR(NOT(ISNUMBER(A98)),A98&lt;1,A98&gt;DATE(2099,1,1)),"Use a valid date",IF(OR(A98&lt;$B$4,A98&gt;$D$4),"Outside coverage",IF(NOT(ISNUMBER(F98)),"Missing or invalid amount",IF(OR(K98="",L98="",N98=""),"Add vendor and office identities",IF(G98="Exclude",IF(OR(F98&lt;&gt;0,H98=""),"Review nonzero or unexplained exclusion",""),IF(G98&lt;&gt;"Include","Choose Include or Exclude",IF(COUNTIFS(AwardsData[Award ID],J98)&lt;&gt;1,"Award link needs review",IF(INDEX(AwardsData[Input check],MATCH(J98,AwardsData[Award ID],0))&lt;&gt;"","Check award inputs","")))))))))))</f>
        <v/>
      </c>
      <c r="V98" s="57" t="n">
        <f aca="false">IF(AND(I98&lt;&gt;"",U98="",G98="Include"),1,0)</f>
        <v>1</v>
      </c>
      <c r="W98" s="57" t="str">
        <f aca="false">IF(I98="","",IF(COUNTIFS(AwardsData[Award ID],J98)=1,INDEX(AwardsData[Current award type],MATCH(J98,AwardsData[Award ID],0)),"Unlinked"))</f>
        <v>Delivery Order</v>
      </c>
      <c r="X98" s="57" t="str">
        <f aca="false">IF(I98="","",IF(COUNTIFS(AwardsData[Award ID],J98)=1,INDEX(AwardsData[Current set-aside],MATCH(J98,AwardsData[Award ID],0)),"Unlinked"))</f>
        <v>No Set-Aside Used</v>
      </c>
      <c r="Y98" s="57" t="str">
        <f aca="false">IF(I98="","",IF(COUNTIFS(AwardsData[Award ID],J98)=1,INDEX(AwardsData[Performance state],MATCH(J98,AwardsData[Award ID],0)),"Unlinked"))</f>
        <v>Virginia</v>
      </c>
      <c r="Z98" s="57" t="n">
        <f aca="false">IF(AND(V98=1,OR(Dashboard!$AB$2="All",K98=Dashboard!$AB$2),OR(Dashboard!$AB$3="All",L98=Dashboard!$AB$3),OR(Dashboard!$N$10="All",W98=Dashboard!$N$10)),1,0)</f>
        <v>1</v>
      </c>
      <c r="AA98" s="57" t="n">
        <f aca="false">IF(AND(Z98=1,OR(Dashboard!$B$7="All",S98=Dashboard!$B$7)),1,0)</f>
        <v>0</v>
      </c>
      <c r="AB98" s="57" t="n">
        <f aca="false">IF(AND(V98=1,F98&lt;&gt;0),1,0)</f>
        <v>1</v>
      </c>
      <c r="AC98" s="57" t="n">
        <f aca="false">IF(AND(AA98=1,AB98=1),IF(COUNTIFS($J$17:J98,J98,$AA$17:AA98,1,$AB$17:AB98,1)=1,1,0),0)</f>
        <v>0</v>
      </c>
      <c r="AD98" s="57" t="n">
        <f aca="false">IF(AND(AA98=1,AB98=1),IF(COUNTIFS($K$17:K98,K98,$AA$17:AA98,1,$AB$17:AB98,1)=1,1,0),0)</f>
        <v>0</v>
      </c>
      <c r="AE98" s="57" t="n">
        <f aca="false">IF(AND(Z98=1,AB98=1),IF(COUNTIFS($J$17:J98,J98,$S$17:S98,S98,$Z$17:Z98,1,$AB$17:AB98,1)=1,1,0),0)</f>
        <v>1</v>
      </c>
      <c r="AF98" s="57" t="n">
        <f aca="false">IF(AND(Z98=1,AB98=1),IF(COUNTIFS($K$17:K98,K98,$S$17:S98,S98,$Z$17:Z98,1,$AB$17:AB98,1)=1,1,0),0)</f>
        <v>0</v>
      </c>
      <c r="AG98" s="57" t="n">
        <f aca="false">IF(AND(AA98=1,AB98=1),IF(COUNTIFS($J$17:J98,J98,$L$17:L98,L98,$AA$17:AA98,1,$AB$17:AB98,1)=1,1,0),0)</f>
        <v>0</v>
      </c>
      <c r="AH98" s="57" t="n">
        <f aca="false">IF(AND(AA98=1,AB98=1),IF(COUNTIFS($J$17:J98,J98,$K$17:K98,K98,$AA$17:AA98,1,$AB$17:AB98,1)=1,1,0),0)</f>
        <v>0</v>
      </c>
      <c r="AI98" s="56" t="n">
        <f aca="false">IF(V98=1,MAX(F98,0),0)</f>
        <v>294827.54</v>
      </c>
      <c r="AJ98" s="56" t="n">
        <f aca="false">IF(V98=1,MIN(F98,0),0)</f>
        <v>0</v>
      </c>
    </row>
    <row r="99" customFormat="false" ht="40" hidden="false" customHeight="true" outlineLevel="0" collapsed="false">
      <c r="A99" s="66" t="n">
        <v>45448</v>
      </c>
      <c r="B99" s="54" t="str">
        <f aca="false">IF(M99="","",IF(P99="",M99,HYPERLINK(P99,M99)))</f>
        <v>49100423C0052</v>
      </c>
      <c r="C99" s="54" t="str">
        <f aca="false">IF(N99="","",IF(Q99="",N99,HYPERLINK(Q99,N99)))</f>
        <v>Expediteinfotech, Inc.</v>
      </c>
      <c r="D99" s="60" t="s">
        <v>127</v>
      </c>
      <c r="E99" s="54" t="str">
        <f aca="false">IF(O99="","",IF(R99="",O99,HYPERLINK(R99,O99)))</f>
        <v>Office of Budget Finance and Award Management</v>
      </c>
      <c r="F99" s="62" t="n">
        <v>0</v>
      </c>
      <c r="G99" s="61" t="s">
        <v>464</v>
      </c>
      <c r="H99" s="58"/>
      <c r="I99" s="58" t="s">
        <v>550</v>
      </c>
      <c r="J99" s="58" t="s">
        <v>358</v>
      </c>
      <c r="K99" s="58" t="s">
        <v>125</v>
      </c>
      <c r="L99" s="58" t="s">
        <v>216</v>
      </c>
      <c r="M99" s="58" t="s">
        <v>358</v>
      </c>
      <c r="N99" s="58" t="s">
        <v>126</v>
      </c>
      <c r="O99" s="58" t="s">
        <v>217</v>
      </c>
      <c r="P99" s="58" t="s">
        <v>359</v>
      </c>
      <c r="Q99" s="58" t="s">
        <v>128</v>
      </c>
      <c r="R99" s="58" t="s">
        <v>219</v>
      </c>
      <c r="S99" s="57" t="n">
        <f aca="false">IF(ISNUMBER(A99),YEAR(A99)+IF(MONTH(A99)&gt;=10,1,0),"")</f>
        <v>2024</v>
      </c>
      <c r="T99" s="57" t="n">
        <f aca="false">IF(ISNUMBER(A99),INT(MOD(MONTH(A99)-10,12)/3)+1,"")</f>
        <v>3</v>
      </c>
      <c r="U99" s="57" t="str">
        <f aca="false">IF(AND(I99&lt;&gt;"",D99&lt;&gt;"",OR(COUNTIFS(TransactionsData[Vendor ID],K99,TransactionsData[UEI],"&lt;&gt;"&amp;D99,TransactionsData[UEI],"?*")&gt;0,COUNTIFS(VendorGroups[Record ID],K99,VendorGroups[Source UEI],"&lt;&gt;"&amp;D99,VendorGroups[Source UEI],"?*")&gt;0)),"Conflicting vendor UEIs",IF(I99="",IF(COUNTA(A99,D99,F99:R99)&gt;0,"Missing transaction ID",""),IF(COUNTIFS(TransactionsData[Transaction ID],I99)&lt;&gt;1,"Duplicate transaction ID",IF(OR(NOT(ISNUMBER(A99)),A99&lt;1,A99&gt;DATE(2099,1,1)),"Use a valid date",IF(OR(A99&lt;$B$4,A99&gt;$D$4),"Outside coverage",IF(NOT(ISNUMBER(F99)),"Missing or invalid amount",IF(OR(K99="",L99="",N99=""),"Add vendor and office identities",IF(G99="Exclude",IF(OR(F99&lt;&gt;0,H99=""),"Review nonzero or unexplained exclusion",""),IF(G99&lt;&gt;"Include","Choose Include or Exclude",IF(COUNTIFS(AwardsData[Award ID],J99)&lt;&gt;1,"Award link needs review",IF(INDEX(AwardsData[Input check],MATCH(J99,AwardsData[Award ID],0))&lt;&gt;"","Check award inputs","")))))))))))</f>
        <v/>
      </c>
      <c r="V99" s="57" t="n">
        <f aca="false">IF(AND(I99&lt;&gt;"",U99="",G99="Include"),1,0)</f>
        <v>1</v>
      </c>
      <c r="W99" s="57" t="str">
        <f aca="false">IF(I99="","",IF(COUNTIFS(AwardsData[Award ID],J99)=1,INDEX(AwardsData[Current award type],MATCH(J99,AwardsData[Award ID],0)),"Unlinked"))</f>
        <v>Definitive Contract</v>
      </c>
      <c r="X99" s="57" t="str">
        <f aca="false">IF(I99="","",IF(COUNTIFS(AwardsData[Award ID],J99)=1,INDEX(AwardsData[Current set-aside],MATCH(J99,AwardsData[Award ID],0)),"Unlinked"))</f>
        <v>8(a) Sole Source</v>
      </c>
      <c r="Y99" s="57" t="str">
        <f aca="false">IF(I99="","",IF(COUNTIFS(AwardsData[Award ID],J99)=1,INDEX(AwardsData[Performance state],MATCH(J99,AwardsData[Award ID],0)),"Unlinked"))</f>
        <v>Maryland</v>
      </c>
      <c r="Z99" s="57" t="n">
        <f aca="false">IF(AND(V99=1,OR(Dashboard!$AB$2="All",K99=Dashboard!$AB$2),OR(Dashboard!$AB$3="All",L99=Dashboard!$AB$3),OR(Dashboard!$N$10="All",W99=Dashboard!$N$10)),1,0)</f>
        <v>1</v>
      </c>
      <c r="AA99" s="57" t="n">
        <f aca="false">IF(AND(Z99=1,OR(Dashboard!$B$7="All",S99=Dashboard!$B$7)),1,0)</f>
        <v>0</v>
      </c>
      <c r="AB99" s="57" t="n">
        <f aca="false">IF(AND(V99=1,F99&lt;&gt;0),1,0)</f>
        <v>0</v>
      </c>
      <c r="AC99" s="57" t="n">
        <f aca="false">IF(AND(AA99=1,AB99=1),IF(COUNTIFS($J$17:J99,J99,$AA$17:AA99,1,$AB$17:AB99,1)=1,1,0),0)</f>
        <v>0</v>
      </c>
      <c r="AD99" s="57" t="n">
        <f aca="false">IF(AND(AA99=1,AB99=1),IF(COUNTIFS($K$17:K99,K99,$AA$17:AA99,1,$AB$17:AB99,1)=1,1,0),0)</f>
        <v>0</v>
      </c>
      <c r="AE99" s="57" t="n">
        <f aca="false">IF(AND(Z99=1,AB99=1),IF(COUNTIFS($J$17:J99,J99,$S$17:S99,S99,$Z$17:Z99,1,$AB$17:AB99,1)=1,1,0),0)</f>
        <v>0</v>
      </c>
      <c r="AF99" s="57" t="n">
        <f aca="false">IF(AND(Z99=1,AB99=1),IF(COUNTIFS($K$17:K99,K99,$S$17:S99,S99,$Z$17:Z99,1,$AB$17:AB99,1)=1,1,0),0)</f>
        <v>0</v>
      </c>
      <c r="AG99" s="57" t="n">
        <f aca="false">IF(AND(AA99=1,AB99=1),IF(COUNTIFS($J$17:J99,J99,$L$17:L99,L99,$AA$17:AA99,1,$AB$17:AB99,1)=1,1,0),0)</f>
        <v>0</v>
      </c>
      <c r="AH99" s="57" t="n">
        <f aca="false">IF(AND(AA99=1,AB99=1),IF(COUNTIFS($J$17:J99,J99,$K$17:K99,K99,$AA$17:AA99,1,$AB$17:AB99,1)=1,1,0),0)</f>
        <v>0</v>
      </c>
      <c r="AI99" s="56" t="n">
        <f aca="false">IF(V99=1,MAX(F99,0),0)</f>
        <v>0</v>
      </c>
      <c r="AJ99" s="56" t="n">
        <f aca="false">IF(V99=1,MIN(F99,0),0)</f>
        <v>0</v>
      </c>
    </row>
    <row r="100" customFormat="false" ht="40" hidden="false" customHeight="true" outlineLevel="0" collapsed="false">
      <c r="A100" s="66" t="n">
        <v>45448</v>
      </c>
      <c r="B100" s="54" t="str">
        <f aca="false">IF(M100="","",IF(P100="",M100,HYPERLINK(P100,M100)))</f>
        <v>49100422A0002-49100424F0008</v>
      </c>
      <c r="C100" s="54" t="str">
        <f aca="false">IF(N100="","",IF(Q100="",N100,HYPERLINK(Q100,N100)))</f>
        <v>Directviz Solutions, LLC</v>
      </c>
      <c r="D100" s="60" t="s">
        <v>123</v>
      </c>
      <c r="E100" s="54" t="str">
        <f aca="false">IF(O100="","",IF(R100="",O100,HYPERLINK(R100,O100)))</f>
        <v>Division of Information Systems</v>
      </c>
      <c r="F100" s="62" t="n">
        <v>100045.4</v>
      </c>
      <c r="G100" s="61" t="s">
        <v>464</v>
      </c>
      <c r="H100" s="58"/>
      <c r="I100" s="58" t="s">
        <v>551</v>
      </c>
      <c r="J100" s="58" t="s">
        <v>307</v>
      </c>
      <c r="K100" s="58" t="s">
        <v>121</v>
      </c>
      <c r="L100" s="58" t="s">
        <v>197</v>
      </c>
      <c r="M100" s="58" t="s">
        <v>308</v>
      </c>
      <c r="N100" s="58" t="s">
        <v>122</v>
      </c>
      <c r="O100" s="58" t="s">
        <v>198</v>
      </c>
      <c r="P100" s="58" t="s">
        <v>309</v>
      </c>
      <c r="Q100" s="58" t="s">
        <v>124</v>
      </c>
      <c r="R100" s="58" t="s">
        <v>200</v>
      </c>
      <c r="S100" s="57" t="n">
        <f aca="false">IF(ISNUMBER(A100),YEAR(A100)+IF(MONTH(A100)&gt;=10,1,0),"")</f>
        <v>2024</v>
      </c>
      <c r="T100" s="57" t="n">
        <f aca="false">IF(ISNUMBER(A100),INT(MOD(MONTH(A100)-10,12)/3)+1,"")</f>
        <v>3</v>
      </c>
      <c r="U100" s="57" t="str">
        <f aca="false">IF(AND(I100&lt;&gt;"",D100&lt;&gt;"",OR(COUNTIFS(TransactionsData[Vendor ID],K100,TransactionsData[UEI],"&lt;&gt;"&amp;D100,TransactionsData[UEI],"?*")&gt;0,COUNTIFS(VendorGroups[Record ID],K100,VendorGroups[Source UEI],"&lt;&gt;"&amp;D100,VendorGroups[Source UEI],"?*")&gt;0)),"Conflicting vendor UEIs",IF(I100="",IF(COUNTA(A100,D100,F100:R100)&gt;0,"Missing transaction ID",""),IF(COUNTIFS(TransactionsData[Transaction ID],I100)&lt;&gt;1,"Duplicate transaction ID",IF(OR(NOT(ISNUMBER(A100)),A100&lt;1,A100&gt;DATE(2099,1,1)),"Use a valid date",IF(OR(A100&lt;$B$4,A100&gt;$D$4),"Outside coverage",IF(NOT(ISNUMBER(F100)),"Missing or invalid amount",IF(OR(K100="",L100="",N100=""),"Add vendor and office identities",IF(G100="Exclude",IF(OR(F100&lt;&gt;0,H100=""),"Review nonzero or unexplained exclusion",""),IF(G100&lt;&gt;"Include","Choose Include or Exclude",IF(COUNTIFS(AwardsData[Award ID],J100)&lt;&gt;1,"Award link needs review",IF(INDEX(AwardsData[Input check],MATCH(J100,AwardsData[Award ID],0))&lt;&gt;"","Check award inputs","")))))))))))</f>
        <v/>
      </c>
      <c r="V100" s="57" t="n">
        <f aca="false">IF(AND(I100&lt;&gt;"",U100="",G100="Include"),1,0)</f>
        <v>1</v>
      </c>
      <c r="W100" s="57" t="str">
        <f aca="false">IF(I100="","",IF(COUNTIFS(AwardsData[Award ID],J100)=1,INDEX(AwardsData[Current award type],MATCH(J100,AwardsData[Award ID],0)),"Unlinked"))</f>
        <v>BPA Call</v>
      </c>
      <c r="X100" s="57" t="str">
        <f aca="false">IF(I100="","",IF(COUNTIFS(AwardsData[Award ID],J100)=1,INDEX(AwardsData[Current set-aside],MATCH(J100,AwardsData[Award ID],0)),"Unlinked"))</f>
        <v>Total Small Business</v>
      </c>
      <c r="Y100" s="57" t="str">
        <f aca="false">IF(I100="","",IF(COUNTIFS(AwardsData[Award ID],J100)=1,INDEX(AwardsData[Performance state],MATCH(J100,AwardsData[Award ID],0)),"Unlinked"))</f>
        <v>Virginia</v>
      </c>
      <c r="Z100" s="57" t="n">
        <f aca="false">IF(AND(V100=1,OR(Dashboard!$AB$2="All",K100=Dashboard!$AB$2),OR(Dashboard!$AB$3="All",L100=Dashboard!$AB$3),OR(Dashboard!$N$10="All",W100=Dashboard!$N$10)),1,0)</f>
        <v>1</v>
      </c>
      <c r="AA100" s="57" t="n">
        <f aca="false">IF(AND(Z100=1,OR(Dashboard!$B$7="All",S100=Dashboard!$B$7)),1,0)</f>
        <v>0</v>
      </c>
      <c r="AB100" s="57" t="n">
        <f aca="false">IF(AND(V100=1,F100&lt;&gt;0),1,0)</f>
        <v>1</v>
      </c>
      <c r="AC100" s="57" t="n">
        <f aca="false">IF(AND(AA100=1,AB100=1),IF(COUNTIFS($J$17:J100,J100,$AA$17:AA100,1,$AB$17:AB100,1)=1,1,0),0)</f>
        <v>0</v>
      </c>
      <c r="AD100" s="57" t="n">
        <f aca="false">IF(AND(AA100=1,AB100=1),IF(COUNTIFS($K$17:K100,K100,$AA$17:AA100,1,$AB$17:AB100,1)=1,1,0),0)</f>
        <v>0</v>
      </c>
      <c r="AE100" s="57" t="n">
        <f aca="false">IF(AND(Z100=1,AB100=1),IF(COUNTIFS($J$17:J100,J100,$S$17:S100,S100,$Z$17:Z100,1,$AB$17:AB100,1)=1,1,0),0)</f>
        <v>0</v>
      </c>
      <c r="AF100" s="57" t="n">
        <f aca="false">IF(AND(Z100=1,AB100=1),IF(COUNTIFS($K$17:K100,K100,$S$17:S100,S100,$Z$17:Z100,1,$AB$17:AB100,1)=1,1,0),0)</f>
        <v>0</v>
      </c>
      <c r="AG100" s="57" t="n">
        <f aca="false">IF(AND(AA100=1,AB100=1),IF(COUNTIFS($J$17:J100,J100,$L$17:L100,L100,$AA$17:AA100,1,$AB$17:AB100,1)=1,1,0),0)</f>
        <v>0</v>
      </c>
      <c r="AH100" s="57" t="n">
        <f aca="false">IF(AND(AA100=1,AB100=1),IF(COUNTIFS($J$17:J100,J100,$K$17:K100,K100,$AA$17:AA100,1,$AB$17:AB100,1)=1,1,0),0)</f>
        <v>0</v>
      </c>
      <c r="AI100" s="56" t="n">
        <f aca="false">IF(V100=1,MAX(F100,0),0)</f>
        <v>100045.4</v>
      </c>
      <c r="AJ100" s="56" t="n">
        <f aca="false">IF(V100=1,MIN(F100,0),0)</f>
        <v>0</v>
      </c>
    </row>
    <row r="101" customFormat="false" ht="40" hidden="false" customHeight="true" outlineLevel="0" collapsed="false">
      <c r="A101" s="66" t="n">
        <v>45448</v>
      </c>
      <c r="B101" s="54" t="str">
        <f aca="false">IF(M101="","",IF(P101="",M101,HYPERLINK(P101,M101)))</f>
        <v>49100424A0001-49100424F0052</v>
      </c>
      <c r="C101" s="54" t="str">
        <f aca="false">IF(N101="","",IF(Q101="",N101,HYPERLINK(Q101,N101)))</f>
        <v>Spatial Front Inc.</v>
      </c>
      <c r="D101" s="60" t="s">
        <v>166</v>
      </c>
      <c r="E101" s="54" t="str">
        <f aca="false">IF(O101="","",IF(R101="",O101,HYPERLINK(R101,O101)))</f>
        <v>Division of Information Systems</v>
      </c>
      <c r="F101" s="62" t="n">
        <v>61776</v>
      </c>
      <c r="G101" s="61" t="s">
        <v>464</v>
      </c>
      <c r="H101" s="58"/>
      <c r="I101" s="58" t="s">
        <v>552</v>
      </c>
      <c r="J101" s="58" t="s">
        <v>370</v>
      </c>
      <c r="K101" s="58" t="s">
        <v>164</v>
      </c>
      <c r="L101" s="58" t="s">
        <v>197</v>
      </c>
      <c r="M101" s="58" t="s">
        <v>371</v>
      </c>
      <c r="N101" s="58" t="s">
        <v>165</v>
      </c>
      <c r="O101" s="58" t="s">
        <v>198</v>
      </c>
      <c r="P101" s="58" t="s">
        <v>372</v>
      </c>
      <c r="Q101" s="58" t="s">
        <v>167</v>
      </c>
      <c r="R101" s="58" t="s">
        <v>200</v>
      </c>
      <c r="S101" s="57" t="n">
        <f aca="false">IF(ISNUMBER(A101),YEAR(A101)+IF(MONTH(A101)&gt;=10,1,0),"")</f>
        <v>2024</v>
      </c>
      <c r="T101" s="57" t="n">
        <f aca="false">IF(ISNUMBER(A101),INT(MOD(MONTH(A101)-10,12)/3)+1,"")</f>
        <v>3</v>
      </c>
      <c r="U101" s="57" t="str">
        <f aca="false">IF(AND(I101&lt;&gt;"",D101&lt;&gt;"",OR(COUNTIFS(TransactionsData[Vendor ID],K101,TransactionsData[UEI],"&lt;&gt;"&amp;D101,TransactionsData[UEI],"?*")&gt;0,COUNTIFS(VendorGroups[Record ID],K101,VendorGroups[Source UEI],"&lt;&gt;"&amp;D101,VendorGroups[Source UEI],"?*")&gt;0)),"Conflicting vendor UEIs",IF(I101="",IF(COUNTA(A101,D101,F101:R101)&gt;0,"Missing transaction ID",""),IF(COUNTIFS(TransactionsData[Transaction ID],I101)&lt;&gt;1,"Duplicate transaction ID",IF(OR(NOT(ISNUMBER(A101)),A101&lt;1,A101&gt;DATE(2099,1,1)),"Use a valid date",IF(OR(A101&lt;$B$4,A101&gt;$D$4),"Outside coverage",IF(NOT(ISNUMBER(F101)),"Missing or invalid amount",IF(OR(K101="",L101="",N101=""),"Add vendor and office identities",IF(G101="Exclude",IF(OR(F101&lt;&gt;0,H101=""),"Review nonzero or unexplained exclusion",""),IF(G101&lt;&gt;"Include","Choose Include or Exclude",IF(COUNTIFS(AwardsData[Award ID],J101)&lt;&gt;1,"Award link needs review",IF(INDEX(AwardsData[Input check],MATCH(J101,AwardsData[Award ID],0))&lt;&gt;"","Check award inputs","")))))))))))</f>
        <v/>
      </c>
      <c r="V101" s="57" t="n">
        <f aca="false">IF(AND(I101&lt;&gt;"",U101="",G101="Include"),1,0)</f>
        <v>1</v>
      </c>
      <c r="W101" s="57" t="str">
        <f aca="false">IF(I101="","",IF(COUNTIFS(AwardsData[Award ID],J101)=1,INDEX(AwardsData[Current award type],MATCH(J101,AwardsData[Award ID],0)),"Unlinked"))</f>
        <v>BPA Call</v>
      </c>
      <c r="X101" s="57" t="str">
        <f aca="false">IF(I101="","",IF(COUNTIFS(AwardsData[Award ID],J101)=1,INDEX(AwardsData[Current set-aside],MATCH(J101,AwardsData[Award ID],0)),"Unlinked"))</f>
        <v>No Set-Aside Used</v>
      </c>
      <c r="Y101" s="57" t="str">
        <f aca="false">IF(I101="","",IF(COUNTIFS(AwardsData[Award ID],J101)=1,INDEX(AwardsData[Performance state],MATCH(J101,AwardsData[Award ID],0)),"Unlinked"))</f>
        <v>Virginia</v>
      </c>
      <c r="Z101" s="57" t="n">
        <f aca="false">IF(AND(V101=1,OR(Dashboard!$AB$2="All",K101=Dashboard!$AB$2),OR(Dashboard!$AB$3="All",L101=Dashboard!$AB$3),OR(Dashboard!$N$10="All",W101=Dashboard!$N$10)),1,0)</f>
        <v>1</v>
      </c>
      <c r="AA101" s="57" t="n">
        <f aca="false">IF(AND(Z101=1,OR(Dashboard!$B$7="All",S101=Dashboard!$B$7)),1,0)</f>
        <v>0</v>
      </c>
      <c r="AB101" s="57" t="n">
        <f aca="false">IF(AND(V101=1,F101&lt;&gt;0),1,0)</f>
        <v>1</v>
      </c>
      <c r="AC101" s="57" t="n">
        <f aca="false">IF(AND(AA101=1,AB101=1),IF(COUNTIFS($J$17:J101,J101,$AA$17:AA101,1,$AB$17:AB101,1)=1,1,0),0)</f>
        <v>0</v>
      </c>
      <c r="AD101" s="57" t="n">
        <f aca="false">IF(AND(AA101=1,AB101=1),IF(COUNTIFS($K$17:K101,K101,$AA$17:AA101,1,$AB$17:AB101,1)=1,1,0),0)</f>
        <v>0</v>
      </c>
      <c r="AE101" s="57" t="n">
        <f aca="false">IF(AND(Z101=1,AB101=1),IF(COUNTIFS($J$17:J101,J101,$S$17:S101,S101,$Z$17:Z101,1,$AB$17:AB101,1)=1,1,0),0)</f>
        <v>0</v>
      </c>
      <c r="AF101" s="57" t="n">
        <f aca="false">IF(AND(Z101=1,AB101=1),IF(COUNTIFS($K$17:K101,K101,$S$17:S101,S101,$Z$17:Z101,1,$AB$17:AB101,1)=1,1,0),0)</f>
        <v>0</v>
      </c>
      <c r="AG101" s="57" t="n">
        <f aca="false">IF(AND(AA101=1,AB101=1),IF(COUNTIFS($J$17:J101,J101,$L$17:L101,L101,$AA$17:AA101,1,$AB$17:AB101,1)=1,1,0),0)</f>
        <v>0</v>
      </c>
      <c r="AH101" s="57" t="n">
        <f aca="false">IF(AND(AA101=1,AB101=1),IF(COUNTIFS($J$17:J101,J101,$K$17:K101,K101,$AA$17:AA101,1,$AB$17:AB101,1)=1,1,0),0)</f>
        <v>0</v>
      </c>
      <c r="AI101" s="56" t="n">
        <f aca="false">IF(V101=1,MAX(F101,0),0)</f>
        <v>61776</v>
      </c>
      <c r="AJ101" s="56" t="n">
        <f aca="false">IF(V101=1,MIN(F101,0),0)</f>
        <v>0</v>
      </c>
    </row>
    <row r="102" customFormat="false" ht="40" hidden="false" customHeight="true" outlineLevel="0" collapsed="false">
      <c r="A102" s="66" t="n">
        <v>45448</v>
      </c>
      <c r="B102" s="54" t="str">
        <f aca="false">IF(M102="","",IF(P102="",M102,HYPERLINK(P102,M102)))</f>
        <v>49100424A0001-49100424F0052</v>
      </c>
      <c r="C102" s="54" t="str">
        <f aca="false">IF(N102="","",IF(Q102="",N102,HYPERLINK(Q102,N102)))</f>
        <v>Spatial Front Inc.</v>
      </c>
      <c r="D102" s="60" t="s">
        <v>166</v>
      </c>
      <c r="E102" s="54" t="str">
        <f aca="false">IF(O102="","",IF(R102="",O102,HYPERLINK(R102,O102)))</f>
        <v>Division of Information Systems</v>
      </c>
      <c r="F102" s="62" t="n">
        <v>0</v>
      </c>
      <c r="G102" s="61" t="s">
        <v>464</v>
      </c>
      <c r="H102" s="58"/>
      <c r="I102" s="58" t="s">
        <v>553</v>
      </c>
      <c r="J102" s="58" t="s">
        <v>370</v>
      </c>
      <c r="K102" s="58" t="s">
        <v>164</v>
      </c>
      <c r="L102" s="58" t="s">
        <v>197</v>
      </c>
      <c r="M102" s="58" t="s">
        <v>371</v>
      </c>
      <c r="N102" s="58" t="s">
        <v>165</v>
      </c>
      <c r="O102" s="58" t="s">
        <v>198</v>
      </c>
      <c r="P102" s="58" t="s">
        <v>372</v>
      </c>
      <c r="Q102" s="58" t="s">
        <v>167</v>
      </c>
      <c r="R102" s="58" t="s">
        <v>200</v>
      </c>
      <c r="S102" s="57" t="n">
        <f aca="false">IF(ISNUMBER(A102),YEAR(A102)+IF(MONTH(A102)&gt;=10,1,0),"")</f>
        <v>2024</v>
      </c>
      <c r="T102" s="57" t="n">
        <f aca="false">IF(ISNUMBER(A102),INT(MOD(MONTH(A102)-10,12)/3)+1,"")</f>
        <v>3</v>
      </c>
      <c r="U102" s="57" t="str">
        <f aca="false">IF(AND(I102&lt;&gt;"",D102&lt;&gt;"",OR(COUNTIFS(TransactionsData[Vendor ID],K102,TransactionsData[UEI],"&lt;&gt;"&amp;D102,TransactionsData[UEI],"?*")&gt;0,COUNTIFS(VendorGroups[Record ID],K102,VendorGroups[Source UEI],"&lt;&gt;"&amp;D102,VendorGroups[Source UEI],"?*")&gt;0)),"Conflicting vendor UEIs",IF(I102="",IF(COUNTA(A102,D102,F102:R102)&gt;0,"Missing transaction ID",""),IF(COUNTIFS(TransactionsData[Transaction ID],I102)&lt;&gt;1,"Duplicate transaction ID",IF(OR(NOT(ISNUMBER(A102)),A102&lt;1,A102&gt;DATE(2099,1,1)),"Use a valid date",IF(OR(A102&lt;$B$4,A102&gt;$D$4),"Outside coverage",IF(NOT(ISNUMBER(F102)),"Missing or invalid amount",IF(OR(K102="",L102="",N102=""),"Add vendor and office identities",IF(G102="Exclude",IF(OR(F102&lt;&gt;0,H102=""),"Review nonzero or unexplained exclusion",""),IF(G102&lt;&gt;"Include","Choose Include or Exclude",IF(COUNTIFS(AwardsData[Award ID],J102)&lt;&gt;1,"Award link needs review",IF(INDEX(AwardsData[Input check],MATCH(J102,AwardsData[Award ID],0))&lt;&gt;"","Check award inputs","")))))))))))</f>
        <v/>
      </c>
      <c r="V102" s="57" t="n">
        <f aca="false">IF(AND(I102&lt;&gt;"",U102="",G102="Include"),1,0)</f>
        <v>1</v>
      </c>
      <c r="W102" s="57" t="str">
        <f aca="false">IF(I102="","",IF(COUNTIFS(AwardsData[Award ID],J102)=1,INDEX(AwardsData[Current award type],MATCH(J102,AwardsData[Award ID],0)),"Unlinked"))</f>
        <v>BPA Call</v>
      </c>
      <c r="X102" s="57" t="str">
        <f aca="false">IF(I102="","",IF(COUNTIFS(AwardsData[Award ID],J102)=1,INDEX(AwardsData[Current set-aside],MATCH(J102,AwardsData[Award ID],0)),"Unlinked"))</f>
        <v>No Set-Aside Used</v>
      </c>
      <c r="Y102" s="57" t="str">
        <f aca="false">IF(I102="","",IF(COUNTIFS(AwardsData[Award ID],J102)=1,INDEX(AwardsData[Performance state],MATCH(J102,AwardsData[Award ID],0)),"Unlinked"))</f>
        <v>Virginia</v>
      </c>
      <c r="Z102" s="57" t="n">
        <f aca="false">IF(AND(V102=1,OR(Dashboard!$AB$2="All",K102=Dashboard!$AB$2),OR(Dashboard!$AB$3="All",L102=Dashboard!$AB$3),OR(Dashboard!$N$10="All",W102=Dashboard!$N$10)),1,0)</f>
        <v>1</v>
      </c>
      <c r="AA102" s="57" t="n">
        <f aca="false">IF(AND(Z102=1,OR(Dashboard!$B$7="All",S102=Dashboard!$B$7)),1,0)</f>
        <v>0</v>
      </c>
      <c r="AB102" s="57" t="n">
        <f aca="false">IF(AND(V102=1,F102&lt;&gt;0),1,0)</f>
        <v>0</v>
      </c>
      <c r="AC102" s="57" t="n">
        <f aca="false">IF(AND(AA102=1,AB102=1),IF(COUNTIFS($J$17:J102,J102,$AA$17:AA102,1,$AB$17:AB102,1)=1,1,0),0)</f>
        <v>0</v>
      </c>
      <c r="AD102" s="57" t="n">
        <f aca="false">IF(AND(AA102=1,AB102=1),IF(COUNTIFS($K$17:K102,K102,$AA$17:AA102,1,$AB$17:AB102,1)=1,1,0),0)</f>
        <v>0</v>
      </c>
      <c r="AE102" s="57" t="n">
        <f aca="false">IF(AND(Z102=1,AB102=1),IF(COUNTIFS($J$17:J102,J102,$S$17:S102,S102,$Z$17:Z102,1,$AB$17:AB102,1)=1,1,0),0)</f>
        <v>0</v>
      </c>
      <c r="AF102" s="57" t="n">
        <f aca="false">IF(AND(Z102=1,AB102=1),IF(COUNTIFS($K$17:K102,K102,$S$17:S102,S102,$Z$17:Z102,1,$AB$17:AB102,1)=1,1,0),0)</f>
        <v>0</v>
      </c>
      <c r="AG102" s="57" t="n">
        <f aca="false">IF(AND(AA102=1,AB102=1),IF(COUNTIFS($J$17:J102,J102,$L$17:L102,L102,$AA$17:AA102,1,$AB$17:AB102,1)=1,1,0),0)</f>
        <v>0</v>
      </c>
      <c r="AH102" s="57" t="n">
        <f aca="false">IF(AND(AA102=1,AB102=1),IF(COUNTIFS($J$17:J102,J102,$K$17:K102,K102,$AA$17:AA102,1,$AB$17:AB102,1)=1,1,0),0)</f>
        <v>0</v>
      </c>
      <c r="AI102" s="56" t="n">
        <f aca="false">IF(V102=1,MAX(F102,0),0)</f>
        <v>0</v>
      </c>
      <c r="AJ102" s="56" t="n">
        <f aca="false">IF(V102=1,MIN(F102,0),0)</f>
        <v>0</v>
      </c>
    </row>
    <row r="103" customFormat="false" ht="40" hidden="false" customHeight="true" outlineLevel="0" collapsed="false">
      <c r="A103" s="66" t="n">
        <v>45470</v>
      </c>
      <c r="B103" s="54" t="str">
        <f aca="false">IF(M103="","",IF(P103="",M103,HYPERLINK(P103,M103)))</f>
        <v>47QTCB21D0005-49100422F0104</v>
      </c>
      <c r="C103" s="54" t="str">
        <f aca="false">IF(N103="","",IF(Q103="",N103,HYPERLINK(Q103,N103)))</f>
        <v>GBS Dakota IT, LLC</v>
      </c>
      <c r="D103" s="60" t="s">
        <v>135</v>
      </c>
      <c r="E103" s="54" t="str">
        <f aca="false">IF(O103="","",IF(R103="",O103,HYPERLINK(R103,O103)))</f>
        <v>NSF — office not specified</v>
      </c>
      <c r="F103" s="62" t="n">
        <v>1680061.4</v>
      </c>
      <c r="G103" s="61" t="s">
        <v>464</v>
      </c>
      <c r="H103" s="58"/>
      <c r="I103" s="58" t="s">
        <v>554</v>
      </c>
      <c r="J103" s="58" t="s">
        <v>276</v>
      </c>
      <c r="K103" s="58" t="s">
        <v>133</v>
      </c>
      <c r="L103" s="58" t="s">
        <v>213</v>
      </c>
      <c r="M103" s="58" t="s">
        <v>277</v>
      </c>
      <c r="N103" s="58" t="s">
        <v>134</v>
      </c>
      <c r="O103" s="58" t="s">
        <v>214</v>
      </c>
      <c r="P103" s="58" t="s">
        <v>278</v>
      </c>
      <c r="Q103" s="58" t="s">
        <v>136</v>
      </c>
      <c r="R103" s="58" t="s">
        <v>215</v>
      </c>
      <c r="S103" s="57" t="n">
        <f aca="false">IF(ISNUMBER(A103),YEAR(A103)+IF(MONTH(A103)&gt;=10,1,0),"")</f>
        <v>2024</v>
      </c>
      <c r="T103" s="57" t="n">
        <f aca="false">IF(ISNUMBER(A103),INT(MOD(MONTH(A103)-10,12)/3)+1,"")</f>
        <v>3</v>
      </c>
      <c r="U103" s="57" t="str">
        <f aca="false">IF(AND(I103&lt;&gt;"",D103&lt;&gt;"",OR(COUNTIFS(TransactionsData[Vendor ID],K103,TransactionsData[UEI],"&lt;&gt;"&amp;D103,TransactionsData[UEI],"?*")&gt;0,COUNTIFS(VendorGroups[Record ID],K103,VendorGroups[Source UEI],"&lt;&gt;"&amp;D103,VendorGroups[Source UEI],"?*")&gt;0)),"Conflicting vendor UEIs",IF(I103="",IF(COUNTA(A103,D103,F103:R103)&gt;0,"Missing transaction ID",""),IF(COUNTIFS(TransactionsData[Transaction ID],I103)&lt;&gt;1,"Duplicate transaction ID",IF(OR(NOT(ISNUMBER(A103)),A103&lt;1,A103&gt;DATE(2099,1,1)),"Use a valid date",IF(OR(A103&lt;$B$4,A103&gt;$D$4),"Outside coverage",IF(NOT(ISNUMBER(F103)),"Missing or invalid amount",IF(OR(K103="",L103="",N103=""),"Add vendor and office identities",IF(G103="Exclude",IF(OR(F103&lt;&gt;0,H103=""),"Review nonzero or unexplained exclusion",""),IF(G103&lt;&gt;"Include","Choose Include or Exclude",IF(COUNTIFS(AwardsData[Award ID],J103)&lt;&gt;1,"Award link needs review",IF(INDEX(AwardsData[Input check],MATCH(J103,AwardsData[Award ID],0))&lt;&gt;"","Check award inputs","")))))))))))</f>
        <v/>
      </c>
      <c r="V103" s="57" t="n">
        <f aca="false">IF(AND(I103&lt;&gt;"",U103="",G103="Include"),1,0)</f>
        <v>1</v>
      </c>
      <c r="W103" s="57" t="str">
        <f aca="false">IF(I103="","",IF(COUNTIFS(AwardsData[Award ID],J103)=1,INDEX(AwardsData[Current award type],MATCH(J103,AwardsData[Award ID],0)),"Unlinked"))</f>
        <v>Delivery Order</v>
      </c>
      <c r="X103" s="57" t="str">
        <f aca="false">IF(I103="","",IF(COUNTIFS(AwardsData[Award ID],J103)=1,INDEX(AwardsData[Current set-aside],MATCH(J103,AwardsData[Award ID],0)),"Unlinked"))</f>
        <v>Competitive 8(a)</v>
      </c>
      <c r="Y103" s="57" t="str">
        <f aca="false">IF(I103="","",IF(COUNTIFS(AwardsData[Award ID],J103)=1,INDEX(AwardsData[Performance state],MATCH(J103,AwardsData[Award ID],0)),"Unlinked"))</f>
        <v>Utah</v>
      </c>
      <c r="Z103" s="57" t="n">
        <f aca="false">IF(AND(V103=1,OR(Dashboard!$AB$2="All",K103=Dashboard!$AB$2),OR(Dashboard!$AB$3="All",L103=Dashboard!$AB$3),OR(Dashboard!$N$10="All",W103=Dashboard!$N$10)),1,0)</f>
        <v>1</v>
      </c>
      <c r="AA103" s="57" t="n">
        <f aca="false">IF(AND(Z103=1,OR(Dashboard!$B$7="All",S103=Dashboard!$B$7)),1,0)</f>
        <v>0</v>
      </c>
      <c r="AB103" s="57" t="n">
        <f aca="false">IF(AND(V103=1,F103&lt;&gt;0),1,0)</f>
        <v>1</v>
      </c>
      <c r="AC103" s="57" t="n">
        <f aca="false">IF(AND(AA103=1,AB103=1),IF(COUNTIFS($J$17:J103,J103,$AA$17:AA103,1,$AB$17:AB103,1)=1,1,0),0)</f>
        <v>0</v>
      </c>
      <c r="AD103" s="57" t="n">
        <f aca="false">IF(AND(AA103=1,AB103=1),IF(COUNTIFS($K$17:K103,K103,$AA$17:AA103,1,$AB$17:AB103,1)=1,1,0),0)</f>
        <v>0</v>
      </c>
      <c r="AE103" s="57" t="n">
        <f aca="false">IF(AND(Z103=1,AB103=1),IF(COUNTIFS($J$17:J103,J103,$S$17:S103,S103,$Z$17:Z103,1,$AB$17:AB103,1)=1,1,0),0)</f>
        <v>0</v>
      </c>
      <c r="AF103" s="57" t="n">
        <f aca="false">IF(AND(Z103=1,AB103=1),IF(COUNTIFS($K$17:K103,K103,$S$17:S103,S103,$Z$17:Z103,1,$AB$17:AB103,1)=1,1,0),0)</f>
        <v>0</v>
      </c>
      <c r="AG103" s="57" t="n">
        <f aca="false">IF(AND(AA103=1,AB103=1),IF(COUNTIFS($J$17:J103,J103,$L$17:L103,L103,$AA$17:AA103,1,$AB$17:AB103,1)=1,1,0),0)</f>
        <v>0</v>
      </c>
      <c r="AH103" s="57" t="n">
        <f aca="false">IF(AND(AA103=1,AB103=1),IF(COUNTIFS($J$17:J103,J103,$K$17:K103,K103,$AA$17:AA103,1,$AB$17:AB103,1)=1,1,0),0)</f>
        <v>0</v>
      </c>
      <c r="AI103" s="56" t="n">
        <f aca="false">IF(V103=1,MAX(F103,0),0)</f>
        <v>1680061.4</v>
      </c>
      <c r="AJ103" s="56" t="n">
        <f aca="false">IF(V103=1,MIN(F103,0),0)</f>
        <v>0</v>
      </c>
    </row>
    <row r="104" customFormat="false" ht="40" hidden="false" customHeight="true" outlineLevel="0" collapsed="false">
      <c r="A104" s="66" t="n">
        <v>45471</v>
      </c>
      <c r="B104" s="54" t="str">
        <f aca="false">IF(M104="","",IF(P104="",M104,HYPERLINK(P104,M104)))</f>
        <v>49100422C0029</v>
      </c>
      <c r="C104" s="54" t="str">
        <f aca="false">IF(N104="","",IF(Q104="",N104,HYPERLINK(Q104,N104)))</f>
        <v>Rei Systems, Inc.</v>
      </c>
      <c r="D104" s="60" t="s">
        <v>158</v>
      </c>
      <c r="E104" s="54" t="str">
        <f aca="false">IF(O104="","",IF(R104="",O104,HYPERLINK(R104,O104)))</f>
        <v>Division of Information Systems</v>
      </c>
      <c r="F104" s="62" t="n">
        <v>713175.62</v>
      </c>
      <c r="G104" s="61" t="s">
        <v>464</v>
      </c>
      <c r="H104" s="58"/>
      <c r="I104" s="58" t="s">
        <v>555</v>
      </c>
      <c r="J104" s="58" t="s">
        <v>327</v>
      </c>
      <c r="K104" s="58" t="s">
        <v>156</v>
      </c>
      <c r="L104" s="58" t="s">
        <v>197</v>
      </c>
      <c r="M104" s="58" t="s">
        <v>327</v>
      </c>
      <c r="N104" s="58" t="s">
        <v>157</v>
      </c>
      <c r="O104" s="58" t="s">
        <v>198</v>
      </c>
      <c r="P104" s="58" t="s">
        <v>328</v>
      </c>
      <c r="Q104" s="58" t="s">
        <v>159</v>
      </c>
      <c r="R104" s="58" t="s">
        <v>200</v>
      </c>
      <c r="S104" s="57" t="n">
        <f aca="false">IF(ISNUMBER(A104),YEAR(A104)+IF(MONTH(A104)&gt;=10,1,0),"")</f>
        <v>2024</v>
      </c>
      <c r="T104" s="57" t="n">
        <f aca="false">IF(ISNUMBER(A104),INT(MOD(MONTH(A104)-10,12)/3)+1,"")</f>
        <v>3</v>
      </c>
      <c r="U104" s="57" t="str">
        <f aca="false">IF(AND(I104&lt;&gt;"",D104&lt;&gt;"",OR(COUNTIFS(TransactionsData[Vendor ID],K104,TransactionsData[UEI],"&lt;&gt;"&amp;D104,TransactionsData[UEI],"?*")&gt;0,COUNTIFS(VendorGroups[Record ID],K104,VendorGroups[Source UEI],"&lt;&gt;"&amp;D104,VendorGroups[Source UEI],"?*")&gt;0)),"Conflicting vendor UEIs",IF(I104="",IF(COUNTA(A104,D104,F104:R104)&gt;0,"Missing transaction ID",""),IF(COUNTIFS(TransactionsData[Transaction ID],I104)&lt;&gt;1,"Duplicate transaction ID",IF(OR(NOT(ISNUMBER(A104)),A104&lt;1,A104&gt;DATE(2099,1,1)),"Use a valid date",IF(OR(A104&lt;$B$4,A104&gt;$D$4),"Outside coverage",IF(NOT(ISNUMBER(F104)),"Missing or invalid amount",IF(OR(K104="",L104="",N104=""),"Add vendor and office identities",IF(G104="Exclude",IF(OR(F104&lt;&gt;0,H104=""),"Review nonzero or unexplained exclusion",""),IF(G104&lt;&gt;"Include","Choose Include or Exclude",IF(COUNTIFS(AwardsData[Award ID],J104)&lt;&gt;1,"Award link needs review",IF(INDEX(AwardsData[Input check],MATCH(J104,AwardsData[Award ID],0))&lt;&gt;"","Check award inputs","")))))))))))</f>
        <v/>
      </c>
      <c r="V104" s="57" t="n">
        <f aca="false">IF(AND(I104&lt;&gt;"",U104="",G104="Include"),1,0)</f>
        <v>1</v>
      </c>
      <c r="W104" s="57" t="str">
        <f aca="false">IF(I104="","",IF(COUNTIFS(AwardsData[Award ID],J104)=1,INDEX(AwardsData[Current award type],MATCH(J104,AwardsData[Award ID],0)),"Unlinked"))</f>
        <v>Definitive Contract</v>
      </c>
      <c r="X104" s="57" t="str">
        <f aca="false">IF(I104="","",IF(COUNTIFS(AwardsData[Award ID],J104)=1,INDEX(AwardsData[Current set-aside],MATCH(J104,AwardsData[Award ID],0)),"Unlinked"))</f>
        <v>No Set-Aside Used</v>
      </c>
      <c r="Y104" s="57" t="str">
        <f aca="false">IF(I104="","",IF(COUNTIFS(AwardsData[Award ID],J104)=1,INDEX(AwardsData[Performance state],MATCH(J104,AwardsData[Award ID],0)),"Unlinked"))</f>
        <v>Virginia</v>
      </c>
      <c r="Z104" s="57" t="n">
        <f aca="false">IF(AND(V104=1,OR(Dashboard!$AB$2="All",K104=Dashboard!$AB$2),OR(Dashboard!$AB$3="All",L104=Dashboard!$AB$3),OR(Dashboard!$N$10="All",W104=Dashboard!$N$10)),1,0)</f>
        <v>1</v>
      </c>
      <c r="AA104" s="57" t="n">
        <f aca="false">IF(AND(Z104=1,OR(Dashboard!$B$7="All",S104=Dashboard!$B$7)),1,0)</f>
        <v>0</v>
      </c>
      <c r="AB104" s="57" t="n">
        <f aca="false">IF(AND(V104=1,F104&lt;&gt;0),1,0)</f>
        <v>1</v>
      </c>
      <c r="AC104" s="57" t="n">
        <f aca="false">IF(AND(AA104=1,AB104=1),IF(COUNTIFS($J$17:J104,J104,$AA$17:AA104,1,$AB$17:AB104,1)=1,1,0),0)</f>
        <v>0</v>
      </c>
      <c r="AD104" s="57" t="n">
        <f aca="false">IF(AND(AA104=1,AB104=1),IF(COUNTIFS($K$17:K104,K104,$AA$17:AA104,1,$AB$17:AB104,1)=1,1,0),0)</f>
        <v>0</v>
      </c>
      <c r="AE104" s="57" t="n">
        <f aca="false">IF(AND(Z104=1,AB104=1),IF(COUNTIFS($J$17:J104,J104,$S$17:S104,S104,$Z$17:Z104,1,$AB$17:AB104,1)=1,1,0),0)</f>
        <v>0</v>
      </c>
      <c r="AF104" s="57" t="n">
        <f aca="false">IF(AND(Z104=1,AB104=1),IF(COUNTIFS($K$17:K104,K104,$S$17:S104,S104,$Z$17:Z104,1,$AB$17:AB104,1)=1,1,0),0)</f>
        <v>0</v>
      </c>
      <c r="AG104" s="57" t="n">
        <f aca="false">IF(AND(AA104=1,AB104=1),IF(COUNTIFS($J$17:J104,J104,$L$17:L104,L104,$AA$17:AA104,1,$AB$17:AB104,1)=1,1,0),0)</f>
        <v>0</v>
      </c>
      <c r="AH104" s="57" t="n">
        <f aca="false">IF(AND(AA104=1,AB104=1),IF(COUNTIFS($J$17:J104,J104,$K$17:K104,K104,$AA$17:AA104,1,$AB$17:AB104,1)=1,1,0),0)</f>
        <v>0</v>
      </c>
      <c r="AI104" s="56" t="n">
        <f aca="false">IF(V104=1,MAX(F104,0),0)</f>
        <v>713175.62</v>
      </c>
      <c r="AJ104" s="56" t="n">
        <f aca="false">IF(V104=1,MIN(F104,0),0)</f>
        <v>0</v>
      </c>
    </row>
    <row r="105" customFormat="false" ht="40" hidden="false" customHeight="true" outlineLevel="0" collapsed="false">
      <c r="A105" s="66" t="n">
        <v>45471</v>
      </c>
      <c r="B105" s="54" t="str">
        <f aca="false">IF(M105="","",IF(P105="",M105,HYPERLINK(P105,M105)))</f>
        <v>49100424A0001-49100424F0054</v>
      </c>
      <c r="C105" s="54" t="str">
        <f aca="false">IF(N105="","",IF(Q105="",N105,HYPERLINK(Q105,N105)))</f>
        <v>Spatial Front Inc.</v>
      </c>
      <c r="D105" s="60" t="s">
        <v>166</v>
      </c>
      <c r="E105" s="54" t="str">
        <f aca="false">IF(O105="","",IF(R105="",O105,HYPERLINK(R105,O105)))</f>
        <v>NSF — office not specified</v>
      </c>
      <c r="F105" s="62" t="n">
        <v>446240</v>
      </c>
      <c r="G105" s="61" t="s">
        <v>464</v>
      </c>
      <c r="H105" s="58"/>
      <c r="I105" s="58" t="s">
        <v>556</v>
      </c>
      <c r="J105" s="58" t="s">
        <v>376</v>
      </c>
      <c r="K105" s="58" t="s">
        <v>164</v>
      </c>
      <c r="L105" s="58" t="s">
        <v>213</v>
      </c>
      <c r="M105" s="58" t="s">
        <v>377</v>
      </c>
      <c r="N105" s="58" t="s">
        <v>165</v>
      </c>
      <c r="O105" s="58" t="s">
        <v>214</v>
      </c>
      <c r="P105" s="58" t="s">
        <v>378</v>
      </c>
      <c r="Q105" s="58" t="s">
        <v>167</v>
      </c>
      <c r="R105" s="58" t="s">
        <v>215</v>
      </c>
      <c r="S105" s="57" t="n">
        <f aca="false">IF(ISNUMBER(A105),YEAR(A105)+IF(MONTH(A105)&gt;=10,1,0),"")</f>
        <v>2024</v>
      </c>
      <c r="T105" s="57" t="n">
        <f aca="false">IF(ISNUMBER(A105),INT(MOD(MONTH(A105)-10,12)/3)+1,"")</f>
        <v>3</v>
      </c>
      <c r="U105" s="57" t="str">
        <f aca="false">IF(AND(I105&lt;&gt;"",D105&lt;&gt;"",OR(COUNTIFS(TransactionsData[Vendor ID],K105,TransactionsData[UEI],"&lt;&gt;"&amp;D105,TransactionsData[UEI],"?*")&gt;0,COUNTIFS(VendorGroups[Record ID],K105,VendorGroups[Source UEI],"&lt;&gt;"&amp;D105,VendorGroups[Source UEI],"?*")&gt;0)),"Conflicting vendor UEIs",IF(I105="",IF(COUNTA(A105,D105,F105:R105)&gt;0,"Missing transaction ID",""),IF(COUNTIFS(TransactionsData[Transaction ID],I105)&lt;&gt;1,"Duplicate transaction ID",IF(OR(NOT(ISNUMBER(A105)),A105&lt;1,A105&gt;DATE(2099,1,1)),"Use a valid date",IF(OR(A105&lt;$B$4,A105&gt;$D$4),"Outside coverage",IF(NOT(ISNUMBER(F105)),"Missing or invalid amount",IF(OR(K105="",L105="",N105=""),"Add vendor and office identities",IF(G105="Exclude",IF(OR(F105&lt;&gt;0,H105=""),"Review nonzero or unexplained exclusion",""),IF(G105&lt;&gt;"Include","Choose Include or Exclude",IF(COUNTIFS(AwardsData[Award ID],J105)&lt;&gt;1,"Award link needs review",IF(INDEX(AwardsData[Input check],MATCH(J105,AwardsData[Award ID],0))&lt;&gt;"","Check award inputs","")))))))))))</f>
        <v/>
      </c>
      <c r="V105" s="57" t="n">
        <f aca="false">IF(AND(I105&lt;&gt;"",U105="",G105="Include"),1,0)</f>
        <v>1</v>
      </c>
      <c r="W105" s="57" t="str">
        <f aca="false">IF(I105="","",IF(COUNTIFS(AwardsData[Award ID],J105)=1,INDEX(AwardsData[Current award type],MATCH(J105,AwardsData[Award ID],0)),"Unlinked"))</f>
        <v>BPA Call</v>
      </c>
      <c r="X105" s="57" t="str">
        <f aca="false">IF(I105="","",IF(COUNTIFS(AwardsData[Award ID],J105)=1,INDEX(AwardsData[Current set-aside],MATCH(J105,AwardsData[Award ID],0)),"Unlinked"))</f>
        <v>Total Small Business</v>
      </c>
      <c r="Y105" s="57" t="str">
        <f aca="false">IF(I105="","",IF(COUNTIFS(AwardsData[Award ID],J105)=1,INDEX(AwardsData[Performance state],MATCH(J105,AwardsData[Award ID],0)),"Unlinked"))</f>
        <v>Virginia</v>
      </c>
      <c r="Z105" s="57" t="n">
        <f aca="false">IF(AND(V105=1,OR(Dashboard!$AB$2="All",K105=Dashboard!$AB$2),OR(Dashboard!$AB$3="All",L105=Dashboard!$AB$3),OR(Dashboard!$N$10="All",W105=Dashboard!$N$10)),1,0)</f>
        <v>1</v>
      </c>
      <c r="AA105" s="57" t="n">
        <f aca="false">IF(AND(Z105=1,OR(Dashboard!$B$7="All",S105=Dashboard!$B$7)),1,0)</f>
        <v>0</v>
      </c>
      <c r="AB105" s="57" t="n">
        <f aca="false">IF(AND(V105=1,F105&lt;&gt;0),1,0)</f>
        <v>1</v>
      </c>
      <c r="AC105" s="57" t="n">
        <f aca="false">IF(AND(AA105=1,AB105=1),IF(COUNTIFS($J$17:J105,J105,$AA$17:AA105,1,$AB$17:AB105,1)=1,1,0),0)</f>
        <v>0</v>
      </c>
      <c r="AD105" s="57" t="n">
        <f aca="false">IF(AND(AA105=1,AB105=1),IF(COUNTIFS($K$17:K105,K105,$AA$17:AA105,1,$AB$17:AB105,1)=1,1,0),0)</f>
        <v>0</v>
      </c>
      <c r="AE105" s="57" t="n">
        <f aca="false">IF(AND(Z105=1,AB105=1),IF(COUNTIFS($J$17:J105,J105,$S$17:S105,S105,$Z$17:Z105,1,$AB$17:AB105,1)=1,1,0),0)</f>
        <v>0</v>
      </c>
      <c r="AF105" s="57" t="n">
        <f aca="false">IF(AND(Z105=1,AB105=1),IF(COUNTIFS($K$17:K105,K105,$S$17:S105,S105,$Z$17:Z105,1,$AB$17:AB105,1)=1,1,0),0)</f>
        <v>0</v>
      </c>
      <c r="AG105" s="57" t="n">
        <f aca="false">IF(AND(AA105=1,AB105=1),IF(COUNTIFS($J$17:J105,J105,$L$17:L105,L105,$AA$17:AA105,1,$AB$17:AB105,1)=1,1,0),0)</f>
        <v>0</v>
      </c>
      <c r="AH105" s="57" t="n">
        <f aca="false">IF(AND(AA105=1,AB105=1),IF(COUNTIFS($J$17:J105,J105,$K$17:K105,K105,$AA$17:AA105,1,$AB$17:AB105,1)=1,1,0),0)</f>
        <v>0</v>
      </c>
      <c r="AI105" s="56" t="n">
        <f aca="false">IF(V105=1,MAX(F105,0),0)</f>
        <v>446240</v>
      </c>
      <c r="AJ105" s="56" t="n">
        <f aca="false">IF(V105=1,MIN(F105,0),0)</f>
        <v>0</v>
      </c>
    </row>
    <row r="106" customFormat="false" ht="40" hidden="false" customHeight="true" outlineLevel="0" collapsed="false">
      <c r="A106" s="66" t="n">
        <v>45474</v>
      </c>
      <c r="B106" s="54" t="str">
        <f aca="false">IF(M106="","",IF(P106="",M106,HYPERLINK(P106,M106)))</f>
        <v>49100424A0001-49100424F0051</v>
      </c>
      <c r="C106" s="54" t="str">
        <f aca="false">IF(N106="","",IF(Q106="",N106,HYPERLINK(Q106,N106)))</f>
        <v>Spatial Front Inc.</v>
      </c>
      <c r="D106" s="60" t="s">
        <v>166</v>
      </c>
      <c r="E106" s="54" t="str">
        <f aca="false">IF(O106="","",IF(R106="",O106,HYPERLINK(R106,O106)))</f>
        <v>NSF — office not specified</v>
      </c>
      <c r="F106" s="62" t="n">
        <v>352740.58</v>
      </c>
      <c r="G106" s="61" t="s">
        <v>464</v>
      </c>
      <c r="H106" s="58"/>
      <c r="I106" s="58" t="s">
        <v>557</v>
      </c>
      <c r="J106" s="58" t="s">
        <v>367</v>
      </c>
      <c r="K106" s="58" t="s">
        <v>164</v>
      </c>
      <c r="L106" s="58" t="s">
        <v>213</v>
      </c>
      <c r="M106" s="58" t="s">
        <v>368</v>
      </c>
      <c r="N106" s="58" t="s">
        <v>165</v>
      </c>
      <c r="O106" s="58" t="s">
        <v>214</v>
      </c>
      <c r="P106" s="58" t="s">
        <v>369</v>
      </c>
      <c r="Q106" s="58" t="s">
        <v>167</v>
      </c>
      <c r="R106" s="58" t="s">
        <v>215</v>
      </c>
      <c r="S106" s="57" t="n">
        <f aca="false">IF(ISNUMBER(A106),YEAR(A106)+IF(MONTH(A106)&gt;=10,1,0),"")</f>
        <v>2024</v>
      </c>
      <c r="T106" s="57" t="n">
        <f aca="false">IF(ISNUMBER(A106),INT(MOD(MONTH(A106)-10,12)/3)+1,"")</f>
        <v>4</v>
      </c>
      <c r="U106" s="57" t="str">
        <f aca="false">IF(AND(I106&lt;&gt;"",D106&lt;&gt;"",OR(COUNTIFS(TransactionsData[Vendor ID],K106,TransactionsData[UEI],"&lt;&gt;"&amp;D106,TransactionsData[UEI],"?*")&gt;0,COUNTIFS(VendorGroups[Record ID],K106,VendorGroups[Source UEI],"&lt;&gt;"&amp;D106,VendorGroups[Source UEI],"?*")&gt;0)),"Conflicting vendor UEIs",IF(I106="",IF(COUNTA(A106,D106,F106:R106)&gt;0,"Missing transaction ID",""),IF(COUNTIFS(TransactionsData[Transaction ID],I106)&lt;&gt;1,"Duplicate transaction ID",IF(OR(NOT(ISNUMBER(A106)),A106&lt;1,A106&gt;DATE(2099,1,1)),"Use a valid date",IF(OR(A106&lt;$B$4,A106&gt;$D$4),"Outside coverage",IF(NOT(ISNUMBER(F106)),"Missing or invalid amount",IF(OR(K106="",L106="",N106=""),"Add vendor and office identities",IF(G106="Exclude",IF(OR(F106&lt;&gt;0,H106=""),"Review nonzero or unexplained exclusion",""),IF(G106&lt;&gt;"Include","Choose Include or Exclude",IF(COUNTIFS(AwardsData[Award ID],J106)&lt;&gt;1,"Award link needs review",IF(INDEX(AwardsData[Input check],MATCH(J106,AwardsData[Award ID],0))&lt;&gt;"","Check award inputs","")))))))))))</f>
        <v/>
      </c>
      <c r="V106" s="57" t="n">
        <f aca="false">IF(AND(I106&lt;&gt;"",U106="",G106="Include"),1,0)</f>
        <v>1</v>
      </c>
      <c r="W106" s="57" t="str">
        <f aca="false">IF(I106="","",IF(COUNTIFS(AwardsData[Award ID],J106)=1,INDEX(AwardsData[Current award type],MATCH(J106,AwardsData[Award ID],0)),"Unlinked"))</f>
        <v>BPA Call</v>
      </c>
      <c r="X106" s="57" t="str">
        <f aca="false">IF(I106="","",IF(COUNTIFS(AwardsData[Award ID],J106)=1,INDEX(AwardsData[Current set-aside],MATCH(J106,AwardsData[Award ID],0)),"Unlinked"))</f>
        <v>Total Small Business</v>
      </c>
      <c r="Y106" s="57" t="str">
        <f aca="false">IF(I106="","",IF(COUNTIFS(AwardsData[Award ID],J106)=1,INDEX(AwardsData[Performance state],MATCH(J106,AwardsData[Award ID],0)),"Unlinked"))</f>
        <v>Virginia</v>
      </c>
      <c r="Z106" s="57" t="n">
        <f aca="false">IF(AND(V106=1,OR(Dashboard!$AB$2="All",K106=Dashboard!$AB$2),OR(Dashboard!$AB$3="All",L106=Dashboard!$AB$3),OR(Dashboard!$N$10="All",W106=Dashboard!$N$10)),1,0)</f>
        <v>1</v>
      </c>
      <c r="AA106" s="57" t="n">
        <f aca="false">IF(AND(Z106=1,OR(Dashboard!$B$7="All",S106=Dashboard!$B$7)),1,0)</f>
        <v>0</v>
      </c>
      <c r="AB106" s="57" t="n">
        <f aca="false">IF(AND(V106=1,F106&lt;&gt;0),1,0)</f>
        <v>1</v>
      </c>
      <c r="AC106" s="57" t="n">
        <f aca="false">IF(AND(AA106=1,AB106=1),IF(COUNTIFS($J$17:J106,J106,$AA$17:AA106,1,$AB$17:AB106,1)=1,1,0),0)</f>
        <v>0</v>
      </c>
      <c r="AD106" s="57" t="n">
        <f aca="false">IF(AND(AA106=1,AB106=1),IF(COUNTIFS($K$17:K106,K106,$AA$17:AA106,1,$AB$17:AB106,1)=1,1,0),0)</f>
        <v>0</v>
      </c>
      <c r="AE106" s="57" t="n">
        <f aca="false">IF(AND(Z106=1,AB106=1),IF(COUNTIFS($J$17:J106,J106,$S$17:S106,S106,$Z$17:Z106,1,$AB$17:AB106,1)=1,1,0),0)</f>
        <v>0</v>
      </c>
      <c r="AF106" s="57" t="n">
        <f aca="false">IF(AND(Z106=1,AB106=1),IF(COUNTIFS($K$17:K106,K106,$S$17:S106,S106,$Z$17:Z106,1,$AB$17:AB106,1)=1,1,0),0)</f>
        <v>0</v>
      </c>
      <c r="AG106" s="57" t="n">
        <f aca="false">IF(AND(AA106=1,AB106=1),IF(COUNTIFS($J$17:J106,J106,$L$17:L106,L106,$AA$17:AA106,1,$AB$17:AB106,1)=1,1,0),0)</f>
        <v>0</v>
      </c>
      <c r="AH106" s="57" t="n">
        <f aca="false">IF(AND(AA106=1,AB106=1),IF(COUNTIFS($J$17:J106,J106,$K$17:K106,K106,$AA$17:AA106,1,$AB$17:AB106,1)=1,1,0),0)</f>
        <v>0</v>
      </c>
      <c r="AI106" s="56" t="n">
        <f aca="false">IF(V106=1,MAX(F106,0),0)</f>
        <v>352740.58</v>
      </c>
      <c r="AJ106" s="56" t="n">
        <f aca="false">IF(V106=1,MIN(F106,0),0)</f>
        <v>0</v>
      </c>
    </row>
    <row r="107" customFormat="false" ht="40" hidden="false" customHeight="true" outlineLevel="0" collapsed="false">
      <c r="A107" s="66" t="n">
        <v>45474</v>
      </c>
      <c r="B107" s="54" t="str">
        <f aca="false">IF(M107="","",IF(P107="",M107,HYPERLINK(P107,M107)))</f>
        <v>49100424A0006-49100424F0073</v>
      </c>
      <c r="C107" s="54" t="str">
        <f aca="false">IF(N107="","",IF(Q107="",N107,HYPERLINK(Q107,N107)))</f>
        <v>Anika Systems Incorporated</v>
      </c>
      <c r="D107" s="60" t="s">
        <v>107</v>
      </c>
      <c r="E107" s="54" t="str">
        <f aca="false">IF(O107="","",IF(R107="",O107,HYPERLINK(R107,O107)))</f>
        <v>NSF — office not specified</v>
      </c>
      <c r="F107" s="62" t="n">
        <v>720000</v>
      </c>
      <c r="G107" s="61" t="s">
        <v>464</v>
      </c>
      <c r="H107" s="58"/>
      <c r="I107" s="58" t="s">
        <v>558</v>
      </c>
      <c r="J107" s="58" t="s">
        <v>393</v>
      </c>
      <c r="K107" s="58" t="s">
        <v>105</v>
      </c>
      <c r="L107" s="58" t="s">
        <v>213</v>
      </c>
      <c r="M107" s="58" t="s">
        <v>394</v>
      </c>
      <c r="N107" s="58" t="s">
        <v>106</v>
      </c>
      <c r="O107" s="58" t="s">
        <v>214</v>
      </c>
      <c r="P107" s="58" t="s">
        <v>395</v>
      </c>
      <c r="Q107" s="58" t="s">
        <v>108</v>
      </c>
      <c r="R107" s="58" t="s">
        <v>215</v>
      </c>
      <c r="S107" s="57" t="n">
        <f aca="false">IF(ISNUMBER(A107),YEAR(A107)+IF(MONTH(A107)&gt;=10,1,0),"")</f>
        <v>2024</v>
      </c>
      <c r="T107" s="57" t="n">
        <f aca="false">IF(ISNUMBER(A107),INT(MOD(MONTH(A107)-10,12)/3)+1,"")</f>
        <v>4</v>
      </c>
      <c r="U107" s="57" t="str">
        <f aca="false">IF(AND(I107&lt;&gt;"",D107&lt;&gt;"",OR(COUNTIFS(TransactionsData[Vendor ID],K107,TransactionsData[UEI],"&lt;&gt;"&amp;D107,TransactionsData[UEI],"?*")&gt;0,COUNTIFS(VendorGroups[Record ID],K107,VendorGroups[Source UEI],"&lt;&gt;"&amp;D107,VendorGroups[Source UEI],"?*")&gt;0)),"Conflicting vendor UEIs",IF(I107="",IF(COUNTA(A107,D107,F107:R107)&gt;0,"Missing transaction ID",""),IF(COUNTIFS(TransactionsData[Transaction ID],I107)&lt;&gt;1,"Duplicate transaction ID",IF(OR(NOT(ISNUMBER(A107)),A107&lt;1,A107&gt;DATE(2099,1,1)),"Use a valid date",IF(OR(A107&lt;$B$4,A107&gt;$D$4),"Outside coverage",IF(NOT(ISNUMBER(F107)),"Missing or invalid amount",IF(OR(K107="",L107="",N107=""),"Add vendor and office identities",IF(G107="Exclude",IF(OR(F107&lt;&gt;0,H107=""),"Review nonzero or unexplained exclusion",""),IF(G107&lt;&gt;"Include","Choose Include or Exclude",IF(COUNTIFS(AwardsData[Award ID],J107)&lt;&gt;1,"Award link needs review",IF(INDEX(AwardsData[Input check],MATCH(J107,AwardsData[Award ID],0))&lt;&gt;"","Check award inputs","")))))))))))</f>
        <v/>
      </c>
      <c r="V107" s="57" t="n">
        <f aca="false">IF(AND(I107&lt;&gt;"",U107="",G107="Include"),1,0)</f>
        <v>1</v>
      </c>
      <c r="W107" s="57" t="str">
        <f aca="false">IF(I107="","",IF(COUNTIFS(AwardsData[Award ID],J107)=1,INDEX(AwardsData[Current award type],MATCH(J107,AwardsData[Award ID],0)),"Unlinked"))</f>
        <v>BPA Call</v>
      </c>
      <c r="X107" s="57" t="str">
        <f aca="false">IF(I107="","",IF(COUNTIFS(AwardsData[Award ID],J107)=1,INDEX(AwardsData[Current set-aside],MATCH(J107,AwardsData[Award ID],0)),"Unlinked"))</f>
        <v>Competitive 8(a)</v>
      </c>
      <c r="Y107" s="57" t="str">
        <f aca="false">IF(I107="","",IF(COUNTIFS(AwardsData[Award ID],J107)=1,INDEX(AwardsData[Performance state],MATCH(J107,AwardsData[Award ID],0)),"Unlinked"))</f>
        <v>Virginia</v>
      </c>
      <c r="Z107" s="57" t="n">
        <f aca="false">IF(AND(V107=1,OR(Dashboard!$AB$2="All",K107=Dashboard!$AB$2),OR(Dashboard!$AB$3="All",L107=Dashboard!$AB$3),OR(Dashboard!$N$10="All",W107=Dashboard!$N$10)),1,0)</f>
        <v>1</v>
      </c>
      <c r="AA107" s="57" t="n">
        <f aca="false">IF(AND(Z107=1,OR(Dashboard!$B$7="All",S107=Dashboard!$B$7)),1,0)</f>
        <v>0</v>
      </c>
      <c r="AB107" s="57" t="n">
        <f aca="false">IF(AND(V107=1,F107&lt;&gt;0),1,0)</f>
        <v>1</v>
      </c>
      <c r="AC107" s="57" t="n">
        <f aca="false">IF(AND(AA107=1,AB107=1),IF(COUNTIFS($J$17:J107,J107,$AA$17:AA107,1,$AB$17:AB107,1)=1,1,0),0)</f>
        <v>0</v>
      </c>
      <c r="AD107" s="57" t="n">
        <f aca="false">IF(AND(AA107=1,AB107=1),IF(COUNTIFS($K$17:K107,K107,$AA$17:AA107,1,$AB$17:AB107,1)=1,1,0),0)</f>
        <v>0</v>
      </c>
      <c r="AE107" s="57" t="n">
        <f aca="false">IF(AND(Z107=1,AB107=1),IF(COUNTIFS($J$17:J107,J107,$S$17:S107,S107,$Z$17:Z107,1,$AB$17:AB107,1)=1,1,0),0)</f>
        <v>0</v>
      </c>
      <c r="AF107" s="57" t="n">
        <f aca="false">IF(AND(Z107=1,AB107=1),IF(COUNTIFS($K$17:K107,K107,$S$17:S107,S107,$Z$17:Z107,1,$AB$17:AB107,1)=1,1,0),0)</f>
        <v>0</v>
      </c>
      <c r="AG107" s="57" t="n">
        <f aca="false">IF(AND(AA107=1,AB107=1),IF(COUNTIFS($J$17:J107,J107,$L$17:L107,L107,$AA$17:AA107,1,$AB$17:AB107,1)=1,1,0),0)</f>
        <v>0</v>
      </c>
      <c r="AH107" s="57" t="n">
        <f aca="false">IF(AND(AA107=1,AB107=1),IF(COUNTIFS($J$17:J107,J107,$K$17:K107,K107,$AA$17:AA107,1,$AB$17:AB107,1)=1,1,0),0)</f>
        <v>0</v>
      </c>
      <c r="AI107" s="56" t="n">
        <f aca="false">IF(V107=1,MAX(F107,0),0)</f>
        <v>720000</v>
      </c>
      <c r="AJ107" s="56" t="n">
        <f aca="false">IF(V107=1,MIN(F107,0),0)</f>
        <v>0</v>
      </c>
    </row>
    <row r="108" customFormat="false" ht="40" hidden="false" customHeight="true" outlineLevel="0" collapsed="false">
      <c r="A108" s="66" t="n">
        <v>45474</v>
      </c>
      <c r="B108" s="54" t="str">
        <f aca="false">IF(M108="","",IF(P108="",M108,HYPERLINK(P108,M108)))</f>
        <v>NNG15SC90B-49100424F0064</v>
      </c>
      <c r="C108" s="54" t="str">
        <f aca="false">IF(N108="","",IF(Q108="",N108,HYPERLINK(Q108,N108)))</f>
        <v>Strategic Communications LLC</v>
      </c>
      <c r="D108" s="60" t="s">
        <v>170</v>
      </c>
      <c r="E108" s="54" t="str">
        <f aca="false">IF(O108="","",IF(R108="",O108,HYPERLINK(R108,O108)))</f>
        <v>NSF — office not specified</v>
      </c>
      <c r="F108" s="62" t="n">
        <v>3379450</v>
      </c>
      <c r="G108" s="61" t="s">
        <v>464</v>
      </c>
      <c r="H108" s="58"/>
      <c r="I108" s="58" t="s">
        <v>559</v>
      </c>
      <c r="J108" s="58" t="s">
        <v>418</v>
      </c>
      <c r="K108" s="58" t="s">
        <v>168</v>
      </c>
      <c r="L108" s="58" t="s">
        <v>213</v>
      </c>
      <c r="M108" s="58" t="s">
        <v>419</v>
      </c>
      <c r="N108" s="58" t="s">
        <v>169</v>
      </c>
      <c r="O108" s="58" t="s">
        <v>214</v>
      </c>
      <c r="P108" s="58" t="s">
        <v>420</v>
      </c>
      <c r="Q108" s="58" t="s">
        <v>171</v>
      </c>
      <c r="R108" s="58" t="s">
        <v>215</v>
      </c>
      <c r="S108" s="57" t="n">
        <f aca="false">IF(ISNUMBER(A108),YEAR(A108)+IF(MONTH(A108)&gt;=10,1,0),"")</f>
        <v>2024</v>
      </c>
      <c r="T108" s="57" t="n">
        <f aca="false">IF(ISNUMBER(A108),INT(MOD(MONTH(A108)-10,12)/3)+1,"")</f>
        <v>4</v>
      </c>
      <c r="U108" s="57" t="str">
        <f aca="false">IF(AND(I108&lt;&gt;"",D108&lt;&gt;"",OR(COUNTIFS(TransactionsData[Vendor ID],K108,TransactionsData[UEI],"&lt;&gt;"&amp;D108,TransactionsData[UEI],"?*")&gt;0,COUNTIFS(VendorGroups[Record ID],K108,VendorGroups[Source UEI],"&lt;&gt;"&amp;D108,VendorGroups[Source UEI],"?*")&gt;0)),"Conflicting vendor UEIs",IF(I108="",IF(COUNTA(A108,D108,F108:R108)&gt;0,"Missing transaction ID",""),IF(COUNTIFS(TransactionsData[Transaction ID],I108)&lt;&gt;1,"Duplicate transaction ID",IF(OR(NOT(ISNUMBER(A108)),A108&lt;1,A108&gt;DATE(2099,1,1)),"Use a valid date",IF(OR(A108&lt;$B$4,A108&gt;$D$4),"Outside coverage",IF(NOT(ISNUMBER(F108)),"Missing or invalid amount",IF(OR(K108="",L108="",N108=""),"Add vendor and office identities",IF(G108="Exclude",IF(OR(F108&lt;&gt;0,H108=""),"Review nonzero or unexplained exclusion",""),IF(G108&lt;&gt;"Include","Choose Include or Exclude",IF(COUNTIFS(AwardsData[Award ID],J108)&lt;&gt;1,"Award link needs review",IF(INDEX(AwardsData[Input check],MATCH(J108,AwardsData[Award ID],0))&lt;&gt;"","Check award inputs","")))))))))))</f>
        <v/>
      </c>
      <c r="V108" s="57" t="n">
        <f aca="false">IF(AND(I108&lt;&gt;"",U108="",G108="Include"),1,0)</f>
        <v>1</v>
      </c>
      <c r="W108" s="57" t="str">
        <f aca="false">IF(I108="","",IF(COUNTIFS(AwardsData[Award ID],J108)=1,INDEX(AwardsData[Current award type],MATCH(J108,AwardsData[Award ID],0)),"Unlinked"))</f>
        <v>Delivery Order</v>
      </c>
      <c r="X108" s="57" t="str">
        <f aca="false">IF(I108="","",IF(COUNTIFS(AwardsData[Award ID],J108)=1,INDEX(AwardsData[Current set-aside],MATCH(J108,AwardsData[Award ID],0)),"Unlinked"))</f>
        <v>Total Small Business</v>
      </c>
      <c r="Y108" s="57" t="str">
        <f aca="false">IF(I108="","",IF(COUNTIFS(AwardsData[Award ID],J108)=1,INDEX(AwardsData[Performance state],MATCH(J108,AwardsData[Award ID],0)),"Unlinked"))</f>
        <v>Virginia</v>
      </c>
      <c r="Z108" s="57" t="n">
        <f aca="false">IF(AND(V108=1,OR(Dashboard!$AB$2="All",K108=Dashboard!$AB$2),OR(Dashboard!$AB$3="All",L108=Dashboard!$AB$3),OR(Dashboard!$N$10="All",W108=Dashboard!$N$10)),1,0)</f>
        <v>1</v>
      </c>
      <c r="AA108" s="57" t="n">
        <f aca="false">IF(AND(Z108=1,OR(Dashboard!$B$7="All",S108=Dashboard!$B$7)),1,0)</f>
        <v>0</v>
      </c>
      <c r="AB108" s="57" t="n">
        <f aca="false">IF(AND(V108=1,F108&lt;&gt;0),1,0)</f>
        <v>1</v>
      </c>
      <c r="AC108" s="57" t="n">
        <f aca="false">IF(AND(AA108=1,AB108=1),IF(COUNTIFS($J$17:J108,J108,$AA$17:AA108,1,$AB$17:AB108,1)=1,1,0),0)</f>
        <v>0</v>
      </c>
      <c r="AD108" s="57" t="n">
        <f aca="false">IF(AND(AA108=1,AB108=1),IF(COUNTIFS($K$17:K108,K108,$AA$17:AA108,1,$AB$17:AB108,1)=1,1,0),0)</f>
        <v>0</v>
      </c>
      <c r="AE108" s="57" t="n">
        <f aca="false">IF(AND(Z108=1,AB108=1),IF(COUNTIFS($J$17:J108,J108,$S$17:S108,S108,$Z$17:Z108,1,$AB$17:AB108,1)=1,1,0),0)</f>
        <v>0</v>
      </c>
      <c r="AF108" s="57" t="n">
        <f aca="false">IF(AND(Z108=1,AB108=1),IF(COUNTIFS($K$17:K108,K108,$S$17:S108,S108,$Z$17:Z108,1,$AB$17:AB108,1)=1,1,0),0)</f>
        <v>0</v>
      </c>
      <c r="AG108" s="57" t="n">
        <f aca="false">IF(AND(AA108=1,AB108=1),IF(COUNTIFS($J$17:J108,J108,$L$17:L108,L108,$AA$17:AA108,1,$AB$17:AB108,1)=1,1,0),0)</f>
        <v>0</v>
      </c>
      <c r="AH108" s="57" t="n">
        <f aca="false">IF(AND(AA108=1,AB108=1),IF(COUNTIFS($J$17:J108,J108,$K$17:K108,K108,$AA$17:AA108,1,$AB$17:AB108,1)=1,1,0),0)</f>
        <v>0</v>
      </c>
      <c r="AI108" s="56" t="n">
        <f aca="false">IF(V108=1,MAX(F108,0),0)</f>
        <v>3379450</v>
      </c>
      <c r="AJ108" s="56" t="n">
        <f aca="false">IF(V108=1,MIN(F108,0),0)</f>
        <v>0</v>
      </c>
    </row>
    <row r="109" customFormat="false" ht="40" hidden="false" customHeight="true" outlineLevel="0" collapsed="false">
      <c r="A109" s="66" t="n">
        <v>45483</v>
      </c>
      <c r="B109" s="54" t="str">
        <f aca="false">IF(M109="","",IF(P109="",M109,HYPERLINK(P109,M109)))</f>
        <v>47QTCK18D0004-49100424F0001</v>
      </c>
      <c r="C109" s="54" t="str">
        <f aca="false">IF(N109="","",IF(Q109="",N109,HYPERLINK(Q109,N109)))</f>
        <v>Booz Allen Hamilton Inc.</v>
      </c>
      <c r="D109" s="60" t="s">
        <v>111</v>
      </c>
      <c r="E109" s="54" t="str">
        <f aca="false">IF(O109="","",IF(R109="",O109,HYPERLINK(R109,O109)))</f>
        <v>NSF — office not specified</v>
      </c>
      <c r="F109" s="62" t="n">
        <v>15070000</v>
      </c>
      <c r="G109" s="61" t="s">
        <v>464</v>
      </c>
      <c r="H109" s="58"/>
      <c r="I109" s="58" t="s">
        <v>560</v>
      </c>
      <c r="J109" s="58" t="s">
        <v>297</v>
      </c>
      <c r="K109" s="58" t="s">
        <v>109</v>
      </c>
      <c r="L109" s="58" t="s">
        <v>213</v>
      </c>
      <c r="M109" s="58" t="s">
        <v>298</v>
      </c>
      <c r="N109" s="58" t="s">
        <v>110</v>
      </c>
      <c r="O109" s="58" t="s">
        <v>214</v>
      </c>
      <c r="P109" s="58" t="s">
        <v>299</v>
      </c>
      <c r="Q109" s="58" t="s">
        <v>112</v>
      </c>
      <c r="R109" s="58" t="s">
        <v>215</v>
      </c>
      <c r="S109" s="57" t="n">
        <f aca="false">IF(ISNUMBER(A109),YEAR(A109)+IF(MONTH(A109)&gt;=10,1,0),"")</f>
        <v>2024</v>
      </c>
      <c r="T109" s="57" t="n">
        <f aca="false">IF(ISNUMBER(A109),INT(MOD(MONTH(A109)-10,12)/3)+1,"")</f>
        <v>4</v>
      </c>
      <c r="U109" s="57" t="str">
        <f aca="false">IF(AND(I109&lt;&gt;"",D109&lt;&gt;"",OR(COUNTIFS(TransactionsData[Vendor ID],K109,TransactionsData[UEI],"&lt;&gt;"&amp;D109,TransactionsData[UEI],"?*")&gt;0,COUNTIFS(VendorGroups[Record ID],K109,VendorGroups[Source UEI],"&lt;&gt;"&amp;D109,VendorGroups[Source UEI],"?*")&gt;0)),"Conflicting vendor UEIs",IF(I109="",IF(COUNTA(A109,D109,F109:R109)&gt;0,"Missing transaction ID",""),IF(COUNTIFS(TransactionsData[Transaction ID],I109)&lt;&gt;1,"Duplicate transaction ID",IF(OR(NOT(ISNUMBER(A109)),A109&lt;1,A109&gt;DATE(2099,1,1)),"Use a valid date",IF(OR(A109&lt;$B$4,A109&gt;$D$4),"Outside coverage",IF(NOT(ISNUMBER(F109)),"Missing or invalid amount",IF(OR(K109="",L109="",N109=""),"Add vendor and office identities",IF(G109="Exclude",IF(OR(F109&lt;&gt;0,H109=""),"Review nonzero or unexplained exclusion",""),IF(G109&lt;&gt;"Include","Choose Include or Exclude",IF(COUNTIFS(AwardsData[Award ID],J109)&lt;&gt;1,"Award link needs review",IF(INDEX(AwardsData[Input check],MATCH(J109,AwardsData[Award ID],0))&lt;&gt;"","Check award inputs","")))))))))))</f>
        <v/>
      </c>
      <c r="V109" s="57" t="n">
        <f aca="false">IF(AND(I109&lt;&gt;"",U109="",G109="Include"),1,0)</f>
        <v>1</v>
      </c>
      <c r="W109" s="57" t="str">
        <f aca="false">IF(I109="","",IF(COUNTIFS(AwardsData[Award ID],J109)=1,INDEX(AwardsData[Current award type],MATCH(J109,AwardsData[Award ID],0)),"Unlinked"))</f>
        <v>Delivery Order</v>
      </c>
      <c r="X109" s="57" t="str">
        <f aca="false">IF(I109="","",IF(COUNTIFS(AwardsData[Award ID],J109)=1,INDEX(AwardsData[Current set-aside],MATCH(J109,AwardsData[Award ID],0)),"Unlinked"))</f>
        <v>No Set-Aside Used</v>
      </c>
      <c r="Y109" s="57" t="str">
        <f aca="false">IF(I109="","",IF(COUNTIFS(AwardsData[Award ID],J109)=1,INDEX(AwardsData[Performance state],MATCH(J109,AwardsData[Award ID],0)),"Unlinked"))</f>
        <v>Virginia</v>
      </c>
      <c r="Z109" s="57" t="n">
        <f aca="false">IF(AND(V109=1,OR(Dashboard!$AB$2="All",K109=Dashboard!$AB$2),OR(Dashboard!$AB$3="All",L109=Dashboard!$AB$3),OR(Dashboard!$N$10="All",W109=Dashboard!$N$10)),1,0)</f>
        <v>1</v>
      </c>
      <c r="AA109" s="57" t="n">
        <f aca="false">IF(AND(Z109=1,OR(Dashboard!$B$7="All",S109=Dashboard!$B$7)),1,0)</f>
        <v>0</v>
      </c>
      <c r="AB109" s="57" t="n">
        <f aca="false">IF(AND(V109=1,F109&lt;&gt;0),1,0)</f>
        <v>1</v>
      </c>
      <c r="AC109" s="57" t="n">
        <f aca="false">IF(AND(AA109=1,AB109=1),IF(COUNTIFS($J$17:J109,J109,$AA$17:AA109,1,$AB$17:AB109,1)=1,1,0),0)</f>
        <v>0</v>
      </c>
      <c r="AD109" s="57" t="n">
        <f aca="false">IF(AND(AA109=1,AB109=1),IF(COUNTIFS($K$17:K109,K109,$AA$17:AA109,1,$AB$17:AB109,1)=1,1,0),0)</f>
        <v>0</v>
      </c>
      <c r="AE109" s="57" t="n">
        <f aca="false">IF(AND(Z109=1,AB109=1),IF(COUNTIFS($J$17:J109,J109,$S$17:S109,S109,$Z$17:Z109,1,$AB$17:AB109,1)=1,1,0),0)</f>
        <v>0</v>
      </c>
      <c r="AF109" s="57" t="n">
        <f aca="false">IF(AND(Z109=1,AB109=1),IF(COUNTIFS($K$17:K109,K109,$S$17:S109,S109,$Z$17:Z109,1,$AB$17:AB109,1)=1,1,0),0)</f>
        <v>0</v>
      </c>
      <c r="AG109" s="57" t="n">
        <f aca="false">IF(AND(AA109=1,AB109=1),IF(COUNTIFS($J$17:J109,J109,$L$17:L109,L109,$AA$17:AA109,1,$AB$17:AB109,1)=1,1,0),0)</f>
        <v>0</v>
      </c>
      <c r="AH109" s="57" t="n">
        <f aca="false">IF(AND(AA109=1,AB109=1),IF(COUNTIFS($J$17:J109,J109,$K$17:K109,K109,$AA$17:AA109,1,$AB$17:AB109,1)=1,1,0),0)</f>
        <v>0</v>
      </c>
      <c r="AI109" s="56" t="n">
        <f aca="false">IF(V109=1,MAX(F109,0),0)</f>
        <v>15070000</v>
      </c>
      <c r="AJ109" s="56" t="n">
        <f aca="false">IF(V109=1,MIN(F109,0),0)</f>
        <v>0</v>
      </c>
    </row>
    <row r="110" customFormat="false" ht="40" hidden="false" customHeight="true" outlineLevel="0" collapsed="false">
      <c r="A110" s="66" t="n">
        <v>45488</v>
      </c>
      <c r="B110" s="54" t="str">
        <f aca="false">IF(M110="","",IF(P110="",M110,HYPERLINK(P110,M110)))</f>
        <v>NNG15SD26B-49100424F0041</v>
      </c>
      <c r="C110" s="54" t="str">
        <f aca="false">IF(N110="","",IF(Q110="",N110,HYPERLINK(Q110,N110)))</f>
        <v>Thundercat Technology, LLC</v>
      </c>
      <c r="D110" s="60" t="s">
        <v>174</v>
      </c>
      <c r="E110" s="54" t="str">
        <f aca="false">IF(O110="","",IF(R110="",O110,HYPERLINK(R110,O110)))</f>
        <v>Division of Information Systems</v>
      </c>
      <c r="F110" s="62" t="n">
        <v>111611.22</v>
      </c>
      <c r="G110" s="61" t="s">
        <v>464</v>
      </c>
      <c r="H110" s="58"/>
      <c r="I110" s="58" t="s">
        <v>561</v>
      </c>
      <c r="J110" s="58" t="s">
        <v>422</v>
      </c>
      <c r="K110" s="58" t="s">
        <v>172</v>
      </c>
      <c r="L110" s="58" t="s">
        <v>197</v>
      </c>
      <c r="M110" s="58" t="s">
        <v>423</v>
      </c>
      <c r="N110" s="58" t="s">
        <v>173</v>
      </c>
      <c r="O110" s="58" t="s">
        <v>198</v>
      </c>
      <c r="P110" s="58" t="s">
        <v>424</v>
      </c>
      <c r="Q110" s="58" t="s">
        <v>175</v>
      </c>
      <c r="R110" s="58" t="s">
        <v>200</v>
      </c>
      <c r="S110" s="57" t="n">
        <f aca="false">IF(ISNUMBER(A110),YEAR(A110)+IF(MONTH(A110)&gt;=10,1,0),"")</f>
        <v>2024</v>
      </c>
      <c r="T110" s="57" t="n">
        <f aca="false">IF(ISNUMBER(A110),INT(MOD(MONTH(A110)-10,12)/3)+1,"")</f>
        <v>4</v>
      </c>
      <c r="U110" s="57" t="str">
        <f aca="false">IF(AND(I110&lt;&gt;"",D110&lt;&gt;"",OR(COUNTIFS(TransactionsData[Vendor ID],K110,TransactionsData[UEI],"&lt;&gt;"&amp;D110,TransactionsData[UEI],"?*")&gt;0,COUNTIFS(VendorGroups[Record ID],K110,VendorGroups[Source UEI],"&lt;&gt;"&amp;D110,VendorGroups[Source UEI],"?*")&gt;0)),"Conflicting vendor UEIs",IF(I110="",IF(COUNTA(A110,D110,F110:R110)&gt;0,"Missing transaction ID",""),IF(COUNTIFS(TransactionsData[Transaction ID],I110)&lt;&gt;1,"Duplicate transaction ID",IF(OR(NOT(ISNUMBER(A110)),A110&lt;1,A110&gt;DATE(2099,1,1)),"Use a valid date",IF(OR(A110&lt;$B$4,A110&gt;$D$4),"Outside coverage",IF(NOT(ISNUMBER(F110)),"Missing or invalid amount",IF(OR(K110="",L110="",N110=""),"Add vendor and office identities",IF(G110="Exclude",IF(OR(F110&lt;&gt;0,H110=""),"Review nonzero or unexplained exclusion",""),IF(G110&lt;&gt;"Include","Choose Include or Exclude",IF(COUNTIFS(AwardsData[Award ID],J110)&lt;&gt;1,"Award link needs review",IF(INDEX(AwardsData[Input check],MATCH(J110,AwardsData[Award ID],0))&lt;&gt;"","Check award inputs","")))))))))))</f>
        <v/>
      </c>
      <c r="V110" s="57" t="n">
        <f aca="false">IF(AND(I110&lt;&gt;"",U110="",G110="Include"),1,0)</f>
        <v>1</v>
      </c>
      <c r="W110" s="57" t="str">
        <f aca="false">IF(I110="","",IF(COUNTIFS(AwardsData[Award ID],J110)=1,INDEX(AwardsData[Current award type],MATCH(J110,AwardsData[Award ID],0)),"Unlinked"))</f>
        <v>Delivery Order</v>
      </c>
      <c r="X110" s="57" t="str">
        <f aca="false">IF(I110="","",IF(COUNTIFS(AwardsData[Award ID],J110)=1,INDEX(AwardsData[Current set-aside],MATCH(J110,AwardsData[Award ID],0)),"Unlinked"))</f>
        <v>No Set-Aside Used</v>
      </c>
      <c r="Y110" s="57" t="str">
        <f aca="false">IF(I110="","",IF(COUNTIFS(AwardsData[Award ID],J110)=1,INDEX(AwardsData[Performance state],MATCH(J110,AwardsData[Award ID],0)),"Unlinked"))</f>
        <v>Virginia</v>
      </c>
      <c r="Z110" s="57" t="n">
        <f aca="false">IF(AND(V110=1,OR(Dashboard!$AB$2="All",K110=Dashboard!$AB$2),OR(Dashboard!$AB$3="All",L110=Dashboard!$AB$3),OR(Dashboard!$N$10="All",W110=Dashboard!$N$10)),1,0)</f>
        <v>1</v>
      </c>
      <c r="AA110" s="57" t="n">
        <f aca="false">IF(AND(Z110=1,OR(Dashboard!$B$7="All",S110=Dashboard!$B$7)),1,0)</f>
        <v>0</v>
      </c>
      <c r="AB110" s="57" t="n">
        <f aca="false">IF(AND(V110=1,F110&lt;&gt;0),1,0)</f>
        <v>1</v>
      </c>
      <c r="AC110" s="57" t="n">
        <f aca="false">IF(AND(AA110=1,AB110=1),IF(COUNTIFS($J$17:J110,J110,$AA$17:AA110,1,$AB$17:AB110,1)=1,1,0),0)</f>
        <v>0</v>
      </c>
      <c r="AD110" s="57" t="n">
        <f aca="false">IF(AND(AA110=1,AB110=1),IF(COUNTIFS($K$17:K110,K110,$AA$17:AA110,1,$AB$17:AB110,1)=1,1,0),0)</f>
        <v>0</v>
      </c>
      <c r="AE110" s="57" t="n">
        <f aca="false">IF(AND(Z110=1,AB110=1),IF(COUNTIFS($J$17:J110,J110,$S$17:S110,S110,$Z$17:Z110,1,$AB$17:AB110,1)=1,1,0),0)</f>
        <v>0</v>
      </c>
      <c r="AF110" s="57" t="n">
        <f aca="false">IF(AND(Z110=1,AB110=1),IF(COUNTIFS($K$17:K110,K110,$S$17:S110,S110,$Z$17:Z110,1,$AB$17:AB110,1)=1,1,0),0)</f>
        <v>0</v>
      </c>
      <c r="AG110" s="57" t="n">
        <f aca="false">IF(AND(AA110=1,AB110=1),IF(COUNTIFS($J$17:J110,J110,$L$17:L110,L110,$AA$17:AA110,1,$AB$17:AB110,1)=1,1,0),0)</f>
        <v>0</v>
      </c>
      <c r="AH110" s="57" t="n">
        <f aca="false">IF(AND(AA110=1,AB110=1),IF(COUNTIFS($J$17:J110,J110,$K$17:K110,K110,$AA$17:AA110,1,$AB$17:AB110,1)=1,1,0),0)</f>
        <v>0</v>
      </c>
      <c r="AI110" s="56" t="n">
        <f aca="false">IF(V110=1,MAX(F110,0),0)</f>
        <v>111611.22</v>
      </c>
      <c r="AJ110" s="56" t="n">
        <f aca="false">IF(V110=1,MIN(F110,0),0)</f>
        <v>0</v>
      </c>
    </row>
    <row r="111" customFormat="false" ht="40" hidden="false" customHeight="true" outlineLevel="0" collapsed="false">
      <c r="A111" s="66" t="n">
        <v>45503</v>
      </c>
      <c r="B111" s="54" t="str">
        <f aca="false">IF(M111="","",IF(P111="",M111,HYPERLINK(P111,M111)))</f>
        <v>Unlinked</v>
      </c>
      <c r="C111" s="54" t="str">
        <f aca="false">IF(N111="","",IF(Q111="",N111,HYPERLINK(Q111,N111)))</f>
        <v>Agility Technologies Inc.</v>
      </c>
      <c r="D111" s="60" t="s">
        <v>103</v>
      </c>
      <c r="E111" s="54" t="str">
        <f aca="false">IF(O111="","",IF(R111="",O111,HYPERLINK(R111,O111)))</f>
        <v>NSF — office not specified</v>
      </c>
      <c r="F111" s="62" t="n">
        <v>0</v>
      </c>
      <c r="G111" s="61" t="s">
        <v>492</v>
      </c>
      <c r="H111" s="58" t="s">
        <v>493</v>
      </c>
      <c r="I111" s="58" t="s">
        <v>562</v>
      </c>
      <c r="J111" s="58"/>
      <c r="K111" s="58" t="s">
        <v>101</v>
      </c>
      <c r="L111" s="58" t="s">
        <v>213</v>
      </c>
      <c r="M111" s="58" t="s">
        <v>495</v>
      </c>
      <c r="N111" s="58" t="s">
        <v>102</v>
      </c>
      <c r="O111" s="58" t="s">
        <v>214</v>
      </c>
      <c r="P111" s="58"/>
      <c r="Q111" s="58" t="s">
        <v>104</v>
      </c>
      <c r="R111" s="58" t="s">
        <v>215</v>
      </c>
      <c r="S111" s="57" t="n">
        <f aca="false">IF(ISNUMBER(A111),YEAR(A111)+IF(MONTH(A111)&gt;=10,1,0),"")</f>
        <v>2024</v>
      </c>
      <c r="T111" s="57" t="n">
        <f aca="false">IF(ISNUMBER(A111),INT(MOD(MONTH(A111)-10,12)/3)+1,"")</f>
        <v>4</v>
      </c>
      <c r="U111" s="57" t="str">
        <f aca="false">IF(AND(I111&lt;&gt;"",D111&lt;&gt;"",OR(COUNTIFS(TransactionsData[Vendor ID],K111,TransactionsData[UEI],"&lt;&gt;"&amp;D111,TransactionsData[UEI],"?*")&gt;0,COUNTIFS(VendorGroups[Record ID],K111,VendorGroups[Source UEI],"&lt;&gt;"&amp;D111,VendorGroups[Source UEI],"?*")&gt;0)),"Conflicting vendor UEIs",IF(I111="",IF(COUNTA(A111,D111,F111:R111)&gt;0,"Missing transaction ID",""),IF(COUNTIFS(TransactionsData[Transaction ID],I111)&lt;&gt;1,"Duplicate transaction ID",IF(OR(NOT(ISNUMBER(A111)),A111&lt;1,A111&gt;DATE(2099,1,1)),"Use a valid date",IF(OR(A111&lt;$B$4,A111&gt;$D$4),"Outside coverage",IF(NOT(ISNUMBER(F111)),"Missing or invalid amount",IF(OR(K111="",L111="",N111=""),"Add vendor and office identities",IF(G111="Exclude",IF(OR(F111&lt;&gt;0,H111=""),"Review nonzero or unexplained exclusion",""),IF(G111&lt;&gt;"Include","Choose Include or Exclude",IF(COUNTIFS(AwardsData[Award ID],J111)&lt;&gt;1,"Award link needs review",IF(INDEX(AwardsData[Input check],MATCH(J111,AwardsData[Award ID],0))&lt;&gt;"","Check award inputs","")))))))))))</f>
        <v/>
      </c>
      <c r="V111" s="57" t="n">
        <f aca="false">IF(AND(I111&lt;&gt;"",U111="",G111="Include"),1,0)</f>
        <v>0</v>
      </c>
      <c r="W111" s="57" t="str">
        <f aca="false">IF(I111="","",IF(COUNTIFS(AwardsData[Award ID],J111)=1,INDEX(AwardsData[Current award type],MATCH(J111,AwardsData[Award ID],0)),"Unlinked"))</f>
        <v>Unlinked</v>
      </c>
      <c r="X111" s="57" t="str">
        <f aca="false">IF(I111="","",IF(COUNTIFS(AwardsData[Award ID],J111)=1,INDEX(AwardsData[Current set-aside],MATCH(J111,AwardsData[Award ID],0)),"Unlinked"))</f>
        <v>Unlinked</v>
      </c>
      <c r="Y111" s="57" t="str">
        <f aca="false">IF(I111="","",IF(COUNTIFS(AwardsData[Award ID],J111)=1,INDEX(AwardsData[Performance state],MATCH(J111,AwardsData[Award ID],0)),"Unlinked"))</f>
        <v>Unlinked</v>
      </c>
      <c r="Z111" s="57" t="n">
        <f aca="false">IF(AND(V111=1,OR(Dashboard!$AB$2="All",K111=Dashboard!$AB$2),OR(Dashboard!$AB$3="All",L111=Dashboard!$AB$3),OR(Dashboard!$N$10="All",W111=Dashboard!$N$10)),1,0)</f>
        <v>0</v>
      </c>
      <c r="AA111" s="57" t="n">
        <f aca="false">IF(AND(Z111=1,OR(Dashboard!$B$7="All",S111=Dashboard!$B$7)),1,0)</f>
        <v>0</v>
      </c>
      <c r="AB111" s="57" t="n">
        <f aca="false">IF(AND(V111=1,F111&lt;&gt;0),1,0)</f>
        <v>0</v>
      </c>
      <c r="AC111" s="57" t="n">
        <f aca="false">IF(AND(AA111=1,AB111=1),IF(COUNTIFS($J$17:J111,J111,$AA$17:AA111,1,$AB$17:AB111,1)=1,1,0),0)</f>
        <v>0</v>
      </c>
      <c r="AD111" s="57" t="n">
        <f aca="false">IF(AND(AA111=1,AB111=1),IF(COUNTIFS($K$17:K111,K111,$AA$17:AA111,1,$AB$17:AB111,1)=1,1,0),0)</f>
        <v>0</v>
      </c>
      <c r="AE111" s="57" t="n">
        <f aca="false">IF(AND(Z111=1,AB111=1),IF(COUNTIFS($J$17:J111,J111,$S$17:S111,S111,$Z$17:Z111,1,$AB$17:AB111,1)=1,1,0),0)</f>
        <v>0</v>
      </c>
      <c r="AF111" s="57" t="n">
        <f aca="false">IF(AND(Z111=1,AB111=1),IF(COUNTIFS($K$17:K111,K111,$S$17:S111,S111,$Z$17:Z111,1,$AB$17:AB111,1)=1,1,0),0)</f>
        <v>0</v>
      </c>
      <c r="AG111" s="57" t="n">
        <f aca="false">IF(AND(AA111=1,AB111=1),IF(COUNTIFS($J$17:J111,J111,$L$17:L111,L111,$AA$17:AA111,1,$AB$17:AB111,1)=1,1,0),0)</f>
        <v>0</v>
      </c>
      <c r="AH111" s="57" t="n">
        <f aca="false">IF(AND(AA111=1,AB111=1),IF(COUNTIFS($J$17:J111,J111,$K$17:K111,K111,$AA$17:AA111,1,$AB$17:AB111,1)=1,1,0),0)</f>
        <v>0</v>
      </c>
      <c r="AI111" s="56" t="n">
        <f aca="false">IF(V111=1,MAX(F111,0),0)</f>
        <v>0</v>
      </c>
      <c r="AJ111" s="56" t="n">
        <f aca="false">IF(V111=1,MIN(F111,0),0)</f>
        <v>0</v>
      </c>
    </row>
    <row r="112" customFormat="false" ht="40" hidden="false" customHeight="true" outlineLevel="0" collapsed="false">
      <c r="A112" s="66" t="n">
        <v>45504</v>
      </c>
      <c r="B112" s="54" t="str">
        <f aca="false">IF(M112="","",IF(P112="",M112,HYPERLINK(P112,M112)))</f>
        <v>GS35F337BA-49100421F0078</v>
      </c>
      <c r="C112" s="54" t="str">
        <f aca="false">IF(N112="","",IF(Q112="",N112,HYPERLINK(Q112,N112)))</f>
        <v>Civicactions, Inc.</v>
      </c>
      <c r="D112" s="60" t="s">
        <v>115</v>
      </c>
      <c r="E112" s="54" t="str">
        <f aca="false">IF(O112="","",IF(R112="",O112,HYPERLINK(R112,O112)))</f>
        <v>NSF — office not specified</v>
      </c>
      <c r="F112" s="62" t="n">
        <v>2018646.55</v>
      </c>
      <c r="G112" s="61" t="s">
        <v>464</v>
      </c>
      <c r="H112" s="58"/>
      <c r="I112" s="58" t="s">
        <v>563</v>
      </c>
      <c r="J112" s="58" t="s">
        <v>414</v>
      </c>
      <c r="K112" s="58" t="s">
        <v>113</v>
      </c>
      <c r="L112" s="58" t="s">
        <v>213</v>
      </c>
      <c r="M112" s="58" t="s">
        <v>415</v>
      </c>
      <c r="N112" s="58" t="s">
        <v>114</v>
      </c>
      <c r="O112" s="58" t="s">
        <v>214</v>
      </c>
      <c r="P112" s="58" t="s">
        <v>416</v>
      </c>
      <c r="Q112" s="58" t="s">
        <v>116</v>
      </c>
      <c r="R112" s="58" t="s">
        <v>215</v>
      </c>
      <c r="S112" s="57" t="n">
        <f aca="false">IF(ISNUMBER(A112),YEAR(A112)+IF(MONTH(A112)&gt;=10,1,0),"")</f>
        <v>2024</v>
      </c>
      <c r="T112" s="57" t="n">
        <f aca="false">IF(ISNUMBER(A112),INT(MOD(MONTH(A112)-10,12)/3)+1,"")</f>
        <v>4</v>
      </c>
      <c r="U112" s="57" t="str">
        <f aca="false">IF(AND(I112&lt;&gt;"",D112&lt;&gt;"",OR(COUNTIFS(TransactionsData[Vendor ID],K112,TransactionsData[UEI],"&lt;&gt;"&amp;D112,TransactionsData[UEI],"?*")&gt;0,COUNTIFS(VendorGroups[Record ID],K112,VendorGroups[Source UEI],"&lt;&gt;"&amp;D112,VendorGroups[Source UEI],"?*")&gt;0)),"Conflicting vendor UEIs",IF(I112="",IF(COUNTA(A112,D112,F112:R112)&gt;0,"Missing transaction ID",""),IF(COUNTIFS(TransactionsData[Transaction ID],I112)&lt;&gt;1,"Duplicate transaction ID",IF(OR(NOT(ISNUMBER(A112)),A112&lt;1,A112&gt;DATE(2099,1,1)),"Use a valid date",IF(OR(A112&lt;$B$4,A112&gt;$D$4),"Outside coverage",IF(NOT(ISNUMBER(F112)),"Missing or invalid amount",IF(OR(K112="",L112="",N112=""),"Add vendor and office identities",IF(G112="Exclude",IF(OR(F112&lt;&gt;0,H112=""),"Review nonzero or unexplained exclusion",""),IF(G112&lt;&gt;"Include","Choose Include or Exclude",IF(COUNTIFS(AwardsData[Award ID],J112)&lt;&gt;1,"Award link needs review",IF(INDEX(AwardsData[Input check],MATCH(J112,AwardsData[Award ID],0))&lt;&gt;"","Check award inputs","")))))))))))</f>
        <v/>
      </c>
      <c r="V112" s="57" t="n">
        <f aca="false">IF(AND(I112&lt;&gt;"",U112="",G112="Include"),1,0)</f>
        <v>1</v>
      </c>
      <c r="W112" s="57" t="str">
        <f aca="false">IF(I112="","",IF(COUNTIFS(AwardsData[Award ID],J112)=1,INDEX(AwardsData[Current award type],MATCH(J112,AwardsData[Award ID],0)),"Unlinked"))</f>
        <v>Delivery Order</v>
      </c>
      <c r="X112" s="57" t="str">
        <f aca="false">IF(I112="","",IF(COUNTIFS(AwardsData[Award ID],J112)=1,INDEX(AwardsData[Current set-aside],MATCH(J112,AwardsData[Award ID],0)),"Unlinked"))</f>
        <v>Total Small Business</v>
      </c>
      <c r="Y112" s="57" t="str">
        <f aca="false">IF(I112="","",IF(COUNTIFS(AwardsData[Award ID],J112)=1,INDEX(AwardsData[Performance state],MATCH(J112,AwardsData[Award ID],0)),"Unlinked"))</f>
        <v>California</v>
      </c>
      <c r="Z112" s="57" t="n">
        <f aca="false">IF(AND(V112=1,OR(Dashboard!$AB$2="All",K112=Dashboard!$AB$2),OR(Dashboard!$AB$3="All",L112=Dashboard!$AB$3),OR(Dashboard!$N$10="All",W112=Dashboard!$N$10)),1,0)</f>
        <v>1</v>
      </c>
      <c r="AA112" s="57" t="n">
        <f aca="false">IF(AND(Z112=1,OR(Dashboard!$B$7="All",S112=Dashboard!$B$7)),1,0)</f>
        <v>0</v>
      </c>
      <c r="AB112" s="57" t="n">
        <f aca="false">IF(AND(V112=1,F112&lt;&gt;0),1,0)</f>
        <v>1</v>
      </c>
      <c r="AC112" s="57" t="n">
        <f aca="false">IF(AND(AA112=1,AB112=1),IF(COUNTIFS($J$17:J112,J112,$AA$17:AA112,1,$AB$17:AB112,1)=1,1,0),0)</f>
        <v>0</v>
      </c>
      <c r="AD112" s="57" t="n">
        <f aca="false">IF(AND(AA112=1,AB112=1),IF(COUNTIFS($K$17:K112,K112,$AA$17:AA112,1,$AB$17:AB112,1)=1,1,0),0)</f>
        <v>0</v>
      </c>
      <c r="AE112" s="57" t="n">
        <f aca="false">IF(AND(Z112=1,AB112=1),IF(COUNTIFS($J$17:J112,J112,$S$17:S112,S112,$Z$17:Z112,1,$AB$17:AB112,1)=1,1,0),0)</f>
        <v>0</v>
      </c>
      <c r="AF112" s="57" t="n">
        <f aca="false">IF(AND(Z112=1,AB112=1),IF(COUNTIFS($K$17:K112,K112,$S$17:S112,S112,$Z$17:Z112,1,$AB$17:AB112,1)=1,1,0),0)</f>
        <v>0</v>
      </c>
      <c r="AG112" s="57" t="n">
        <f aca="false">IF(AND(AA112=1,AB112=1),IF(COUNTIFS($J$17:J112,J112,$L$17:L112,L112,$AA$17:AA112,1,$AB$17:AB112,1)=1,1,0),0)</f>
        <v>0</v>
      </c>
      <c r="AH112" s="57" t="n">
        <f aca="false">IF(AND(AA112=1,AB112=1),IF(COUNTIFS($J$17:J112,J112,$K$17:K112,K112,$AA$17:AA112,1,$AB$17:AB112,1)=1,1,0),0)</f>
        <v>0</v>
      </c>
      <c r="AI112" s="56" t="n">
        <f aca="false">IF(V112=1,MAX(F112,0),0)</f>
        <v>2018646.55</v>
      </c>
      <c r="AJ112" s="56" t="n">
        <f aca="false">IF(V112=1,MIN(F112,0),0)</f>
        <v>0</v>
      </c>
    </row>
    <row r="113" customFormat="false" ht="40" hidden="false" customHeight="true" outlineLevel="0" collapsed="false">
      <c r="A113" s="66" t="n">
        <v>45512</v>
      </c>
      <c r="B113" s="54" t="str">
        <f aca="false">IF(M113="","",IF(P113="",M113,HYPERLINK(P113,M113)))</f>
        <v>49100422A0002-49100424F0182</v>
      </c>
      <c r="C113" s="54" t="str">
        <f aca="false">IF(N113="","",IF(Q113="",N113,HYPERLINK(Q113,N113)))</f>
        <v>Directviz Solutions, LLC</v>
      </c>
      <c r="D113" s="60" t="s">
        <v>123</v>
      </c>
      <c r="E113" s="54" t="str">
        <f aca="false">IF(O113="","",IF(R113="",O113,HYPERLINK(R113,O113)))</f>
        <v>Division of Information Systems</v>
      </c>
      <c r="F113" s="62" t="n">
        <v>223147.47</v>
      </c>
      <c r="G113" s="61" t="s">
        <v>464</v>
      </c>
      <c r="H113" s="58"/>
      <c r="I113" s="58" t="s">
        <v>564</v>
      </c>
      <c r="J113" s="58" t="s">
        <v>313</v>
      </c>
      <c r="K113" s="58" t="s">
        <v>121</v>
      </c>
      <c r="L113" s="58" t="s">
        <v>197</v>
      </c>
      <c r="M113" s="58" t="s">
        <v>314</v>
      </c>
      <c r="N113" s="58" t="s">
        <v>122</v>
      </c>
      <c r="O113" s="58" t="s">
        <v>198</v>
      </c>
      <c r="P113" s="58" t="s">
        <v>315</v>
      </c>
      <c r="Q113" s="58" t="s">
        <v>124</v>
      </c>
      <c r="R113" s="58" t="s">
        <v>200</v>
      </c>
      <c r="S113" s="57" t="n">
        <f aca="false">IF(ISNUMBER(A113),YEAR(A113)+IF(MONTH(A113)&gt;=10,1,0),"")</f>
        <v>2024</v>
      </c>
      <c r="T113" s="57" t="n">
        <f aca="false">IF(ISNUMBER(A113),INT(MOD(MONTH(A113)-10,12)/3)+1,"")</f>
        <v>4</v>
      </c>
      <c r="U113" s="57" t="str">
        <f aca="false">IF(AND(I113&lt;&gt;"",D113&lt;&gt;"",OR(COUNTIFS(TransactionsData[Vendor ID],K113,TransactionsData[UEI],"&lt;&gt;"&amp;D113,TransactionsData[UEI],"?*")&gt;0,COUNTIFS(VendorGroups[Record ID],K113,VendorGroups[Source UEI],"&lt;&gt;"&amp;D113,VendorGroups[Source UEI],"?*")&gt;0)),"Conflicting vendor UEIs",IF(I113="",IF(COUNTA(A113,D113,F113:R113)&gt;0,"Missing transaction ID",""),IF(COUNTIFS(TransactionsData[Transaction ID],I113)&lt;&gt;1,"Duplicate transaction ID",IF(OR(NOT(ISNUMBER(A113)),A113&lt;1,A113&gt;DATE(2099,1,1)),"Use a valid date",IF(OR(A113&lt;$B$4,A113&gt;$D$4),"Outside coverage",IF(NOT(ISNUMBER(F113)),"Missing or invalid amount",IF(OR(K113="",L113="",N113=""),"Add vendor and office identities",IF(G113="Exclude",IF(OR(F113&lt;&gt;0,H113=""),"Review nonzero or unexplained exclusion",""),IF(G113&lt;&gt;"Include","Choose Include or Exclude",IF(COUNTIFS(AwardsData[Award ID],J113)&lt;&gt;1,"Award link needs review",IF(INDEX(AwardsData[Input check],MATCH(J113,AwardsData[Award ID],0))&lt;&gt;"","Check award inputs","")))))))))))</f>
        <v/>
      </c>
      <c r="V113" s="57" t="n">
        <f aca="false">IF(AND(I113&lt;&gt;"",U113="",G113="Include"),1,0)</f>
        <v>1</v>
      </c>
      <c r="W113" s="57" t="str">
        <f aca="false">IF(I113="","",IF(COUNTIFS(AwardsData[Award ID],J113)=1,INDEX(AwardsData[Current award type],MATCH(J113,AwardsData[Award ID],0)),"Unlinked"))</f>
        <v>BPA Call</v>
      </c>
      <c r="X113" s="57" t="str">
        <f aca="false">IF(I113="","",IF(COUNTIFS(AwardsData[Award ID],J113)=1,INDEX(AwardsData[Current set-aside],MATCH(J113,AwardsData[Award ID],0)),"Unlinked"))</f>
        <v>Total Small Business</v>
      </c>
      <c r="Y113" s="57" t="str">
        <f aca="false">IF(I113="","",IF(COUNTIFS(AwardsData[Award ID],J113)=1,INDEX(AwardsData[Performance state],MATCH(J113,AwardsData[Award ID],0)),"Unlinked"))</f>
        <v>Virginia</v>
      </c>
      <c r="Z113" s="57" t="n">
        <f aca="false">IF(AND(V113=1,OR(Dashboard!$AB$2="All",K113=Dashboard!$AB$2),OR(Dashboard!$AB$3="All",L113=Dashboard!$AB$3),OR(Dashboard!$N$10="All",W113=Dashboard!$N$10)),1,0)</f>
        <v>1</v>
      </c>
      <c r="AA113" s="57" t="n">
        <f aca="false">IF(AND(Z113=1,OR(Dashboard!$B$7="All",S113=Dashboard!$B$7)),1,0)</f>
        <v>0</v>
      </c>
      <c r="AB113" s="57" t="n">
        <f aca="false">IF(AND(V113=1,F113&lt;&gt;0),1,0)</f>
        <v>1</v>
      </c>
      <c r="AC113" s="57" t="n">
        <f aca="false">IF(AND(AA113=1,AB113=1),IF(COUNTIFS($J$17:J113,J113,$AA$17:AA113,1,$AB$17:AB113,1)=1,1,0),0)</f>
        <v>0</v>
      </c>
      <c r="AD113" s="57" t="n">
        <f aca="false">IF(AND(AA113=1,AB113=1),IF(COUNTIFS($K$17:K113,K113,$AA$17:AA113,1,$AB$17:AB113,1)=1,1,0),0)</f>
        <v>0</v>
      </c>
      <c r="AE113" s="57" t="n">
        <f aca="false">IF(AND(Z113=1,AB113=1),IF(COUNTIFS($J$17:J113,J113,$S$17:S113,S113,$Z$17:Z113,1,$AB$17:AB113,1)=1,1,0),0)</f>
        <v>1</v>
      </c>
      <c r="AF113" s="57" t="n">
        <f aca="false">IF(AND(Z113=1,AB113=1),IF(COUNTIFS($K$17:K113,K113,$S$17:S113,S113,$Z$17:Z113,1,$AB$17:AB113,1)=1,1,0),0)</f>
        <v>0</v>
      </c>
      <c r="AG113" s="57" t="n">
        <f aca="false">IF(AND(AA113=1,AB113=1),IF(COUNTIFS($J$17:J113,J113,$L$17:L113,L113,$AA$17:AA113,1,$AB$17:AB113,1)=1,1,0),0)</f>
        <v>0</v>
      </c>
      <c r="AH113" s="57" t="n">
        <f aca="false">IF(AND(AA113=1,AB113=1),IF(COUNTIFS($J$17:J113,J113,$K$17:K113,K113,$AA$17:AA113,1,$AB$17:AB113,1)=1,1,0),0)</f>
        <v>0</v>
      </c>
      <c r="AI113" s="56" t="n">
        <f aca="false">IF(V113=1,MAX(F113,0),0)</f>
        <v>223147.47</v>
      </c>
      <c r="AJ113" s="56" t="n">
        <f aca="false">IF(V113=1,MIN(F113,0),0)</f>
        <v>0</v>
      </c>
    </row>
    <row r="114" customFormat="false" ht="40" hidden="false" customHeight="true" outlineLevel="0" collapsed="false">
      <c r="A114" s="66" t="n">
        <v>45527</v>
      </c>
      <c r="B114" s="54" t="str">
        <f aca="false">IF(M114="","",IF(P114="",M114,HYPERLINK(P114,M114)))</f>
        <v>49100424A0001-49100424F0030</v>
      </c>
      <c r="C114" s="54" t="str">
        <f aca="false">IF(N114="","",IF(Q114="",N114,HYPERLINK(Q114,N114)))</f>
        <v>Spatial Front Inc.</v>
      </c>
      <c r="D114" s="60" t="s">
        <v>166</v>
      </c>
      <c r="E114" s="54" t="str">
        <f aca="false">IF(O114="","",IF(R114="",O114,HYPERLINK(R114,O114)))</f>
        <v>NSF — office not specified</v>
      </c>
      <c r="F114" s="62" t="n">
        <v>560000</v>
      </c>
      <c r="G114" s="61" t="s">
        <v>464</v>
      </c>
      <c r="H114" s="58"/>
      <c r="I114" s="58" t="s">
        <v>565</v>
      </c>
      <c r="J114" s="58" t="s">
        <v>364</v>
      </c>
      <c r="K114" s="58" t="s">
        <v>164</v>
      </c>
      <c r="L114" s="58" t="s">
        <v>213</v>
      </c>
      <c r="M114" s="58" t="s">
        <v>365</v>
      </c>
      <c r="N114" s="58" t="s">
        <v>165</v>
      </c>
      <c r="O114" s="58" t="s">
        <v>214</v>
      </c>
      <c r="P114" s="58" t="s">
        <v>366</v>
      </c>
      <c r="Q114" s="58" t="s">
        <v>167</v>
      </c>
      <c r="R114" s="58" t="s">
        <v>215</v>
      </c>
      <c r="S114" s="57" t="n">
        <f aca="false">IF(ISNUMBER(A114),YEAR(A114)+IF(MONTH(A114)&gt;=10,1,0),"")</f>
        <v>2024</v>
      </c>
      <c r="T114" s="57" t="n">
        <f aca="false">IF(ISNUMBER(A114),INT(MOD(MONTH(A114)-10,12)/3)+1,"")</f>
        <v>4</v>
      </c>
      <c r="U114" s="57" t="str">
        <f aca="false">IF(AND(I114&lt;&gt;"",D114&lt;&gt;"",OR(COUNTIFS(TransactionsData[Vendor ID],K114,TransactionsData[UEI],"&lt;&gt;"&amp;D114,TransactionsData[UEI],"?*")&gt;0,COUNTIFS(VendorGroups[Record ID],K114,VendorGroups[Source UEI],"&lt;&gt;"&amp;D114,VendorGroups[Source UEI],"?*")&gt;0)),"Conflicting vendor UEIs",IF(I114="",IF(COUNTA(A114,D114,F114:R114)&gt;0,"Missing transaction ID",""),IF(COUNTIFS(TransactionsData[Transaction ID],I114)&lt;&gt;1,"Duplicate transaction ID",IF(OR(NOT(ISNUMBER(A114)),A114&lt;1,A114&gt;DATE(2099,1,1)),"Use a valid date",IF(OR(A114&lt;$B$4,A114&gt;$D$4),"Outside coverage",IF(NOT(ISNUMBER(F114)),"Missing or invalid amount",IF(OR(K114="",L114="",N114=""),"Add vendor and office identities",IF(G114="Exclude",IF(OR(F114&lt;&gt;0,H114=""),"Review nonzero or unexplained exclusion",""),IF(G114&lt;&gt;"Include","Choose Include or Exclude",IF(COUNTIFS(AwardsData[Award ID],J114)&lt;&gt;1,"Award link needs review",IF(INDEX(AwardsData[Input check],MATCH(J114,AwardsData[Award ID],0))&lt;&gt;"","Check award inputs","")))))))))))</f>
        <v/>
      </c>
      <c r="V114" s="57" t="n">
        <f aca="false">IF(AND(I114&lt;&gt;"",U114="",G114="Include"),1,0)</f>
        <v>1</v>
      </c>
      <c r="W114" s="57" t="str">
        <f aca="false">IF(I114="","",IF(COUNTIFS(AwardsData[Award ID],J114)=1,INDEX(AwardsData[Current award type],MATCH(J114,AwardsData[Award ID],0)),"Unlinked"))</f>
        <v>BPA Call</v>
      </c>
      <c r="X114" s="57" t="str">
        <f aca="false">IF(I114="","",IF(COUNTIFS(AwardsData[Award ID],J114)=1,INDEX(AwardsData[Current set-aside],MATCH(J114,AwardsData[Award ID],0)),"Unlinked"))</f>
        <v>No Set-Aside Used</v>
      </c>
      <c r="Y114" s="57" t="str">
        <f aca="false">IF(I114="","",IF(COUNTIFS(AwardsData[Award ID],J114)=1,INDEX(AwardsData[Performance state],MATCH(J114,AwardsData[Award ID],0)),"Unlinked"))</f>
        <v>Virginia</v>
      </c>
      <c r="Z114" s="57" t="n">
        <f aca="false">IF(AND(V114=1,OR(Dashboard!$AB$2="All",K114=Dashboard!$AB$2),OR(Dashboard!$AB$3="All",L114=Dashboard!$AB$3),OR(Dashboard!$N$10="All",W114=Dashboard!$N$10)),1,0)</f>
        <v>1</v>
      </c>
      <c r="AA114" s="57" t="n">
        <f aca="false">IF(AND(Z114=1,OR(Dashboard!$B$7="All",S114=Dashboard!$B$7)),1,0)</f>
        <v>0</v>
      </c>
      <c r="AB114" s="57" t="n">
        <f aca="false">IF(AND(V114=1,F114&lt;&gt;0),1,0)</f>
        <v>1</v>
      </c>
      <c r="AC114" s="57" t="n">
        <f aca="false">IF(AND(AA114=1,AB114=1),IF(COUNTIFS($J$17:J114,J114,$AA$17:AA114,1,$AB$17:AB114,1)=1,1,0),0)</f>
        <v>0</v>
      </c>
      <c r="AD114" s="57" t="n">
        <f aca="false">IF(AND(AA114=1,AB114=1),IF(COUNTIFS($K$17:K114,K114,$AA$17:AA114,1,$AB$17:AB114,1)=1,1,0),0)</f>
        <v>0</v>
      </c>
      <c r="AE114" s="57" t="n">
        <f aca="false">IF(AND(Z114=1,AB114=1),IF(COUNTIFS($J$17:J114,J114,$S$17:S114,S114,$Z$17:Z114,1,$AB$17:AB114,1)=1,1,0),0)</f>
        <v>0</v>
      </c>
      <c r="AF114" s="57" t="n">
        <f aca="false">IF(AND(Z114=1,AB114=1),IF(COUNTIFS($K$17:K114,K114,$S$17:S114,S114,$Z$17:Z114,1,$AB$17:AB114,1)=1,1,0),0)</f>
        <v>0</v>
      </c>
      <c r="AG114" s="57" t="n">
        <f aca="false">IF(AND(AA114=1,AB114=1),IF(COUNTIFS($J$17:J114,J114,$L$17:L114,L114,$AA$17:AA114,1,$AB$17:AB114,1)=1,1,0),0)</f>
        <v>0</v>
      </c>
      <c r="AH114" s="57" t="n">
        <f aca="false">IF(AND(AA114=1,AB114=1),IF(COUNTIFS($J$17:J114,J114,$K$17:K114,K114,$AA$17:AA114,1,$AB$17:AB114,1)=1,1,0),0)</f>
        <v>0</v>
      </c>
      <c r="AI114" s="56" t="n">
        <f aca="false">IF(V114=1,MAX(F114,0),0)</f>
        <v>560000</v>
      </c>
      <c r="AJ114" s="56" t="n">
        <f aca="false">IF(V114=1,MIN(F114,0),0)</f>
        <v>0</v>
      </c>
    </row>
    <row r="115" customFormat="false" ht="40" hidden="false" customHeight="true" outlineLevel="0" collapsed="false">
      <c r="A115" s="66" t="n">
        <v>45530</v>
      </c>
      <c r="B115" s="54" t="str">
        <f aca="false">IF(M115="","",IF(P115="",M115,HYPERLINK(P115,M115)))</f>
        <v>47QTCA23D0037-49100424F0196</v>
      </c>
      <c r="C115" s="54" t="str">
        <f aca="false">IF(N115="","",IF(Q115="",N115,HYPERLINK(Q115,N115)))</f>
        <v>Criterion Systems, L.L.C.</v>
      </c>
      <c r="D115" s="60" t="s">
        <v>119</v>
      </c>
      <c r="E115" s="54" t="str">
        <f aca="false">IF(O115="","",IF(R115="",O115,HYPERLINK(R115,O115)))</f>
        <v>NSF — office not specified</v>
      </c>
      <c r="F115" s="62" t="n">
        <v>1409628.9</v>
      </c>
      <c r="G115" s="61" t="s">
        <v>464</v>
      </c>
      <c r="H115" s="58"/>
      <c r="I115" s="58" t="s">
        <v>566</v>
      </c>
      <c r="J115" s="58" t="s">
        <v>264</v>
      </c>
      <c r="K115" s="58" t="s">
        <v>117</v>
      </c>
      <c r="L115" s="58" t="s">
        <v>213</v>
      </c>
      <c r="M115" s="58" t="s">
        <v>265</v>
      </c>
      <c r="N115" s="58" t="s">
        <v>118</v>
      </c>
      <c r="O115" s="58" t="s">
        <v>214</v>
      </c>
      <c r="P115" s="58" t="s">
        <v>266</v>
      </c>
      <c r="Q115" s="58" t="s">
        <v>120</v>
      </c>
      <c r="R115" s="58" t="s">
        <v>215</v>
      </c>
      <c r="S115" s="57" t="n">
        <f aca="false">IF(ISNUMBER(A115),YEAR(A115)+IF(MONTH(A115)&gt;=10,1,0),"")</f>
        <v>2024</v>
      </c>
      <c r="T115" s="57" t="n">
        <f aca="false">IF(ISNUMBER(A115),INT(MOD(MONTH(A115)-10,12)/3)+1,"")</f>
        <v>4</v>
      </c>
      <c r="U115" s="57" t="str">
        <f aca="false">IF(AND(I115&lt;&gt;"",D115&lt;&gt;"",OR(COUNTIFS(TransactionsData[Vendor ID],K115,TransactionsData[UEI],"&lt;&gt;"&amp;D115,TransactionsData[UEI],"?*")&gt;0,COUNTIFS(VendorGroups[Record ID],K115,VendorGroups[Source UEI],"&lt;&gt;"&amp;D115,VendorGroups[Source UEI],"?*")&gt;0)),"Conflicting vendor UEIs",IF(I115="",IF(COUNTA(A115,D115,F115:R115)&gt;0,"Missing transaction ID",""),IF(COUNTIFS(TransactionsData[Transaction ID],I115)&lt;&gt;1,"Duplicate transaction ID",IF(OR(NOT(ISNUMBER(A115)),A115&lt;1,A115&gt;DATE(2099,1,1)),"Use a valid date",IF(OR(A115&lt;$B$4,A115&gt;$D$4),"Outside coverage",IF(NOT(ISNUMBER(F115)),"Missing or invalid amount",IF(OR(K115="",L115="",N115=""),"Add vendor and office identities",IF(G115="Exclude",IF(OR(F115&lt;&gt;0,H115=""),"Review nonzero or unexplained exclusion",""),IF(G115&lt;&gt;"Include","Choose Include or Exclude",IF(COUNTIFS(AwardsData[Award ID],J115)&lt;&gt;1,"Award link needs review",IF(INDEX(AwardsData[Input check],MATCH(J115,AwardsData[Award ID],0))&lt;&gt;"","Check award inputs","")))))))))))</f>
        <v/>
      </c>
      <c r="V115" s="57" t="n">
        <f aca="false">IF(AND(I115&lt;&gt;"",U115="",G115="Include"),1,0)</f>
        <v>1</v>
      </c>
      <c r="W115" s="57" t="str">
        <f aca="false">IF(I115="","",IF(COUNTIFS(AwardsData[Award ID],J115)=1,INDEX(AwardsData[Current award type],MATCH(J115,AwardsData[Award ID],0)),"Unlinked"))</f>
        <v>Delivery Order</v>
      </c>
      <c r="X115" s="57" t="str">
        <f aca="false">IF(I115="","",IF(COUNTIFS(AwardsData[Award ID],J115)=1,INDEX(AwardsData[Current set-aside],MATCH(J115,AwardsData[Award ID],0)),"Unlinked"))</f>
        <v>No Set-Aside Used</v>
      </c>
      <c r="Y115" s="57" t="str">
        <f aca="false">IF(I115="","",IF(COUNTIFS(AwardsData[Award ID],J115)=1,INDEX(AwardsData[Performance state],MATCH(J115,AwardsData[Award ID],0)),"Unlinked"))</f>
        <v>Virginia</v>
      </c>
      <c r="Z115" s="57" t="n">
        <f aca="false">IF(AND(V115=1,OR(Dashboard!$AB$2="All",K115=Dashboard!$AB$2),OR(Dashboard!$AB$3="All",L115=Dashboard!$AB$3),OR(Dashboard!$N$10="All",W115=Dashboard!$N$10)),1,0)</f>
        <v>1</v>
      </c>
      <c r="AA115" s="57" t="n">
        <f aca="false">IF(AND(Z115=1,OR(Dashboard!$B$7="All",S115=Dashboard!$B$7)),1,0)</f>
        <v>0</v>
      </c>
      <c r="AB115" s="57" t="n">
        <f aca="false">IF(AND(V115=1,F115&lt;&gt;0),1,0)</f>
        <v>1</v>
      </c>
      <c r="AC115" s="57" t="n">
        <f aca="false">IF(AND(AA115=1,AB115=1),IF(COUNTIFS($J$17:J115,J115,$AA$17:AA115,1,$AB$17:AB115,1)=1,1,0),0)</f>
        <v>0</v>
      </c>
      <c r="AD115" s="57" t="n">
        <f aca="false">IF(AND(AA115=1,AB115=1),IF(COUNTIFS($K$17:K115,K115,$AA$17:AA115,1,$AB$17:AB115,1)=1,1,0),0)</f>
        <v>0</v>
      </c>
      <c r="AE115" s="57" t="n">
        <f aca="false">IF(AND(Z115=1,AB115=1),IF(COUNTIFS($J$17:J115,J115,$S$17:S115,S115,$Z$17:Z115,1,$AB$17:AB115,1)=1,1,0),0)</f>
        <v>1</v>
      </c>
      <c r="AF115" s="57" t="n">
        <f aca="false">IF(AND(Z115=1,AB115=1),IF(COUNTIFS($K$17:K115,K115,$S$17:S115,S115,$Z$17:Z115,1,$AB$17:AB115,1)=1,1,0),0)</f>
        <v>1</v>
      </c>
      <c r="AG115" s="57" t="n">
        <f aca="false">IF(AND(AA115=1,AB115=1),IF(COUNTIFS($J$17:J115,J115,$L$17:L115,L115,$AA$17:AA115,1,$AB$17:AB115,1)=1,1,0),0)</f>
        <v>0</v>
      </c>
      <c r="AH115" s="57" t="n">
        <f aca="false">IF(AND(AA115=1,AB115=1),IF(COUNTIFS($J$17:J115,J115,$K$17:K115,K115,$AA$17:AA115,1,$AB$17:AB115,1)=1,1,0),0)</f>
        <v>0</v>
      </c>
      <c r="AI115" s="56" t="n">
        <f aca="false">IF(V115=1,MAX(F115,0),0)</f>
        <v>1409628.9</v>
      </c>
      <c r="AJ115" s="56" t="n">
        <f aca="false">IF(V115=1,MIN(F115,0),0)</f>
        <v>0</v>
      </c>
    </row>
    <row r="116" customFormat="false" ht="40" hidden="false" customHeight="true" outlineLevel="0" collapsed="false">
      <c r="A116" s="66" t="n">
        <v>45538</v>
      </c>
      <c r="B116" s="54" t="str">
        <f aca="false">IF(M116="","",IF(P116="",M116,HYPERLINK(P116,M116)))</f>
        <v>47QTCA19D00GN-49100421F0206</v>
      </c>
      <c r="C116" s="54" t="str">
        <f aca="false">IF(N116="","",IF(Q116="",N116,HYPERLINK(Q116,N116)))</f>
        <v>Lynker Corporation</v>
      </c>
      <c r="D116" s="60" t="s">
        <v>147</v>
      </c>
      <c r="E116" s="54" t="str">
        <f aca="false">IF(O116="","",IF(R116="",O116,HYPERLINK(R116,O116)))</f>
        <v>Division of Social and Economic Science</v>
      </c>
      <c r="F116" s="62" t="n">
        <v>2374849</v>
      </c>
      <c r="G116" s="61" t="s">
        <v>464</v>
      </c>
      <c r="H116" s="58"/>
      <c r="I116" s="58" t="s">
        <v>567</v>
      </c>
      <c r="J116" s="58" t="s">
        <v>260</v>
      </c>
      <c r="K116" s="58" t="s">
        <v>145</v>
      </c>
      <c r="L116" s="58" t="s">
        <v>201</v>
      </c>
      <c r="M116" s="58" t="s">
        <v>261</v>
      </c>
      <c r="N116" s="58" t="s">
        <v>146</v>
      </c>
      <c r="O116" s="58" t="s">
        <v>202</v>
      </c>
      <c r="P116" s="58" t="s">
        <v>262</v>
      </c>
      <c r="Q116" s="58" t="s">
        <v>148</v>
      </c>
      <c r="R116" s="58" t="s">
        <v>204</v>
      </c>
      <c r="S116" s="57" t="n">
        <f aca="false">IF(ISNUMBER(A116),YEAR(A116)+IF(MONTH(A116)&gt;=10,1,0),"")</f>
        <v>2024</v>
      </c>
      <c r="T116" s="57" t="n">
        <f aca="false">IF(ISNUMBER(A116),INT(MOD(MONTH(A116)-10,12)/3)+1,"")</f>
        <v>4</v>
      </c>
      <c r="U116" s="57" t="str">
        <f aca="false">IF(AND(I116&lt;&gt;"",D116&lt;&gt;"",OR(COUNTIFS(TransactionsData[Vendor ID],K116,TransactionsData[UEI],"&lt;&gt;"&amp;D116,TransactionsData[UEI],"?*")&gt;0,COUNTIFS(VendorGroups[Record ID],K116,VendorGroups[Source UEI],"&lt;&gt;"&amp;D116,VendorGroups[Source UEI],"?*")&gt;0)),"Conflicting vendor UEIs",IF(I116="",IF(COUNTA(A116,D116,F116:R116)&gt;0,"Missing transaction ID",""),IF(COUNTIFS(TransactionsData[Transaction ID],I116)&lt;&gt;1,"Duplicate transaction ID",IF(OR(NOT(ISNUMBER(A116)),A116&lt;1,A116&gt;DATE(2099,1,1)),"Use a valid date",IF(OR(A116&lt;$B$4,A116&gt;$D$4),"Outside coverage",IF(NOT(ISNUMBER(F116)),"Missing or invalid amount",IF(OR(K116="",L116="",N116=""),"Add vendor and office identities",IF(G116="Exclude",IF(OR(F116&lt;&gt;0,H116=""),"Review nonzero or unexplained exclusion",""),IF(G116&lt;&gt;"Include","Choose Include or Exclude",IF(COUNTIFS(AwardsData[Award ID],J116)&lt;&gt;1,"Award link needs review",IF(INDEX(AwardsData[Input check],MATCH(J116,AwardsData[Award ID],0))&lt;&gt;"","Check award inputs","")))))))))))</f>
        <v/>
      </c>
      <c r="V116" s="57" t="n">
        <f aca="false">IF(AND(I116&lt;&gt;"",U116="",G116="Include"),1,0)</f>
        <v>1</v>
      </c>
      <c r="W116" s="57" t="str">
        <f aca="false">IF(I116="","",IF(COUNTIFS(AwardsData[Award ID],J116)=1,INDEX(AwardsData[Current award type],MATCH(J116,AwardsData[Award ID],0)),"Unlinked"))</f>
        <v>Delivery Order</v>
      </c>
      <c r="X116" s="57" t="str">
        <f aca="false">IF(I116="","",IF(COUNTIFS(AwardsData[Award ID],J116)=1,INDEX(AwardsData[Current set-aside],MATCH(J116,AwardsData[Award ID],0)),"Unlinked"))</f>
        <v>No Set-Aside Used</v>
      </c>
      <c r="Y116" s="57" t="str">
        <f aca="false">IF(I116="","",IF(COUNTIFS(AwardsData[Award ID],J116)=1,INDEX(AwardsData[Performance state],MATCH(J116,AwardsData[Award ID],0)),"Unlinked"))</f>
        <v>Virginia</v>
      </c>
      <c r="Z116" s="57" t="n">
        <f aca="false">IF(AND(V116=1,OR(Dashboard!$AB$2="All",K116=Dashboard!$AB$2),OR(Dashboard!$AB$3="All",L116=Dashboard!$AB$3),OR(Dashboard!$N$10="All",W116=Dashboard!$N$10)),1,0)</f>
        <v>1</v>
      </c>
      <c r="AA116" s="57" t="n">
        <f aca="false">IF(AND(Z116=1,OR(Dashboard!$B$7="All",S116=Dashboard!$B$7)),1,0)</f>
        <v>0</v>
      </c>
      <c r="AB116" s="57" t="n">
        <f aca="false">IF(AND(V116=1,F116&lt;&gt;0),1,0)</f>
        <v>1</v>
      </c>
      <c r="AC116" s="57" t="n">
        <f aca="false">IF(AND(AA116=1,AB116=1),IF(COUNTIFS($J$17:J116,J116,$AA$17:AA116,1,$AB$17:AB116,1)=1,1,0),0)</f>
        <v>0</v>
      </c>
      <c r="AD116" s="57" t="n">
        <f aca="false">IF(AND(AA116=1,AB116=1),IF(COUNTIFS($K$17:K116,K116,$AA$17:AA116,1,$AB$17:AB116,1)=1,1,0),0)</f>
        <v>0</v>
      </c>
      <c r="AE116" s="57" t="n">
        <f aca="false">IF(AND(Z116=1,AB116=1),IF(COUNTIFS($J$17:J116,J116,$S$17:S116,S116,$Z$17:Z116,1,$AB$17:AB116,1)=1,1,0),0)</f>
        <v>0</v>
      </c>
      <c r="AF116" s="57" t="n">
        <f aca="false">IF(AND(Z116=1,AB116=1),IF(COUNTIFS($K$17:K116,K116,$S$17:S116,S116,$Z$17:Z116,1,$AB$17:AB116,1)=1,1,0),0)</f>
        <v>0</v>
      </c>
      <c r="AG116" s="57" t="n">
        <f aca="false">IF(AND(AA116=1,AB116=1),IF(COUNTIFS($J$17:J116,J116,$L$17:L116,L116,$AA$17:AA116,1,$AB$17:AB116,1)=1,1,0),0)</f>
        <v>0</v>
      </c>
      <c r="AH116" s="57" t="n">
        <f aca="false">IF(AND(AA116=1,AB116=1),IF(COUNTIFS($J$17:J116,J116,$K$17:K116,K116,$AA$17:AA116,1,$AB$17:AB116,1)=1,1,0),0)</f>
        <v>0</v>
      </c>
      <c r="AI116" s="56" t="n">
        <f aca="false">IF(V116=1,MAX(F116,0),0)</f>
        <v>2374849</v>
      </c>
      <c r="AJ116" s="56" t="n">
        <f aca="false">IF(V116=1,MIN(F116,0),0)</f>
        <v>0</v>
      </c>
    </row>
    <row r="117" customFormat="false" ht="40" hidden="false" customHeight="true" outlineLevel="0" collapsed="false">
      <c r="A117" s="66" t="n">
        <v>45538</v>
      </c>
      <c r="B117" s="54" t="str">
        <f aca="false">IF(M117="","",IF(P117="",M117,HYPERLINK(P117,M117)))</f>
        <v>49100423C0052</v>
      </c>
      <c r="C117" s="54" t="str">
        <f aca="false">IF(N117="","",IF(Q117="",N117,HYPERLINK(Q117,N117)))</f>
        <v>Expediteinfotech, Inc.</v>
      </c>
      <c r="D117" s="60" t="s">
        <v>127</v>
      </c>
      <c r="E117" s="54" t="str">
        <f aca="false">IF(O117="","",IF(R117="",O117,HYPERLINK(R117,O117)))</f>
        <v>Office of Budget Finance and Award Management</v>
      </c>
      <c r="F117" s="62" t="n">
        <v>0</v>
      </c>
      <c r="G117" s="61" t="s">
        <v>464</v>
      </c>
      <c r="H117" s="58"/>
      <c r="I117" s="58" t="s">
        <v>568</v>
      </c>
      <c r="J117" s="58" t="s">
        <v>358</v>
      </c>
      <c r="K117" s="58" t="s">
        <v>125</v>
      </c>
      <c r="L117" s="58" t="s">
        <v>216</v>
      </c>
      <c r="M117" s="58" t="s">
        <v>358</v>
      </c>
      <c r="N117" s="58" t="s">
        <v>126</v>
      </c>
      <c r="O117" s="58" t="s">
        <v>217</v>
      </c>
      <c r="P117" s="58" t="s">
        <v>359</v>
      </c>
      <c r="Q117" s="58" t="s">
        <v>128</v>
      </c>
      <c r="R117" s="58" t="s">
        <v>219</v>
      </c>
      <c r="S117" s="57" t="n">
        <f aca="false">IF(ISNUMBER(A117),YEAR(A117)+IF(MONTH(A117)&gt;=10,1,0),"")</f>
        <v>2024</v>
      </c>
      <c r="T117" s="57" t="n">
        <f aca="false">IF(ISNUMBER(A117),INT(MOD(MONTH(A117)-10,12)/3)+1,"")</f>
        <v>4</v>
      </c>
      <c r="U117" s="57" t="str">
        <f aca="false">IF(AND(I117&lt;&gt;"",D117&lt;&gt;"",OR(COUNTIFS(TransactionsData[Vendor ID],K117,TransactionsData[UEI],"&lt;&gt;"&amp;D117,TransactionsData[UEI],"?*")&gt;0,COUNTIFS(VendorGroups[Record ID],K117,VendorGroups[Source UEI],"&lt;&gt;"&amp;D117,VendorGroups[Source UEI],"?*")&gt;0)),"Conflicting vendor UEIs",IF(I117="",IF(COUNTA(A117,D117,F117:R117)&gt;0,"Missing transaction ID",""),IF(COUNTIFS(TransactionsData[Transaction ID],I117)&lt;&gt;1,"Duplicate transaction ID",IF(OR(NOT(ISNUMBER(A117)),A117&lt;1,A117&gt;DATE(2099,1,1)),"Use a valid date",IF(OR(A117&lt;$B$4,A117&gt;$D$4),"Outside coverage",IF(NOT(ISNUMBER(F117)),"Missing or invalid amount",IF(OR(K117="",L117="",N117=""),"Add vendor and office identities",IF(G117="Exclude",IF(OR(F117&lt;&gt;0,H117=""),"Review nonzero or unexplained exclusion",""),IF(G117&lt;&gt;"Include","Choose Include or Exclude",IF(COUNTIFS(AwardsData[Award ID],J117)&lt;&gt;1,"Award link needs review",IF(INDEX(AwardsData[Input check],MATCH(J117,AwardsData[Award ID],0))&lt;&gt;"","Check award inputs","")))))))))))</f>
        <v/>
      </c>
      <c r="V117" s="57" t="n">
        <f aca="false">IF(AND(I117&lt;&gt;"",U117="",G117="Include"),1,0)</f>
        <v>1</v>
      </c>
      <c r="W117" s="57" t="str">
        <f aca="false">IF(I117="","",IF(COUNTIFS(AwardsData[Award ID],J117)=1,INDEX(AwardsData[Current award type],MATCH(J117,AwardsData[Award ID],0)),"Unlinked"))</f>
        <v>Definitive Contract</v>
      </c>
      <c r="X117" s="57" t="str">
        <f aca="false">IF(I117="","",IF(COUNTIFS(AwardsData[Award ID],J117)=1,INDEX(AwardsData[Current set-aside],MATCH(J117,AwardsData[Award ID],0)),"Unlinked"))</f>
        <v>8(a) Sole Source</v>
      </c>
      <c r="Y117" s="57" t="str">
        <f aca="false">IF(I117="","",IF(COUNTIFS(AwardsData[Award ID],J117)=1,INDEX(AwardsData[Performance state],MATCH(J117,AwardsData[Award ID],0)),"Unlinked"))</f>
        <v>Maryland</v>
      </c>
      <c r="Z117" s="57" t="n">
        <f aca="false">IF(AND(V117=1,OR(Dashboard!$AB$2="All",K117=Dashboard!$AB$2),OR(Dashboard!$AB$3="All",L117=Dashboard!$AB$3),OR(Dashboard!$N$10="All",W117=Dashboard!$N$10)),1,0)</f>
        <v>1</v>
      </c>
      <c r="AA117" s="57" t="n">
        <f aca="false">IF(AND(Z117=1,OR(Dashboard!$B$7="All",S117=Dashboard!$B$7)),1,0)</f>
        <v>0</v>
      </c>
      <c r="AB117" s="57" t="n">
        <f aca="false">IF(AND(V117=1,F117&lt;&gt;0),1,0)</f>
        <v>0</v>
      </c>
      <c r="AC117" s="57" t="n">
        <f aca="false">IF(AND(AA117=1,AB117=1),IF(COUNTIFS($J$17:J117,J117,$AA$17:AA117,1,$AB$17:AB117,1)=1,1,0),0)</f>
        <v>0</v>
      </c>
      <c r="AD117" s="57" t="n">
        <f aca="false">IF(AND(AA117=1,AB117=1),IF(COUNTIFS($K$17:K117,K117,$AA$17:AA117,1,$AB$17:AB117,1)=1,1,0),0)</f>
        <v>0</v>
      </c>
      <c r="AE117" s="57" t="n">
        <f aca="false">IF(AND(Z117=1,AB117=1),IF(COUNTIFS($J$17:J117,J117,$S$17:S117,S117,$Z$17:Z117,1,$AB$17:AB117,1)=1,1,0),0)</f>
        <v>0</v>
      </c>
      <c r="AF117" s="57" t="n">
        <f aca="false">IF(AND(Z117=1,AB117=1),IF(COUNTIFS($K$17:K117,K117,$S$17:S117,S117,$Z$17:Z117,1,$AB$17:AB117,1)=1,1,0),0)</f>
        <v>0</v>
      </c>
      <c r="AG117" s="57" t="n">
        <f aca="false">IF(AND(AA117=1,AB117=1),IF(COUNTIFS($J$17:J117,J117,$L$17:L117,L117,$AA$17:AA117,1,$AB$17:AB117,1)=1,1,0),0)</f>
        <v>0</v>
      </c>
      <c r="AH117" s="57" t="n">
        <f aca="false">IF(AND(AA117=1,AB117=1),IF(COUNTIFS($J$17:J117,J117,$K$17:K117,K117,$AA$17:AA117,1,$AB$17:AB117,1)=1,1,0),0)</f>
        <v>0</v>
      </c>
      <c r="AI117" s="56" t="n">
        <f aca="false">IF(V117=1,MAX(F117,0),0)</f>
        <v>0</v>
      </c>
      <c r="AJ117" s="56" t="n">
        <f aca="false">IF(V117=1,MIN(F117,0),0)</f>
        <v>0</v>
      </c>
    </row>
    <row r="118" customFormat="false" ht="40" hidden="false" customHeight="true" outlineLevel="0" collapsed="false">
      <c r="A118" s="66" t="n">
        <v>45540</v>
      </c>
      <c r="B118" s="54" t="str">
        <f aca="false">IF(M118="","",IF(P118="",M118,HYPERLINK(P118,M118)))</f>
        <v>49100424C0051</v>
      </c>
      <c r="C118" s="54" t="str">
        <f aca="false">IF(N118="","",IF(Q118="",N118,HYPERLINK(Q118,N118)))</f>
        <v>Rei Systems, Inc.</v>
      </c>
      <c r="D118" s="60" t="s">
        <v>158</v>
      </c>
      <c r="E118" s="54" t="str">
        <f aca="false">IF(O118="","",IF(R118="",O118,HYPERLINK(R118,O118)))</f>
        <v>NSF — office not specified</v>
      </c>
      <c r="F118" s="62" t="n">
        <v>375000</v>
      </c>
      <c r="G118" s="61" t="s">
        <v>464</v>
      </c>
      <c r="H118" s="58"/>
      <c r="I118" s="58" t="s">
        <v>569</v>
      </c>
      <c r="J118" s="58" t="s">
        <v>400</v>
      </c>
      <c r="K118" s="58" t="s">
        <v>156</v>
      </c>
      <c r="L118" s="58" t="s">
        <v>213</v>
      </c>
      <c r="M118" s="58" t="s">
        <v>400</v>
      </c>
      <c r="N118" s="58" t="s">
        <v>157</v>
      </c>
      <c r="O118" s="58" t="s">
        <v>214</v>
      </c>
      <c r="P118" s="58" t="s">
        <v>401</v>
      </c>
      <c r="Q118" s="58" t="s">
        <v>159</v>
      </c>
      <c r="R118" s="58" t="s">
        <v>215</v>
      </c>
      <c r="S118" s="57" t="n">
        <f aca="false">IF(ISNUMBER(A118),YEAR(A118)+IF(MONTH(A118)&gt;=10,1,0),"")</f>
        <v>2024</v>
      </c>
      <c r="T118" s="57" t="n">
        <f aca="false">IF(ISNUMBER(A118),INT(MOD(MONTH(A118)-10,12)/3)+1,"")</f>
        <v>4</v>
      </c>
      <c r="U118" s="57" t="str">
        <f aca="false">IF(AND(I118&lt;&gt;"",D118&lt;&gt;"",OR(COUNTIFS(TransactionsData[Vendor ID],K118,TransactionsData[UEI],"&lt;&gt;"&amp;D118,TransactionsData[UEI],"?*")&gt;0,COUNTIFS(VendorGroups[Record ID],K118,VendorGroups[Source UEI],"&lt;&gt;"&amp;D118,VendorGroups[Source UEI],"?*")&gt;0)),"Conflicting vendor UEIs",IF(I118="",IF(COUNTA(A118,D118,F118:R118)&gt;0,"Missing transaction ID",""),IF(COUNTIFS(TransactionsData[Transaction ID],I118)&lt;&gt;1,"Duplicate transaction ID",IF(OR(NOT(ISNUMBER(A118)),A118&lt;1,A118&gt;DATE(2099,1,1)),"Use a valid date",IF(OR(A118&lt;$B$4,A118&gt;$D$4),"Outside coverage",IF(NOT(ISNUMBER(F118)),"Missing or invalid amount",IF(OR(K118="",L118="",N118=""),"Add vendor and office identities",IF(G118="Exclude",IF(OR(F118&lt;&gt;0,H118=""),"Review nonzero or unexplained exclusion",""),IF(G118&lt;&gt;"Include","Choose Include or Exclude",IF(COUNTIFS(AwardsData[Award ID],J118)&lt;&gt;1,"Award link needs review",IF(INDEX(AwardsData[Input check],MATCH(J118,AwardsData[Award ID],0))&lt;&gt;"","Check award inputs","")))))))))))</f>
        <v/>
      </c>
      <c r="V118" s="57" t="n">
        <f aca="false">IF(AND(I118&lt;&gt;"",U118="",G118="Include"),1,0)</f>
        <v>1</v>
      </c>
      <c r="W118" s="57" t="str">
        <f aca="false">IF(I118="","",IF(COUNTIFS(AwardsData[Award ID],J118)=1,INDEX(AwardsData[Current award type],MATCH(J118,AwardsData[Award ID],0)),"Unlinked"))</f>
        <v>Definitive Contract</v>
      </c>
      <c r="X118" s="57" t="str">
        <f aca="false">IF(I118="","",IF(COUNTIFS(AwardsData[Award ID],J118)=1,INDEX(AwardsData[Current set-aside],MATCH(J118,AwardsData[Award ID],0)),"Unlinked"))</f>
        <v>No Set-Aside Used</v>
      </c>
      <c r="Y118" s="57" t="str">
        <f aca="false">IF(I118="","",IF(COUNTIFS(AwardsData[Award ID],J118)=1,INDEX(AwardsData[Performance state],MATCH(J118,AwardsData[Award ID],0)),"Unlinked"))</f>
        <v>Virginia</v>
      </c>
      <c r="Z118" s="57" t="n">
        <f aca="false">IF(AND(V118=1,OR(Dashboard!$AB$2="All",K118=Dashboard!$AB$2),OR(Dashboard!$AB$3="All",L118=Dashboard!$AB$3),OR(Dashboard!$N$10="All",W118=Dashboard!$N$10)),1,0)</f>
        <v>1</v>
      </c>
      <c r="AA118" s="57" t="n">
        <f aca="false">IF(AND(Z118=1,OR(Dashboard!$B$7="All",S118=Dashboard!$B$7)),1,0)</f>
        <v>0</v>
      </c>
      <c r="AB118" s="57" t="n">
        <f aca="false">IF(AND(V118=1,F118&lt;&gt;0),1,0)</f>
        <v>1</v>
      </c>
      <c r="AC118" s="57" t="n">
        <f aca="false">IF(AND(AA118=1,AB118=1),IF(COUNTIFS($J$17:J118,J118,$AA$17:AA118,1,$AB$17:AB118,1)=1,1,0),0)</f>
        <v>0</v>
      </c>
      <c r="AD118" s="57" t="n">
        <f aca="false">IF(AND(AA118=1,AB118=1),IF(COUNTIFS($K$17:K118,K118,$AA$17:AA118,1,$AB$17:AB118,1)=1,1,0),0)</f>
        <v>0</v>
      </c>
      <c r="AE118" s="57" t="n">
        <f aca="false">IF(AND(Z118=1,AB118=1),IF(COUNTIFS($J$17:J118,J118,$S$17:S118,S118,$Z$17:Z118,1,$AB$17:AB118,1)=1,1,0),0)</f>
        <v>1</v>
      </c>
      <c r="AF118" s="57" t="n">
        <f aca="false">IF(AND(Z118=1,AB118=1),IF(COUNTIFS($K$17:K118,K118,$S$17:S118,S118,$Z$17:Z118,1,$AB$17:AB118,1)=1,1,0),0)</f>
        <v>0</v>
      </c>
      <c r="AG118" s="57" t="n">
        <f aca="false">IF(AND(AA118=1,AB118=1),IF(COUNTIFS($J$17:J118,J118,$L$17:L118,L118,$AA$17:AA118,1,$AB$17:AB118,1)=1,1,0),0)</f>
        <v>0</v>
      </c>
      <c r="AH118" s="57" t="n">
        <f aca="false">IF(AND(AA118=1,AB118=1),IF(COUNTIFS($J$17:J118,J118,$K$17:K118,K118,$AA$17:AA118,1,$AB$17:AB118,1)=1,1,0),0)</f>
        <v>0</v>
      </c>
      <c r="AI118" s="56" t="n">
        <f aca="false">IF(V118=1,MAX(F118,0),0)</f>
        <v>375000</v>
      </c>
      <c r="AJ118" s="56" t="n">
        <f aca="false">IF(V118=1,MIN(F118,0),0)</f>
        <v>0</v>
      </c>
    </row>
    <row r="119" customFormat="false" ht="40" hidden="false" customHeight="true" outlineLevel="0" collapsed="false">
      <c r="A119" s="66" t="n">
        <v>45541</v>
      </c>
      <c r="B119" s="54" t="str">
        <f aca="false">IF(M119="","",IF(P119="",M119,HYPERLINK(P119,M119)))</f>
        <v>NNG15SC90B-49100424F0064</v>
      </c>
      <c r="C119" s="54" t="str">
        <f aca="false">IF(N119="","",IF(Q119="",N119,HYPERLINK(Q119,N119)))</f>
        <v>Strategic Communications LLC</v>
      </c>
      <c r="D119" s="60" t="s">
        <v>170</v>
      </c>
      <c r="E119" s="54" t="str">
        <f aca="false">IF(O119="","",IF(R119="",O119,HYPERLINK(R119,O119)))</f>
        <v>NSF — office not specified</v>
      </c>
      <c r="F119" s="62" t="n">
        <v>0</v>
      </c>
      <c r="G119" s="61" t="s">
        <v>464</v>
      </c>
      <c r="H119" s="58"/>
      <c r="I119" s="58" t="s">
        <v>570</v>
      </c>
      <c r="J119" s="58" t="s">
        <v>418</v>
      </c>
      <c r="K119" s="58" t="s">
        <v>168</v>
      </c>
      <c r="L119" s="58" t="s">
        <v>213</v>
      </c>
      <c r="M119" s="58" t="s">
        <v>419</v>
      </c>
      <c r="N119" s="58" t="s">
        <v>169</v>
      </c>
      <c r="O119" s="58" t="s">
        <v>214</v>
      </c>
      <c r="P119" s="58" t="s">
        <v>420</v>
      </c>
      <c r="Q119" s="58" t="s">
        <v>171</v>
      </c>
      <c r="R119" s="58" t="s">
        <v>215</v>
      </c>
      <c r="S119" s="57" t="n">
        <f aca="false">IF(ISNUMBER(A119),YEAR(A119)+IF(MONTH(A119)&gt;=10,1,0),"")</f>
        <v>2024</v>
      </c>
      <c r="T119" s="57" t="n">
        <f aca="false">IF(ISNUMBER(A119),INT(MOD(MONTH(A119)-10,12)/3)+1,"")</f>
        <v>4</v>
      </c>
      <c r="U119" s="57" t="str">
        <f aca="false">IF(AND(I119&lt;&gt;"",D119&lt;&gt;"",OR(COUNTIFS(TransactionsData[Vendor ID],K119,TransactionsData[UEI],"&lt;&gt;"&amp;D119,TransactionsData[UEI],"?*")&gt;0,COUNTIFS(VendorGroups[Record ID],K119,VendorGroups[Source UEI],"&lt;&gt;"&amp;D119,VendorGroups[Source UEI],"?*")&gt;0)),"Conflicting vendor UEIs",IF(I119="",IF(COUNTA(A119,D119,F119:R119)&gt;0,"Missing transaction ID",""),IF(COUNTIFS(TransactionsData[Transaction ID],I119)&lt;&gt;1,"Duplicate transaction ID",IF(OR(NOT(ISNUMBER(A119)),A119&lt;1,A119&gt;DATE(2099,1,1)),"Use a valid date",IF(OR(A119&lt;$B$4,A119&gt;$D$4),"Outside coverage",IF(NOT(ISNUMBER(F119)),"Missing or invalid amount",IF(OR(K119="",L119="",N119=""),"Add vendor and office identities",IF(G119="Exclude",IF(OR(F119&lt;&gt;0,H119=""),"Review nonzero or unexplained exclusion",""),IF(G119&lt;&gt;"Include","Choose Include or Exclude",IF(COUNTIFS(AwardsData[Award ID],J119)&lt;&gt;1,"Award link needs review",IF(INDEX(AwardsData[Input check],MATCH(J119,AwardsData[Award ID],0))&lt;&gt;"","Check award inputs","")))))))))))</f>
        <v/>
      </c>
      <c r="V119" s="57" t="n">
        <f aca="false">IF(AND(I119&lt;&gt;"",U119="",G119="Include"),1,0)</f>
        <v>1</v>
      </c>
      <c r="W119" s="57" t="str">
        <f aca="false">IF(I119="","",IF(COUNTIFS(AwardsData[Award ID],J119)=1,INDEX(AwardsData[Current award type],MATCH(J119,AwardsData[Award ID],0)),"Unlinked"))</f>
        <v>Delivery Order</v>
      </c>
      <c r="X119" s="57" t="str">
        <f aca="false">IF(I119="","",IF(COUNTIFS(AwardsData[Award ID],J119)=1,INDEX(AwardsData[Current set-aside],MATCH(J119,AwardsData[Award ID],0)),"Unlinked"))</f>
        <v>Total Small Business</v>
      </c>
      <c r="Y119" s="57" t="str">
        <f aca="false">IF(I119="","",IF(COUNTIFS(AwardsData[Award ID],J119)=1,INDEX(AwardsData[Performance state],MATCH(J119,AwardsData[Award ID],0)),"Unlinked"))</f>
        <v>Virginia</v>
      </c>
      <c r="Z119" s="57" t="n">
        <f aca="false">IF(AND(V119=1,OR(Dashboard!$AB$2="All",K119=Dashboard!$AB$2),OR(Dashboard!$AB$3="All",L119=Dashboard!$AB$3),OR(Dashboard!$N$10="All",W119=Dashboard!$N$10)),1,0)</f>
        <v>1</v>
      </c>
      <c r="AA119" s="57" t="n">
        <f aca="false">IF(AND(Z119=1,OR(Dashboard!$B$7="All",S119=Dashboard!$B$7)),1,0)</f>
        <v>0</v>
      </c>
      <c r="AB119" s="57" t="n">
        <f aca="false">IF(AND(V119=1,F119&lt;&gt;0),1,0)</f>
        <v>0</v>
      </c>
      <c r="AC119" s="57" t="n">
        <f aca="false">IF(AND(AA119=1,AB119=1),IF(COUNTIFS($J$17:J119,J119,$AA$17:AA119,1,$AB$17:AB119,1)=1,1,0),0)</f>
        <v>0</v>
      </c>
      <c r="AD119" s="57" t="n">
        <f aca="false">IF(AND(AA119=1,AB119=1),IF(COUNTIFS($K$17:K119,K119,$AA$17:AA119,1,$AB$17:AB119,1)=1,1,0),0)</f>
        <v>0</v>
      </c>
      <c r="AE119" s="57" t="n">
        <f aca="false">IF(AND(Z119=1,AB119=1),IF(COUNTIFS($J$17:J119,J119,$S$17:S119,S119,$Z$17:Z119,1,$AB$17:AB119,1)=1,1,0),0)</f>
        <v>0</v>
      </c>
      <c r="AF119" s="57" t="n">
        <f aca="false">IF(AND(Z119=1,AB119=1),IF(COUNTIFS($K$17:K119,K119,$S$17:S119,S119,$Z$17:Z119,1,$AB$17:AB119,1)=1,1,0),0)</f>
        <v>0</v>
      </c>
      <c r="AG119" s="57" t="n">
        <f aca="false">IF(AND(AA119=1,AB119=1),IF(COUNTIFS($J$17:J119,J119,$L$17:L119,L119,$AA$17:AA119,1,$AB$17:AB119,1)=1,1,0),0)</f>
        <v>0</v>
      </c>
      <c r="AH119" s="57" t="n">
        <f aca="false">IF(AND(AA119=1,AB119=1),IF(COUNTIFS($J$17:J119,J119,$K$17:K119,K119,$AA$17:AA119,1,$AB$17:AB119,1)=1,1,0),0)</f>
        <v>0</v>
      </c>
      <c r="AI119" s="56" t="n">
        <f aca="false">IF(V119=1,MAX(F119,0),0)</f>
        <v>0</v>
      </c>
      <c r="AJ119" s="56" t="n">
        <f aca="false">IF(V119=1,MIN(F119,0),0)</f>
        <v>0</v>
      </c>
    </row>
    <row r="120" customFormat="false" ht="40" hidden="false" customHeight="true" outlineLevel="0" collapsed="false">
      <c r="A120" s="66" t="n">
        <v>45544</v>
      </c>
      <c r="B120" s="54" t="str">
        <f aca="false">IF(M120="","",IF(P120="",M120,HYPERLINK(P120,M120)))</f>
        <v>47QTCB22D0076-49100423F0221</v>
      </c>
      <c r="C120" s="54" t="str">
        <f aca="false">IF(N120="","",IF(Q120="",N120,HYPERLINK(Q120,N120)))</f>
        <v>Ibex It Business Experts LLC</v>
      </c>
      <c r="D120" s="60" t="s">
        <v>143</v>
      </c>
      <c r="E120" s="54" t="str">
        <f aca="false">IF(O120="","",IF(R120="",O120,HYPERLINK(R120,O120)))</f>
        <v>NSF — office not specified</v>
      </c>
      <c r="F120" s="62" t="n">
        <v>59677.6</v>
      </c>
      <c r="G120" s="61" t="s">
        <v>464</v>
      </c>
      <c r="H120" s="58"/>
      <c r="I120" s="58" t="s">
        <v>571</v>
      </c>
      <c r="J120" s="58" t="s">
        <v>293</v>
      </c>
      <c r="K120" s="58" t="s">
        <v>141</v>
      </c>
      <c r="L120" s="58" t="s">
        <v>213</v>
      </c>
      <c r="M120" s="58" t="s">
        <v>294</v>
      </c>
      <c r="N120" s="58" t="s">
        <v>142</v>
      </c>
      <c r="O120" s="58" t="s">
        <v>214</v>
      </c>
      <c r="P120" s="58" t="s">
        <v>295</v>
      </c>
      <c r="Q120" s="58" t="s">
        <v>144</v>
      </c>
      <c r="R120" s="58" t="s">
        <v>215</v>
      </c>
      <c r="S120" s="57" t="n">
        <f aca="false">IF(ISNUMBER(A120),YEAR(A120)+IF(MONTH(A120)&gt;=10,1,0),"")</f>
        <v>2024</v>
      </c>
      <c r="T120" s="57" t="n">
        <f aca="false">IF(ISNUMBER(A120),INT(MOD(MONTH(A120)-10,12)/3)+1,"")</f>
        <v>4</v>
      </c>
      <c r="U120" s="57" t="str">
        <f aca="false">IF(AND(I120&lt;&gt;"",D120&lt;&gt;"",OR(COUNTIFS(TransactionsData[Vendor ID],K120,TransactionsData[UEI],"&lt;&gt;"&amp;D120,TransactionsData[UEI],"?*")&gt;0,COUNTIFS(VendorGroups[Record ID],K120,VendorGroups[Source UEI],"&lt;&gt;"&amp;D120,VendorGroups[Source UEI],"?*")&gt;0)),"Conflicting vendor UEIs",IF(I120="",IF(COUNTA(A120,D120,F120:R120)&gt;0,"Missing transaction ID",""),IF(COUNTIFS(TransactionsData[Transaction ID],I120)&lt;&gt;1,"Duplicate transaction ID",IF(OR(NOT(ISNUMBER(A120)),A120&lt;1,A120&gt;DATE(2099,1,1)),"Use a valid date",IF(OR(A120&lt;$B$4,A120&gt;$D$4),"Outside coverage",IF(NOT(ISNUMBER(F120)),"Missing or invalid amount",IF(OR(K120="",L120="",N120=""),"Add vendor and office identities",IF(G120="Exclude",IF(OR(F120&lt;&gt;0,H120=""),"Review nonzero or unexplained exclusion",""),IF(G120&lt;&gt;"Include","Choose Include or Exclude",IF(COUNTIFS(AwardsData[Award ID],J120)&lt;&gt;1,"Award link needs review",IF(INDEX(AwardsData[Input check],MATCH(J120,AwardsData[Award ID],0))&lt;&gt;"","Check award inputs","")))))))))))</f>
        <v/>
      </c>
      <c r="V120" s="57" t="n">
        <f aca="false">IF(AND(I120&lt;&gt;"",U120="",G120="Include"),1,0)</f>
        <v>1</v>
      </c>
      <c r="W120" s="57" t="str">
        <f aca="false">IF(I120="","",IF(COUNTIFS(AwardsData[Award ID],J120)=1,INDEX(AwardsData[Current award type],MATCH(J120,AwardsData[Award ID],0)),"Unlinked"))</f>
        <v>Delivery Order</v>
      </c>
      <c r="X120" s="57" t="str">
        <f aca="false">IF(I120="","",IF(COUNTIFS(AwardsData[Award ID],J120)=1,INDEX(AwardsData[Current set-aside],MATCH(J120,AwardsData[Award ID],0)),"Unlinked"))</f>
        <v>No Set-Aside Used</v>
      </c>
      <c r="Y120" s="57" t="str">
        <f aca="false">IF(I120="","",IF(COUNTIFS(AwardsData[Award ID],J120)=1,INDEX(AwardsData[Performance state],MATCH(J120,AwardsData[Award ID],0)),"Unlinked"))</f>
        <v>Virginia</v>
      </c>
      <c r="Z120" s="57" t="n">
        <f aca="false">IF(AND(V120=1,OR(Dashboard!$AB$2="All",K120=Dashboard!$AB$2),OR(Dashboard!$AB$3="All",L120=Dashboard!$AB$3),OR(Dashboard!$N$10="All",W120=Dashboard!$N$10)),1,0)</f>
        <v>1</v>
      </c>
      <c r="AA120" s="57" t="n">
        <f aca="false">IF(AND(Z120=1,OR(Dashboard!$B$7="All",S120=Dashboard!$B$7)),1,0)</f>
        <v>0</v>
      </c>
      <c r="AB120" s="57" t="n">
        <f aca="false">IF(AND(V120=1,F120&lt;&gt;0),1,0)</f>
        <v>1</v>
      </c>
      <c r="AC120" s="57" t="n">
        <f aca="false">IF(AND(AA120=1,AB120=1),IF(COUNTIFS($J$17:J120,J120,$AA$17:AA120,1,$AB$17:AB120,1)=1,1,0),0)</f>
        <v>0</v>
      </c>
      <c r="AD120" s="57" t="n">
        <f aca="false">IF(AND(AA120=1,AB120=1),IF(COUNTIFS($K$17:K120,K120,$AA$17:AA120,1,$AB$17:AB120,1)=1,1,0),0)</f>
        <v>0</v>
      </c>
      <c r="AE120" s="57" t="n">
        <f aca="false">IF(AND(Z120=1,AB120=1),IF(COUNTIFS($J$17:J120,J120,$S$17:S120,S120,$Z$17:Z120,1,$AB$17:AB120,1)=1,1,0),0)</f>
        <v>1</v>
      </c>
      <c r="AF120" s="57" t="n">
        <f aca="false">IF(AND(Z120=1,AB120=1),IF(COUNTIFS($K$17:K120,K120,$S$17:S120,S120,$Z$17:Z120,1,$AB$17:AB120,1)=1,1,0),0)</f>
        <v>1</v>
      </c>
      <c r="AG120" s="57" t="n">
        <f aca="false">IF(AND(AA120=1,AB120=1),IF(COUNTIFS($J$17:J120,J120,$L$17:L120,L120,$AA$17:AA120,1,$AB$17:AB120,1)=1,1,0),0)</f>
        <v>0</v>
      </c>
      <c r="AH120" s="57" t="n">
        <f aca="false">IF(AND(AA120=1,AB120=1),IF(COUNTIFS($J$17:J120,J120,$K$17:K120,K120,$AA$17:AA120,1,$AB$17:AB120,1)=1,1,0),0)</f>
        <v>0</v>
      </c>
      <c r="AI120" s="56" t="n">
        <f aca="false">IF(V120=1,MAX(F120,0),0)</f>
        <v>59677.6</v>
      </c>
      <c r="AJ120" s="56" t="n">
        <f aca="false">IF(V120=1,MIN(F120,0),0)</f>
        <v>0</v>
      </c>
    </row>
    <row r="121" customFormat="false" ht="40" hidden="false" customHeight="true" outlineLevel="0" collapsed="false">
      <c r="A121" s="66" t="n">
        <v>45544</v>
      </c>
      <c r="B121" s="54" t="str">
        <f aca="false">IF(M121="","",IF(P121="",M121,HYPERLINK(P121,M121)))</f>
        <v>49100424A0001-49100424F0055</v>
      </c>
      <c r="C121" s="54" t="str">
        <f aca="false">IF(N121="","",IF(Q121="",N121,HYPERLINK(Q121,N121)))</f>
        <v>Spatial Front Inc.</v>
      </c>
      <c r="D121" s="60" t="s">
        <v>166</v>
      </c>
      <c r="E121" s="54" t="str">
        <f aca="false">IF(O121="","",IF(R121="",O121,HYPERLINK(R121,O121)))</f>
        <v>Division of Information Systems</v>
      </c>
      <c r="F121" s="62" t="n">
        <v>50000</v>
      </c>
      <c r="G121" s="61" t="s">
        <v>464</v>
      </c>
      <c r="H121" s="58"/>
      <c r="I121" s="58" t="s">
        <v>572</v>
      </c>
      <c r="J121" s="58" t="s">
        <v>379</v>
      </c>
      <c r="K121" s="58" t="s">
        <v>164</v>
      </c>
      <c r="L121" s="58" t="s">
        <v>197</v>
      </c>
      <c r="M121" s="58" t="s">
        <v>380</v>
      </c>
      <c r="N121" s="58" t="s">
        <v>165</v>
      </c>
      <c r="O121" s="58" t="s">
        <v>198</v>
      </c>
      <c r="P121" s="58" t="s">
        <v>381</v>
      </c>
      <c r="Q121" s="58" t="s">
        <v>167</v>
      </c>
      <c r="R121" s="58" t="s">
        <v>200</v>
      </c>
      <c r="S121" s="57" t="n">
        <f aca="false">IF(ISNUMBER(A121),YEAR(A121)+IF(MONTH(A121)&gt;=10,1,0),"")</f>
        <v>2024</v>
      </c>
      <c r="T121" s="57" t="n">
        <f aca="false">IF(ISNUMBER(A121),INT(MOD(MONTH(A121)-10,12)/3)+1,"")</f>
        <v>4</v>
      </c>
      <c r="U121" s="57" t="str">
        <f aca="false">IF(AND(I121&lt;&gt;"",D121&lt;&gt;"",OR(COUNTIFS(TransactionsData[Vendor ID],K121,TransactionsData[UEI],"&lt;&gt;"&amp;D121,TransactionsData[UEI],"?*")&gt;0,COUNTIFS(VendorGroups[Record ID],K121,VendorGroups[Source UEI],"&lt;&gt;"&amp;D121,VendorGroups[Source UEI],"?*")&gt;0)),"Conflicting vendor UEIs",IF(I121="",IF(COUNTA(A121,D121,F121:R121)&gt;0,"Missing transaction ID",""),IF(COUNTIFS(TransactionsData[Transaction ID],I121)&lt;&gt;1,"Duplicate transaction ID",IF(OR(NOT(ISNUMBER(A121)),A121&lt;1,A121&gt;DATE(2099,1,1)),"Use a valid date",IF(OR(A121&lt;$B$4,A121&gt;$D$4),"Outside coverage",IF(NOT(ISNUMBER(F121)),"Missing or invalid amount",IF(OR(K121="",L121="",N121=""),"Add vendor and office identities",IF(G121="Exclude",IF(OR(F121&lt;&gt;0,H121=""),"Review nonzero or unexplained exclusion",""),IF(G121&lt;&gt;"Include","Choose Include or Exclude",IF(COUNTIFS(AwardsData[Award ID],J121)&lt;&gt;1,"Award link needs review",IF(INDEX(AwardsData[Input check],MATCH(J121,AwardsData[Award ID],0))&lt;&gt;"","Check award inputs","")))))))))))</f>
        <v/>
      </c>
      <c r="V121" s="57" t="n">
        <f aca="false">IF(AND(I121&lt;&gt;"",U121="",G121="Include"),1,0)</f>
        <v>1</v>
      </c>
      <c r="W121" s="57" t="str">
        <f aca="false">IF(I121="","",IF(COUNTIFS(AwardsData[Award ID],J121)=1,INDEX(AwardsData[Current award type],MATCH(J121,AwardsData[Award ID],0)),"Unlinked"))</f>
        <v>BPA Call</v>
      </c>
      <c r="X121" s="57" t="str">
        <f aca="false">IF(I121="","",IF(COUNTIFS(AwardsData[Award ID],J121)=1,INDEX(AwardsData[Current set-aside],MATCH(J121,AwardsData[Award ID],0)),"Unlinked"))</f>
        <v>Total Small Business</v>
      </c>
      <c r="Y121" s="57" t="str">
        <f aca="false">IF(I121="","",IF(COUNTIFS(AwardsData[Award ID],J121)=1,INDEX(AwardsData[Performance state],MATCH(J121,AwardsData[Award ID],0)),"Unlinked"))</f>
        <v>Virginia</v>
      </c>
      <c r="Z121" s="57" t="n">
        <f aca="false">IF(AND(V121=1,OR(Dashboard!$AB$2="All",K121=Dashboard!$AB$2),OR(Dashboard!$AB$3="All",L121=Dashboard!$AB$3),OR(Dashboard!$N$10="All",W121=Dashboard!$N$10)),1,0)</f>
        <v>1</v>
      </c>
      <c r="AA121" s="57" t="n">
        <f aca="false">IF(AND(Z121=1,OR(Dashboard!$B$7="All",S121=Dashboard!$B$7)),1,0)</f>
        <v>0</v>
      </c>
      <c r="AB121" s="57" t="n">
        <f aca="false">IF(AND(V121=1,F121&lt;&gt;0),1,0)</f>
        <v>1</v>
      </c>
      <c r="AC121" s="57" t="n">
        <f aca="false">IF(AND(AA121=1,AB121=1),IF(COUNTIFS($J$17:J121,J121,$AA$17:AA121,1,$AB$17:AB121,1)=1,1,0),0)</f>
        <v>0</v>
      </c>
      <c r="AD121" s="57" t="n">
        <f aca="false">IF(AND(AA121=1,AB121=1),IF(COUNTIFS($K$17:K121,K121,$AA$17:AA121,1,$AB$17:AB121,1)=1,1,0),0)</f>
        <v>0</v>
      </c>
      <c r="AE121" s="57" t="n">
        <f aca="false">IF(AND(Z121=1,AB121=1),IF(COUNTIFS($J$17:J121,J121,$S$17:S121,S121,$Z$17:Z121,1,$AB$17:AB121,1)=1,1,0),0)</f>
        <v>0</v>
      </c>
      <c r="AF121" s="57" t="n">
        <f aca="false">IF(AND(Z121=1,AB121=1),IF(COUNTIFS($K$17:K121,K121,$S$17:S121,S121,$Z$17:Z121,1,$AB$17:AB121,1)=1,1,0),0)</f>
        <v>0</v>
      </c>
      <c r="AG121" s="57" t="n">
        <f aca="false">IF(AND(AA121=1,AB121=1),IF(COUNTIFS($J$17:J121,J121,$L$17:L121,L121,$AA$17:AA121,1,$AB$17:AB121,1)=1,1,0),0)</f>
        <v>0</v>
      </c>
      <c r="AH121" s="57" t="n">
        <f aca="false">IF(AND(AA121=1,AB121=1),IF(COUNTIFS($J$17:J121,J121,$K$17:K121,K121,$AA$17:AA121,1,$AB$17:AB121,1)=1,1,0),0)</f>
        <v>0</v>
      </c>
      <c r="AI121" s="56" t="n">
        <f aca="false">IF(V121=1,MAX(F121,0),0)</f>
        <v>50000</v>
      </c>
      <c r="AJ121" s="56" t="n">
        <f aca="false">IF(V121=1,MIN(F121,0),0)</f>
        <v>0</v>
      </c>
    </row>
    <row r="122" customFormat="false" ht="40" hidden="false" customHeight="true" outlineLevel="0" collapsed="false">
      <c r="A122" s="66" t="n">
        <v>45545</v>
      </c>
      <c r="B122" s="54" t="str">
        <f aca="false">IF(M122="","",IF(P122="",M122,HYPERLINK(P122,M122)))</f>
        <v>49100424A0006-49100424F0073</v>
      </c>
      <c r="C122" s="54" t="str">
        <f aca="false">IF(N122="","",IF(Q122="",N122,HYPERLINK(Q122,N122)))</f>
        <v>Anika Systems Incorporated</v>
      </c>
      <c r="D122" s="60" t="s">
        <v>107</v>
      </c>
      <c r="E122" s="54" t="str">
        <f aca="false">IF(O122="","",IF(R122="",O122,HYPERLINK(R122,O122)))</f>
        <v>NSF — office not specified</v>
      </c>
      <c r="F122" s="62" t="n">
        <v>632448</v>
      </c>
      <c r="G122" s="61" t="s">
        <v>464</v>
      </c>
      <c r="H122" s="58"/>
      <c r="I122" s="58" t="s">
        <v>573</v>
      </c>
      <c r="J122" s="58" t="s">
        <v>393</v>
      </c>
      <c r="K122" s="58" t="s">
        <v>105</v>
      </c>
      <c r="L122" s="58" t="s">
        <v>213</v>
      </c>
      <c r="M122" s="58" t="s">
        <v>394</v>
      </c>
      <c r="N122" s="58" t="s">
        <v>106</v>
      </c>
      <c r="O122" s="58" t="s">
        <v>214</v>
      </c>
      <c r="P122" s="58" t="s">
        <v>395</v>
      </c>
      <c r="Q122" s="58" t="s">
        <v>108</v>
      </c>
      <c r="R122" s="58" t="s">
        <v>215</v>
      </c>
      <c r="S122" s="57" t="n">
        <f aca="false">IF(ISNUMBER(A122),YEAR(A122)+IF(MONTH(A122)&gt;=10,1,0),"")</f>
        <v>2024</v>
      </c>
      <c r="T122" s="57" t="n">
        <f aca="false">IF(ISNUMBER(A122),INT(MOD(MONTH(A122)-10,12)/3)+1,"")</f>
        <v>4</v>
      </c>
      <c r="U122" s="57" t="str">
        <f aca="false">IF(AND(I122&lt;&gt;"",D122&lt;&gt;"",OR(COUNTIFS(TransactionsData[Vendor ID],K122,TransactionsData[UEI],"&lt;&gt;"&amp;D122,TransactionsData[UEI],"?*")&gt;0,COUNTIFS(VendorGroups[Record ID],K122,VendorGroups[Source UEI],"&lt;&gt;"&amp;D122,VendorGroups[Source UEI],"?*")&gt;0)),"Conflicting vendor UEIs",IF(I122="",IF(COUNTA(A122,D122,F122:R122)&gt;0,"Missing transaction ID",""),IF(COUNTIFS(TransactionsData[Transaction ID],I122)&lt;&gt;1,"Duplicate transaction ID",IF(OR(NOT(ISNUMBER(A122)),A122&lt;1,A122&gt;DATE(2099,1,1)),"Use a valid date",IF(OR(A122&lt;$B$4,A122&gt;$D$4),"Outside coverage",IF(NOT(ISNUMBER(F122)),"Missing or invalid amount",IF(OR(K122="",L122="",N122=""),"Add vendor and office identities",IF(G122="Exclude",IF(OR(F122&lt;&gt;0,H122=""),"Review nonzero or unexplained exclusion",""),IF(G122&lt;&gt;"Include","Choose Include or Exclude",IF(COUNTIFS(AwardsData[Award ID],J122)&lt;&gt;1,"Award link needs review",IF(INDEX(AwardsData[Input check],MATCH(J122,AwardsData[Award ID],0))&lt;&gt;"","Check award inputs","")))))))))))</f>
        <v/>
      </c>
      <c r="V122" s="57" t="n">
        <f aca="false">IF(AND(I122&lt;&gt;"",U122="",G122="Include"),1,0)</f>
        <v>1</v>
      </c>
      <c r="W122" s="57" t="str">
        <f aca="false">IF(I122="","",IF(COUNTIFS(AwardsData[Award ID],J122)=1,INDEX(AwardsData[Current award type],MATCH(J122,AwardsData[Award ID],0)),"Unlinked"))</f>
        <v>BPA Call</v>
      </c>
      <c r="X122" s="57" t="str">
        <f aca="false">IF(I122="","",IF(COUNTIFS(AwardsData[Award ID],J122)=1,INDEX(AwardsData[Current set-aside],MATCH(J122,AwardsData[Award ID],0)),"Unlinked"))</f>
        <v>Competitive 8(a)</v>
      </c>
      <c r="Y122" s="57" t="str">
        <f aca="false">IF(I122="","",IF(COUNTIFS(AwardsData[Award ID],J122)=1,INDEX(AwardsData[Performance state],MATCH(J122,AwardsData[Award ID],0)),"Unlinked"))</f>
        <v>Virginia</v>
      </c>
      <c r="Z122" s="57" t="n">
        <f aca="false">IF(AND(V122=1,OR(Dashboard!$AB$2="All",K122=Dashboard!$AB$2),OR(Dashboard!$AB$3="All",L122=Dashboard!$AB$3),OR(Dashboard!$N$10="All",W122=Dashboard!$N$10)),1,0)</f>
        <v>1</v>
      </c>
      <c r="AA122" s="57" t="n">
        <f aca="false">IF(AND(Z122=1,OR(Dashboard!$B$7="All",S122=Dashboard!$B$7)),1,0)</f>
        <v>0</v>
      </c>
      <c r="AB122" s="57" t="n">
        <f aca="false">IF(AND(V122=1,F122&lt;&gt;0),1,0)</f>
        <v>1</v>
      </c>
      <c r="AC122" s="57" t="n">
        <f aca="false">IF(AND(AA122=1,AB122=1),IF(COUNTIFS($J$17:J122,J122,$AA$17:AA122,1,$AB$17:AB122,1)=1,1,0),0)</f>
        <v>0</v>
      </c>
      <c r="AD122" s="57" t="n">
        <f aca="false">IF(AND(AA122=1,AB122=1),IF(COUNTIFS($K$17:K122,K122,$AA$17:AA122,1,$AB$17:AB122,1)=1,1,0),0)</f>
        <v>0</v>
      </c>
      <c r="AE122" s="57" t="n">
        <f aca="false">IF(AND(Z122=1,AB122=1),IF(COUNTIFS($J$17:J122,J122,$S$17:S122,S122,$Z$17:Z122,1,$AB$17:AB122,1)=1,1,0),0)</f>
        <v>0</v>
      </c>
      <c r="AF122" s="57" t="n">
        <f aca="false">IF(AND(Z122=1,AB122=1),IF(COUNTIFS($K$17:K122,K122,$S$17:S122,S122,$Z$17:Z122,1,$AB$17:AB122,1)=1,1,0),0)</f>
        <v>0</v>
      </c>
      <c r="AG122" s="57" t="n">
        <f aca="false">IF(AND(AA122=1,AB122=1),IF(COUNTIFS($J$17:J122,J122,$L$17:L122,L122,$AA$17:AA122,1,$AB$17:AB122,1)=1,1,0),0)</f>
        <v>0</v>
      </c>
      <c r="AH122" s="57" t="n">
        <f aca="false">IF(AND(AA122=1,AB122=1),IF(COUNTIFS($J$17:J122,J122,$K$17:K122,K122,$AA$17:AA122,1,$AB$17:AB122,1)=1,1,0),0)</f>
        <v>0</v>
      </c>
      <c r="AI122" s="56" t="n">
        <f aca="false">IF(V122=1,MAX(F122,0),0)</f>
        <v>632448</v>
      </c>
      <c r="AJ122" s="56" t="n">
        <f aca="false">IF(V122=1,MIN(F122,0),0)</f>
        <v>0</v>
      </c>
    </row>
    <row r="123" customFormat="false" ht="40" hidden="false" customHeight="true" outlineLevel="0" collapsed="false">
      <c r="A123" s="66" t="n">
        <v>45551</v>
      </c>
      <c r="B123" s="54" t="str">
        <f aca="false">IF(M123="","",IF(P123="",M123,HYPERLINK(P123,M123)))</f>
        <v>49100424A0001-49100424F0226</v>
      </c>
      <c r="C123" s="54" t="str">
        <f aca="false">IF(N123="","",IF(Q123="",N123,HYPERLINK(Q123,N123)))</f>
        <v>Spatial Front Inc.</v>
      </c>
      <c r="D123" s="60" t="s">
        <v>166</v>
      </c>
      <c r="E123" s="54" t="str">
        <f aca="false">IF(O123="","",IF(R123="",O123,HYPERLINK(R123,O123)))</f>
        <v>Division of Information Systems</v>
      </c>
      <c r="F123" s="62" t="n">
        <v>570940.11</v>
      </c>
      <c r="G123" s="61" t="s">
        <v>464</v>
      </c>
      <c r="H123" s="58"/>
      <c r="I123" s="58" t="s">
        <v>574</v>
      </c>
      <c r="J123" s="58" t="s">
        <v>383</v>
      </c>
      <c r="K123" s="58" t="s">
        <v>164</v>
      </c>
      <c r="L123" s="58" t="s">
        <v>197</v>
      </c>
      <c r="M123" s="58" t="s">
        <v>384</v>
      </c>
      <c r="N123" s="58" t="s">
        <v>165</v>
      </c>
      <c r="O123" s="58" t="s">
        <v>198</v>
      </c>
      <c r="P123" s="58" t="s">
        <v>385</v>
      </c>
      <c r="Q123" s="58" t="s">
        <v>167</v>
      </c>
      <c r="R123" s="58" t="s">
        <v>200</v>
      </c>
      <c r="S123" s="57" t="n">
        <f aca="false">IF(ISNUMBER(A123),YEAR(A123)+IF(MONTH(A123)&gt;=10,1,0),"")</f>
        <v>2024</v>
      </c>
      <c r="T123" s="57" t="n">
        <f aca="false">IF(ISNUMBER(A123),INT(MOD(MONTH(A123)-10,12)/3)+1,"")</f>
        <v>4</v>
      </c>
      <c r="U123" s="57" t="str">
        <f aca="false">IF(AND(I123&lt;&gt;"",D123&lt;&gt;"",OR(COUNTIFS(TransactionsData[Vendor ID],K123,TransactionsData[UEI],"&lt;&gt;"&amp;D123,TransactionsData[UEI],"?*")&gt;0,COUNTIFS(VendorGroups[Record ID],K123,VendorGroups[Source UEI],"&lt;&gt;"&amp;D123,VendorGroups[Source UEI],"?*")&gt;0)),"Conflicting vendor UEIs",IF(I123="",IF(COUNTA(A123,D123,F123:R123)&gt;0,"Missing transaction ID",""),IF(COUNTIFS(TransactionsData[Transaction ID],I123)&lt;&gt;1,"Duplicate transaction ID",IF(OR(NOT(ISNUMBER(A123)),A123&lt;1,A123&gt;DATE(2099,1,1)),"Use a valid date",IF(OR(A123&lt;$B$4,A123&gt;$D$4),"Outside coverage",IF(NOT(ISNUMBER(F123)),"Missing or invalid amount",IF(OR(K123="",L123="",N123=""),"Add vendor and office identities",IF(G123="Exclude",IF(OR(F123&lt;&gt;0,H123=""),"Review nonzero or unexplained exclusion",""),IF(G123&lt;&gt;"Include","Choose Include or Exclude",IF(COUNTIFS(AwardsData[Award ID],J123)&lt;&gt;1,"Award link needs review",IF(INDEX(AwardsData[Input check],MATCH(J123,AwardsData[Award ID],0))&lt;&gt;"","Check award inputs","")))))))))))</f>
        <v/>
      </c>
      <c r="V123" s="57" t="n">
        <f aca="false">IF(AND(I123&lt;&gt;"",U123="",G123="Include"),1,0)</f>
        <v>1</v>
      </c>
      <c r="W123" s="57" t="str">
        <f aca="false">IF(I123="","",IF(COUNTIFS(AwardsData[Award ID],J123)=1,INDEX(AwardsData[Current award type],MATCH(J123,AwardsData[Award ID],0)),"Unlinked"))</f>
        <v>BPA Call</v>
      </c>
      <c r="X123" s="57" t="str">
        <f aca="false">IF(I123="","",IF(COUNTIFS(AwardsData[Award ID],J123)=1,INDEX(AwardsData[Current set-aside],MATCH(J123,AwardsData[Award ID],0)),"Unlinked"))</f>
        <v>No Set-Aside Used</v>
      </c>
      <c r="Y123" s="57" t="str">
        <f aca="false">IF(I123="","",IF(COUNTIFS(AwardsData[Award ID],J123)=1,INDEX(AwardsData[Performance state],MATCH(J123,AwardsData[Award ID],0)),"Unlinked"))</f>
        <v>Maryland</v>
      </c>
      <c r="Z123" s="57" t="n">
        <f aca="false">IF(AND(V123=1,OR(Dashboard!$AB$2="All",K123=Dashboard!$AB$2),OR(Dashboard!$AB$3="All",L123=Dashboard!$AB$3),OR(Dashboard!$N$10="All",W123=Dashboard!$N$10)),1,0)</f>
        <v>1</v>
      </c>
      <c r="AA123" s="57" t="n">
        <f aca="false">IF(AND(Z123=1,OR(Dashboard!$B$7="All",S123=Dashboard!$B$7)),1,0)</f>
        <v>0</v>
      </c>
      <c r="AB123" s="57" t="n">
        <f aca="false">IF(AND(V123=1,F123&lt;&gt;0),1,0)</f>
        <v>1</v>
      </c>
      <c r="AC123" s="57" t="n">
        <f aca="false">IF(AND(AA123=1,AB123=1),IF(COUNTIFS($J$17:J123,J123,$AA$17:AA123,1,$AB$17:AB123,1)=1,1,0),0)</f>
        <v>0</v>
      </c>
      <c r="AD123" s="57" t="n">
        <f aca="false">IF(AND(AA123=1,AB123=1),IF(COUNTIFS($K$17:K123,K123,$AA$17:AA123,1,$AB$17:AB123,1)=1,1,0),0)</f>
        <v>0</v>
      </c>
      <c r="AE123" s="57" t="n">
        <f aca="false">IF(AND(Z123=1,AB123=1),IF(COUNTIFS($J$17:J123,J123,$S$17:S123,S123,$Z$17:Z123,1,$AB$17:AB123,1)=1,1,0),0)</f>
        <v>1</v>
      </c>
      <c r="AF123" s="57" t="n">
        <f aca="false">IF(AND(Z123=1,AB123=1),IF(COUNTIFS($K$17:K123,K123,$S$17:S123,S123,$Z$17:Z123,1,$AB$17:AB123,1)=1,1,0),0)</f>
        <v>0</v>
      </c>
      <c r="AG123" s="57" t="n">
        <f aca="false">IF(AND(AA123=1,AB123=1),IF(COUNTIFS($J$17:J123,J123,$L$17:L123,L123,$AA$17:AA123,1,$AB$17:AB123,1)=1,1,0),0)</f>
        <v>0</v>
      </c>
      <c r="AH123" s="57" t="n">
        <f aca="false">IF(AND(AA123=1,AB123=1),IF(COUNTIFS($J$17:J123,J123,$K$17:K123,K123,$AA$17:AA123,1,$AB$17:AB123,1)=1,1,0),0)</f>
        <v>0</v>
      </c>
      <c r="AI123" s="56" t="n">
        <f aca="false">IF(V123=1,MAX(F123,0),0)</f>
        <v>570940.11</v>
      </c>
      <c r="AJ123" s="56" t="n">
        <f aca="false">IF(V123=1,MIN(F123,0),0)</f>
        <v>0</v>
      </c>
    </row>
    <row r="124" customFormat="false" ht="40" hidden="false" customHeight="true" outlineLevel="0" collapsed="false">
      <c r="A124" s="66" t="n">
        <v>45552</v>
      </c>
      <c r="B124" s="54" t="str">
        <f aca="false">IF(M124="","",IF(P124="",M124,HYPERLINK(P124,M124)))</f>
        <v>49100422A0002-49100424F0245</v>
      </c>
      <c r="C124" s="54" t="str">
        <f aca="false">IF(N124="","",IF(Q124="",N124,HYPERLINK(Q124,N124)))</f>
        <v>Directviz Solutions, LLC</v>
      </c>
      <c r="D124" s="60" t="s">
        <v>123</v>
      </c>
      <c r="E124" s="54" t="str">
        <f aca="false">IF(O124="","",IF(R124="",O124,HYPERLINK(R124,O124)))</f>
        <v>Division of Information Systems</v>
      </c>
      <c r="F124" s="62" t="n">
        <v>2515352.8</v>
      </c>
      <c r="G124" s="61" t="s">
        <v>464</v>
      </c>
      <c r="H124" s="58"/>
      <c r="I124" s="58" t="s">
        <v>575</v>
      </c>
      <c r="J124" s="58" t="s">
        <v>317</v>
      </c>
      <c r="K124" s="58" t="s">
        <v>121</v>
      </c>
      <c r="L124" s="58" t="s">
        <v>197</v>
      </c>
      <c r="M124" s="58" t="s">
        <v>318</v>
      </c>
      <c r="N124" s="58" t="s">
        <v>122</v>
      </c>
      <c r="O124" s="58" t="s">
        <v>198</v>
      </c>
      <c r="P124" s="58" t="s">
        <v>319</v>
      </c>
      <c r="Q124" s="58" t="s">
        <v>124</v>
      </c>
      <c r="R124" s="58" t="s">
        <v>200</v>
      </c>
      <c r="S124" s="57" t="n">
        <f aca="false">IF(ISNUMBER(A124),YEAR(A124)+IF(MONTH(A124)&gt;=10,1,0),"")</f>
        <v>2024</v>
      </c>
      <c r="T124" s="57" t="n">
        <f aca="false">IF(ISNUMBER(A124),INT(MOD(MONTH(A124)-10,12)/3)+1,"")</f>
        <v>4</v>
      </c>
      <c r="U124" s="57" t="str">
        <f aca="false">IF(AND(I124&lt;&gt;"",D124&lt;&gt;"",OR(COUNTIFS(TransactionsData[Vendor ID],K124,TransactionsData[UEI],"&lt;&gt;"&amp;D124,TransactionsData[UEI],"?*")&gt;0,COUNTIFS(VendorGroups[Record ID],K124,VendorGroups[Source UEI],"&lt;&gt;"&amp;D124,VendorGroups[Source UEI],"?*")&gt;0)),"Conflicting vendor UEIs",IF(I124="",IF(COUNTA(A124,D124,F124:R124)&gt;0,"Missing transaction ID",""),IF(COUNTIFS(TransactionsData[Transaction ID],I124)&lt;&gt;1,"Duplicate transaction ID",IF(OR(NOT(ISNUMBER(A124)),A124&lt;1,A124&gt;DATE(2099,1,1)),"Use a valid date",IF(OR(A124&lt;$B$4,A124&gt;$D$4),"Outside coverage",IF(NOT(ISNUMBER(F124)),"Missing or invalid amount",IF(OR(K124="",L124="",N124=""),"Add vendor and office identities",IF(G124="Exclude",IF(OR(F124&lt;&gt;0,H124=""),"Review nonzero or unexplained exclusion",""),IF(G124&lt;&gt;"Include","Choose Include or Exclude",IF(COUNTIFS(AwardsData[Award ID],J124)&lt;&gt;1,"Award link needs review",IF(INDEX(AwardsData[Input check],MATCH(J124,AwardsData[Award ID],0))&lt;&gt;"","Check award inputs","")))))))))))</f>
        <v/>
      </c>
      <c r="V124" s="57" t="n">
        <f aca="false">IF(AND(I124&lt;&gt;"",U124="",G124="Include"),1,0)</f>
        <v>1</v>
      </c>
      <c r="W124" s="57" t="str">
        <f aca="false">IF(I124="","",IF(COUNTIFS(AwardsData[Award ID],J124)=1,INDEX(AwardsData[Current award type],MATCH(J124,AwardsData[Award ID],0)),"Unlinked"))</f>
        <v>BPA Call</v>
      </c>
      <c r="X124" s="57" t="str">
        <f aca="false">IF(I124="","",IF(COUNTIFS(AwardsData[Award ID],J124)=1,INDEX(AwardsData[Current set-aside],MATCH(J124,AwardsData[Award ID],0)),"Unlinked"))</f>
        <v>Total Small Business</v>
      </c>
      <c r="Y124" s="57" t="str">
        <f aca="false">IF(I124="","",IF(COUNTIFS(AwardsData[Award ID],J124)=1,INDEX(AwardsData[Performance state],MATCH(J124,AwardsData[Award ID],0)),"Unlinked"))</f>
        <v>Virginia</v>
      </c>
      <c r="Z124" s="57" t="n">
        <f aca="false">IF(AND(V124=1,OR(Dashboard!$AB$2="All",K124=Dashboard!$AB$2),OR(Dashboard!$AB$3="All",L124=Dashboard!$AB$3),OR(Dashboard!$N$10="All",W124=Dashboard!$N$10)),1,0)</f>
        <v>1</v>
      </c>
      <c r="AA124" s="57" t="n">
        <f aca="false">IF(AND(Z124=1,OR(Dashboard!$B$7="All",S124=Dashboard!$B$7)),1,0)</f>
        <v>0</v>
      </c>
      <c r="AB124" s="57" t="n">
        <f aca="false">IF(AND(V124=1,F124&lt;&gt;0),1,0)</f>
        <v>1</v>
      </c>
      <c r="AC124" s="57" t="n">
        <f aca="false">IF(AND(AA124=1,AB124=1),IF(COUNTIFS($J$17:J124,J124,$AA$17:AA124,1,$AB$17:AB124,1)=1,1,0),0)</f>
        <v>0</v>
      </c>
      <c r="AD124" s="57" t="n">
        <f aca="false">IF(AND(AA124=1,AB124=1),IF(COUNTIFS($K$17:K124,K124,$AA$17:AA124,1,$AB$17:AB124,1)=1,1,0),0)</f>
        <v>0</v>
      </c>
      <c r="AE124" s="57" t="n">
        <f aca="false">IF(AND(Z124=1,AB124=1),IF(COUNTIFS($J$17:J124,J124,$S$17:S124,S124,$Z$17:Z124,1,$AB$17:AB124,1)=1,1,0),0)</f>
        <v>1</v>
      </c>
      <c r="AF124" s="57" t="n">
        <f aca="false">IF(AND(Z124=1,AB124=1),IF(COUNTIFS($K$17:K124,K124,$S$17:S124,S124,$Z$17:Z124,1,$AB$17:AB124,1)=1,1,0),0)</f>
        <v>0</v>
      </c>
      <c r="AG124" s="57" t="n">
        <f aca="false">IF(AND(AA124=1,AB124=1),IF(COUNTIFS($J$17:J124,J124,$L$17:L124,L124,$AA$17:AA124,1,$AB$17:AB124,1)=1,1,0),0)</f>
        <v>0</v>
      </c>
      <c r="AH124" s="57" t="n">
        <f aca="false">IF(AND(AA124=1,AB124=1),IF(COUNTIFS($J$17:J124,J124,$K$17:K124,K124,$AA$17:AA124,1,$AB$17:AB124,1)=1,1,0),0)</f>
        <v>0</v>
      </c>
      <c r="AI124" s="56" t="n">
        <f aca="false">IF(V124=1,MAX(F124,0),0)</f>
        <v>2515352.8</v>
      </c>
      <c r="AJ124" s="56" t="n">
        <f aca="false">IF(V124=1,MIN(F124,0),0)</f>
        <v>0</v>
      </c>
    </row>
    <row r="125" customFormat="false" ht="40" hidden="false" customHeight="true" outlineLevel="0" collapsed="false">
      <c r="A125" s="66" t="n">
        <v>45553</v>
      </c>
      <c r="B125" s="54" t="str">
        <f aca="false">IF(M125="","",IF(P125="",M125,HYPERLINK(P125,M125)))</f>
        <v>49100424A0001-49100424F0246</v>
      </c>
      <c r="C125" s="54" t="str">
        <f aca="false">IF(N125="","",IF(Q125="",N125,HYPERLINK(Q125,N125)))</f>
        <v>Spatial Front Inc.</v>
      </c>
      <c r="D125" s="60" t="s">
        <v>166</v>
      </c>
      <c r="E125" s="54" t="str">
        <f aca="false">IF(O125="","",IF(R125="",O125,HYPERLINK(R125,O125)))</f>
        <v>Division of Information Systems</v>
      </c>
      <c r="F125" s="62" t="n">
        <v>2179680</v>
      </c>
      <c r="G125" s="61" t="s">
        <v>464</v>
      </c>
      <c r="H125" s="58"/>
      <c r="I125" s="58" t="s">
        <v>576</v>
      </c>
      <c r="J125" s="58" t="s">
        <v>386</v>
      </c>
      <c r="K125" s="58" t="s">
        <v>164</v>
      </c>
      <c r="L125" s="58" t="s">
        <v>197</v>
      </c>
      <c r="M125" s="58" t="s">
        <v>387</v>
      </c>
      <c r="N125" s="58" t="s">
        <v>165</v>
      </c>
      <c r="O125" s="58" t="s">
        <v>198</v>
      </c>
      <c r="P125" s="58" t="s">
        <v>388</v>
      </c>
      <c r="Q125" s="58" t="s">
        <v>167</v>
      </c>
      <c r="R125" s="58" t="s">
        <v>200</v>
      </c>
      <c r="S125" s="57" t="n">
        <f aca="false">IF(ISNUMBER(A125),YEAR(A125)+IF(MONTH(A125)&gt;=10,1,0),"")</f>
        <v>2024</v>
      </c>
      <c r="T125" s="57" t="n">
        <f aca="false">IF(ISNUMBER(A125),INT(MOD(MONTH(A125)-10,12)/3)+1,"")</f>
        <v>4</v>
      </c>
      <c r="U125" s="57" t="str">
        <f aca="false">IF(AND(I125&lt;&gt;"",D125&lt;&gt;"",OR(COUNTIFS(TransactionsData[Vendor ID],K125,TransactionsData[UEI],"&lt;&gt;"&amp;D125,TransactionsData[UEI],"?*")&gt;0,COUNTIFS(VendorGroups[Record ID],K125,VendorGroups[Source UEI],"&lt;&gt;"&amp;D125,VendorGroups[Source UEI],"?*")&gt;0)),"Conflicting vendor UEIs",IF(I125="",IF(COUNTA(A125,D125,F125:R125)&gt;0,"Missing transaction ID",""),IF(COUNTIFS(TransactionsData[Transaction ID],I125)&lt;&gt;1,"Duplicate transaction ID",IF(OR(NOT(ISNUMBER(A125)),A125&lt;1,A125&gt;DATE(2099,1,1)),"Use a valid date",IF(OR(A125&lt;$B$4,A125&gt;$D$4),"Outside coverage",IF(NOT(ISNUMBER(F125)),"Missing or invalid amount",IF(OR(K125="",L125="",N125=""),"Add vendor and office identities",IF(G125="Exclude",IF(OR(F125&lt;&gt;0,H125=""),"Review nonzero or unexplained exclusion",""),IF(G125&lt;&gt;"Include","Choose Include or Exclude",IF(COUNTIFS(AwardsData[Award ID],J125)&lt;&gt;1,"Award link needs review",IF(INDEX(AwardsData[Input check],MATCH(J125,AwardsData[Award ID],0))&lt;&gt;"","Check award inputs","")))))))))))</f>
        <v/>
      </c>
      <c r="V125" s="57" t="n">
        <f aca="false">IF(AND(I125&lt;&gt;"",U125="",G125="Include"),1,0)</f>
        <v>1</v>
      </c>
      <c r="W125" s="57" t="str">
        <f aca="false">IF(I125="","",IF(COUNTIFS(AwardsData[Award ID],J125)=1,INDEX(AwardsData[Current award type],MATCH(J125,AwardsData[Award ID],0)),"Unlinked"))</f>
        <v>BPA Call</v>
      </c>
      <c r="X125" s="57" t="str">
        <f aca="false">IF(I125="","",IF(COUNTIFS(AwardsData[Award ID],J125)=1,INDEX(AwardsData[Current set-aside],MATCH(J125,AwardsData[Award ID],0)),"Unlinked"))</f>
        <v>No Set-Aside Used</v>
      </c>
      <c r="Y125" s="57" t="str">
        <f aca="false">IF(I125="","",IF(COUNTIFS(AwardsData[Award ID],J125)=1,INDEX(AwardsData[Performance state],MATCH(J125,AwardsData[Award ID],0)),"Unlinked"))</f>
        <v>Maryland</v>
      </c>
      <c r="Z125" s="57" t="n">
        <f aca="false">IF(AND(V125=1,OR(Dashboard!$AB$2="All",K125=Dashboard!$AB$2),OR(Dashboard!$AB$3="All",L125=Dashboard!$AB$3),OR(Dashboard!$N$10="All",W125=Dashboard!$N$10)),1,0)</f>
        <v>1</v>
      </c>
      <c r="AA125" s="57" t="n">
        <f aca="false">IF(AND(Z125=1,OR(Dashboard!$B$7="All",S125=Dashboard!$B$7)),1,0)</f>
        <v>0</v>
      </c>
      <c r="AB125" s="57" t="n">
        <f aca="false">IF(AND(V125=1,F125&lt;&gt;0),1,0)</f>
        <v>1</v>
      </c>
      <c r="AC125" s="57" t="n">
        <f aca="false">IF(AND(AA125=1,AB125=1),IF(COUNTIFS($J$17:J125,J125,$AA$17:AA125,1,$AB$17:AB125,1)=1,1,0),0)</f>
        <v>0</v>
      </c>
      <c r="AD125" s="57" t="n">
        <f aca="false">IF(AND(AA125=1,AB125=1),IF(COUNTIFS($K$17:K125,K125,$AA$17:AA125,1,$AB$17:AB125,1)=1,1,0),0)</f>
        <v>0</v>
      </c>
      <c r="AE125" s="57" t="n">
        <f aca="false">IF(AND(Z125=1,AB125=1),IF(COUNTIFS($J$17:J125,J125,$S$17:S125,S125,$Z$17:Z125,1,$AB$17:AB125,1)=1,1,0),0)</f>
        <v>1</v>
      </c>
      <c r="AF125" s="57" t="n">
        <f aca="false">IF(AND(Z125=1,AB125=1),IF(COUNTIFS($K$17:K125,K125,$S$17:S125,S125,$Z$17:Z125,1,$AB$17:AB125,1)=1,1,0),0)</f>
        <v>0</v>
      </c>
      <c r="AG125" s="57" t="n">
        <f aca="false">IF(AND(AA125=1,AB125=1),IF(COUNTIFS($J$17:J125,J125,$L$17:L125,L125,$AA$17:AA125,1,$AB$17:AB125,1)=1,1,0),0)</f>
        <v>0</v>
      </c>
      <c r="AH125" s="57" t="n">
        <f aca="false">IF(AND(AA125=1,AB125=1),IF(COUNTIFS($J$17:J125,J125,$K$17:K125,K125,$AA$17:AA125,1,$AB$17:AB125,1)=1,1,0),0)</f>
        <v>0</v>
      </c>
      <c r="AI125" s="56" t="n">
        <f aca="false">IF(V125=1,MAX(F125,0),0)</f>
        <v>2179680</v>
      </c>
      <c r="AJ125" s="56" t="n">
        <f aca="false">IF(V125=1,MIN(F125,0),0)</f>
        <v>0</v>
      </c>
    </row>
    <row r="126" customFormat="false" ht="40" hidden="false" customHeight="true" outlineLevel="0" collapsed="false">
      <c r="A126" s="66" t="n">
        <v>45555</v>
      </c>
      <c r="B126" s="54" t="str">
        <f aca="false">IF(M126="","",IF(P126="",M126,HYPERLINK(P126,M126)))</f>
        <v>47QTCK18D0004-49100424F0001</v>
      </c>
      <c r="C126" s="54" t="str">
        <f aca="false">IF(N126="","",IF(Q126="",N126,HYPERLINK(Q126,N126)))</f>
        <v>Booz Allen Hamilton Inc.</v>
      </c>
      <c r="D126" s="60" t="s">
        <v>111</v>
      </c>
      <c r="E126" s="54" t="str">
        <f aca="false">IF(O126="","",IF(R126="",O126,HYPERLINK(R126,O126)))</f>
        <v>NSF — office not specified</v>
      </c>
      <c r="F126" s="62" t="n">
        <v>5928284</v>
      </c>
      <c r="G126" s="61" t="s">
        <v>464</v>
      </c>
      <c r="H126" s="58"/>
      <c r="I126" s="58" t="s">
        <v>577</v>
      </c>
      <c r="J126" s="58" t="s">
        <v>297</v>
      </c>
      <c r="K126" s="58" t="s">
        <v>109</v>
      </c>
      <c r="L126" s="58" t="s">
        <v>213</v>
      </c>
      <c r="M126" s="58" t="s">
        <v>298</v>
      </c>
      <c r="N126" s="58" t="s">
        <v>110</v>
      </c>
      <c r="O126" s="58" t="s">
        <v>214</v>
      </c>
      <c r="P126" s="58" t="s">
        <v>299</v>
      </c>
      <c r="Q126" s="58" t="s">
        <v>112</v>
      </c>
      <c r="R126" s="58" t="s">
        <v>215</v>
      </c>
      <c r="S126" s="57" t="n">
        <f aca="false">IF(ISNUMBER(A126),YEAR(A126)+IF(MONTH(A126)&gt;=10,1,0),"")</f>
        <v>2024</v>
      </c>
      <c r="T126" s="57" t="n">
        <f aca="false">IF(ISNUMBER(A126),INT(MOD(MONTH(A126)-10,12)/3)+1,"")</f>
        <v>4</v>
      </c>
      <c r="U126" s="57" t="str">
        <f aca="false">IF(AND(I126&lt;&gt;"",D126&lt;&gt;"",OR(COUNTIFS(TransactionsData[Vendor ID],K126,TransactionsData[UEI],"&lt;&gt;"&amp;D126,TransactionsData[UEI],"?*")&gt;0,COUNTIFS(VendorGroups[Record ID],K126,VendorGroups[Source UEI],"&lt;&gt;"&amp;D126,VendorGroups[Source UEI],"?*")&gt;0)),"Conflicting vendor UEIs",IF(I126="",IF(COUNTA(A126,D126,F126:R126)&gt;0,"Missing transaction ID",""),IF(COUNTIFS(TransactionsData[Transaction ID],I126)&lt;&gt;1,"Duplicate transaction ID",IF(OR(NOT(ISNUMBER(A126)),A126&lt;1,A126&gt;DATE(2099,1,1)),"Use a valid date",IF(OR(A126&lt;$B$4,A126&gt;$D$4),"Outside coverage",IF(NOT(ISNUMBER(F126)),"Missing or invalid amount",IF(OR(K126="",L126="",N126=""),"Add vendor and office identities",IF(G126="Exclude",IF(OR(F126&lt;&gt;0,H126=""),"Review nonzero or unexplained exclusion",""),IF(G126&lt;&gt;"Include","Choose Include or Exclude",IF(COUNTIFS(AwardsData[Award ID],J126)&lt;&gt;1,"Award link needs review",IF(INDEX(AwardsData[Input check],MATCH(J126,AwardsData[Award ID],0))&lt;&gt;"","Check award inputs","")))))))))))</f>
        <v/>
      </c>
      <c r="V126" s="57" t="n">
        <f aca="false">IF(AND(I126&lt;&gt;"",U126="",G126="Include"),1,0)</f>
        <v>1</v>
      </c>
      <c r="W126" s="57" t="str">
        <f aca="false">IF(I126="","",IF(COUNTIFS(AwardsData[Award ID],J126)=1,INDEX(AwardsData[Current award type],MATCH(J126,AwardsData[Award ID],0)),"Unlinked"))</f>
        <v>Delivery Order</v>
      </c>
      <c r="X126" s="57" t="str">
        <f aca="false">IF(I126="","",IF(COUNTIFS(AwardsData[Award ID],J126)=1,INDEX(AwardsData[Current set-aside],MATCH(J126,AwardsData[Award ID],0)),"Unlinked"))</f>
        <v>No Set-Aside Used</v>
      </c>
      <c r="Y126" s="57" t="str">
        <f aca="false">IF(I126="","",IF(COUNTIFS(AwardsData[Award ID],J126)=1,INDEX(AwardsData[Performance state],MATCH(J126,AwardsData[Award ID],0)),"Unlinked"))</f>
        <v>Virginia</v>
      </c>
      <c r="Z126" s="57" t="n">
        <f aca="false">IF(AND(V126=1,OR(Dashboard!$AB$2="All",K126=Dashboard!$AB$2),OR(Dashboard!$AB$3="All",L126=Dashboard!$AB$3),OR(Dashboard!$N$10="All",W126=Dashboard!$N$10)),1,0)</f>
        <v>1</v>
      </c>
      <c r="AA126" s="57" t="n">
        <f aca="false">IF(AND(Z126=1,OR(Dashboard!$B$7="All",S126=Dashboard!$B$7)),1,0)</f>
        <v>0</v>
      </c>
      <c r="AB126" s="57" t="n">
        <f aca="false">IF(AND(V126=1,F126&lt;&gt;0),1,0)</f>
        <v>1</v>
      </c>
      <c r="AC126" s="57" t="n">
        <f aca="false">IF(AND(AA126=1,AB126=1),IF(COUNTIFS($J$17:J126,J126,$AA$17:AA126,1,$AB$17:AB126,1)=1,1,0),0)</f>
        <v>0</v>
      </c>
      <c r="AD126" s="57" t="n">
        <f aca="false">IF(AND(AA126=1,AB126=1),IF(COUNTIFS($K$17:K126,K126,$AA$17:AA126,1,$AB$17:AB126,1)=1,1,0),0)</f>
        <v>0</v>
      </c>
      <c r="AE126" s="57" t="n">
        <f aca="false">IF(AND(Z126=1,AB126=1),IF(COUNTIFS($J$17:J126,J126,$S$17:S126,S126,$Z$17:Z126,1,$AB$17:AB126,1)=1,1,0),0)</f>
        <v>0</v>
      </c>
      <c r="AF126" s="57" t="n">
        <f aca="false">IF(AND(Z126=1,AB126=1),IF(COUNTIFS($K$17:K126,K126,$S$17:S126,S126,$Z$17:Z126,1,$AB$17:AB126,1)=1,1,0),0)</f>
        <v>0</v>
      </c>
      <c r="AG126" s="57" t="n">
        <f aca="false">IF(AND(AA126=1,AB126=1),IF(COUNTIFS($J$17:J126,J126,$L$17:L126,L126,$AA$17:AA126,1,$AB$17:AB126,1)=1,1,0),0)</f>
        <v>0</v>
      </c>
      <c r="AH126" s="57" t="n">
        <f aca="false">IF(AND(AA126=1,AB126=1),IF(COUNTIFS($J$17:J126,J126,$K$17:K126,K126,$AA$17:AA126,1,$AB$17:AB126,1)=1,1,0),0)</f>
        <v>0</v>
      </c>
      <c r="AI126" s="56" t="n">
        <f aca="false">IF(V126=1,MAX(F126,0),0)</f>
        <v>5928284</v>
      </c>
      <c r="AJ126" s="56" t="n">
        <f aca="false">IF(V126=1,MIN(F126,0),0)</f>
        <v>0</v>
      </c>
    </row>
    <row r="127" customFormat="false" ht="40" hidden="false" customHeight="true" outlineLevel="0" collapsed="false">
      <c r="A127" s="66" t="n">
        <v>45555</v>
      </c>
      <c r="B127" s="54" t="str">
        <f aca="false">IF(M127="","",IF(P127="",M127,HYPERLINK(P127,M127)))</f>
        <v>49100422D0010-49100424F0165</v>
      </c>
      <c r="C127" s="54" t="str">
        <f aca="false">IF(N127="","",IF(Q127="",N127,HYPERLINK(Q127,N127)))</f>
        <v>Agility Technologies Inc.</v>
      </c>
      <c r="D127" s="60" t="s">
        <v>103</v>
      </c>
      <c r="E127" s="54" t="str">
        <f aca="false">IF(O127="","",IF(R127="",O127,HYPERLINK(R127,O127)))</f>
        <v>NSF — office not specified</v>
      </c>
      <c r="F127" s="62" t="n">
        <v>377748</v>
      </c>
      <c r="G127" s="61" t="s">
        <v>464</v>
      </c>
      <c r="H127" s="58"/>
      <c r="I127" s="58" t="s">
        <v>578</v>
      </c>
      <c r="J127" s="58" t="s">
        <v>349</v>
      </c>
      <c r="K127" s="58" t="s">
        <v>101</v>
      </c>
      <c r="L127" s="58" t="s">
        <v>213</v>
      </c>
      <c r="M127" s="58" t="s">
        <v>350</v>
      </c>
      <c r="N127" s="58" t="s">
        <v>102</v>
      </c>
      <c r="O127" s="58" t="s">
        <v>214</v>
      </c>
      <c r="P127" s="58" t="s">
        <v>351</v>
      </c>
      <c r="Q127" s="58" t="s">
        <v>104</v>
      </c>
      <c r="R127" s="58" t="s">
        <v>215</v>
      </c>
      <c r="S127" s="57" t="n">
        <f aca="false">IF(ISNUMBER(A127),YEAR(A127)+IF(MONTH(A127)&gt;=10,1,0),"")</f>
        <v>2024</v>
      </c>
      <c r="T127" s="57" t="n">
        <f aca="false">IF(ISNUMBER(A127),INT(MOD(MONTH(A127)-10,12)/3)+1,"")</f>
        <v>4</v>
      </c>
      <c r="U127" s="57" t="str">
        <f aca="false">IF(AND(I127&lt;&gt;"",D127&lt;&gt;"",OR(COUNTIFS(TransactionsData[Vendor ID],K127,TransactionsData[UEI],"&lt;&gt;"&amp;D127,TransactionsData[UEI],"?*")&gt;0,COUNTIFS(VendorGroups[Record ID],K127,VendorGroups[Source UEI],"&lt;&gt;"&amp;D127,VendorGroups[Source UEI],"?*")&gt;0)),"Conflicting vendor UEIs",IF(I127="",IF(COUNTA(A127,D127,F127:R127)&gt;0,"Missing transaction ID",""),IF(COUNTIFS(TransactionsData[Transaction ID],I127)&lt;&gt;1,"Duplicate transaction ID",IF(OR(NOT(ISNUMBER(A127)),A127&lt;1,A127&gt;DATE(2099,1,1)),"Use a valid date",IF(OR(A127&lt;$B$4,A127&gt;$D$4),"Outside coverage",IF(NOT(ISNUMBER(F127)),"Missing or invalid amount",IF(OR(K127="",L127="",N127=""),"Add vendor and office identities",IF(G127="Exclude",IF(OR(F127&lt;&gt;0,H127=""),"Review nonzero or unexplained exclusion",""),IF(G127&lt;&gt;"Include","Choose Include or Exclude",IF(COUNTIFS(AwardsData[Award ID],J127)&lt;&gt;1,"Award link needs review",IF(INDEX(AwardsData[Input check],MATCH(J127,AwardsData[Award ID],0))&lt;&gt;"","Check award inputs","")))))))))))</f>
        <v/>
      </c>
      <c r="V127" s="57" t="n">
        <f aca="false">IF(AND(I127&lt;&gt;"",U127="",G127="Include"),1,0)</f>
        <v>1</v>
      </c>
      <c r="W127" s="57" t="str">
        <f aca="false">IF(I127="","",IF(COUNTIFS(AwardsData[Award ID],J127)=1,INDEX(AwardsData[Current award type],MATCH(J127,AwardsData[Award ID],0)),"Unlinked"))</f>
        <v>Delivery Order</v>
      </c>
      <c r="X127" s="57" t="str">
        <f aca="false">IF(I127="","",IF(COUNTIFS(AwardsData[Award ID],J127)=1,INDEX(AwardsData[Current set-aside],MATCH(J127,AwardsData[Award ID],0)),"Unlinked"))</f>
        <v>No Set-Aside Used</v>
      </c>
      <c r="Y127" s="57" t="str">
        <f aca="false">IF(I127="","",IF(COUNTIFS(AwardsData[Award ID],J127)=1,INDEX(AwardsData[Performance state],MATCH(J127,AwardsData[Award ID],0)),"Unlinked"))</f>
        <v>Virginia</v>
      </c>
      <c r="Z127" s="57" t="n">
        <f aca="false">IF(AND(V127=1,OR(Dashboard!$AB$2="All",K127=Dashboard!$AB$2),OR(Dashboard!$AB$3="All",L127=Dashboard!$AB$3),OR(Dashboard!$N$10="All",W127=Dashboard!$N$10)),1,0)</f>
        <v>1</v>
      </c>
      <c r="AA127" s="57" t="n">
        <f aca="false">IF(AND(Z127=1,OR(Dashboard!$B$7="All",S127=Dashboard!$B$7)),1,0)</f>
        <v>0</v>
      </c>
      <c r="AB127" s="57" t="n">
        <f aca="false">IF(AND(V127=1,F127&lt;&gt;0),1,0)</f>
        <v>1</v>
      </c>
      <c r="AC127" s="57" t="n">
        <f aca="false">IF(AND(AA127=1,AB127=1),IF(COUNTIFS($J$17:J127,J127,$AA$17:AA127,1,$AB$17:AB127,1)=1,1,0),0)</f>
        <v>0</v>
      </c>
      <c r="AD127" s="57" t="n">
        <f aca="false">IF(AND(AA127=1,AB127=1),IF(COUNTIFS($K$17:K127,K127,$AA$17:AA127,1,$AB$17:AB127,1)=1,1,0),0)</f>
        <v>0</v>
      </c>
      <c r="AE127" s="57" t="n">
        <f aca="false">IF(AND(Z127=1,AB127=1),IF(COUNTIFS($J$17:J127,J127,$S$17:S127,S127,$Z$17:Z127,1,$AB$17:AB127,1)=1,1,0),0)</f>
        <v>1</v>
      </c>
      <c r="AF127" s="57" t="n">
        <f aca="false">IF(AND(Z127=1,AB127=1),IF(COUNTIFS($K$17:K127,K127,$S$17:S127,S127,$Z$17:Z127,1,$AB$17:AB127,1)=1,1,0),0)</f>
        <v>0</v>
      </c>
      <c r="AG127" s="57" t="n">
        <f aca="false">IF(AND(AA127=1,AB127=1),IF(COUNTIFS($J$17:J127,J127,$L$17:L127,L127,$AA$17:AA127,1,$AB$17:AB127,1)=1,1,0),0)</f>
        <v>0</v>
      </c>
      <c r="AH127" s="57" t="n">
        <f aca="false">IF(AND(AA127=1,AB127=1),IF(COUNTIFS($J$17:J127,J127,$K$17:K127,K127,$AA$17:AA127,1,$AB$17:AB127,1)=1,1,0),0)</f>
        <v>0</v>
      </c>
      <c r="AI127" s="56" t="n">
        <f aca="false">IF(V127=1,MAX(F127,0),0)</f>
        <v>377748</v>
      </c>
      <c r="AJ127" s="56" t="n">
        <f aca="false">IF(V127=1,MIN(F127,0),0)</f>
        <v>0</v>
      </c>
    </row>
    <row r="128" customFormat="false" ht="40" hidden="false" customHeight="true" outlineLevel="0" collapsed="false">
      <c r="A128" s="66" t="n">
        <v>45557</v>
      </c>
      <c r="B128" s="54" t="str">
        <f aca="false">IF(M128="","",IF(P128="",M128,HYPERLINK(P128,M128)))</f>
        <v>49100423C0050</v>
      </c>
      <c r="C128" s="54" t="str">
        <f aca="false">IF(N128="","",IF(Q128="",N128,HYPERLINK(Q128,N128)))</f>
        <v>Scope It Consulting, LLC</v>
      </c>
      <c r="D128" s="60" t="s">
        <v>162</v>
      </c>
      <c r="E128" s="54" t="str">
        <f aca="false">IF(O128="","",IF(R128="",O128,HYPERLINK(R128,O128)))</f>
        <v>Office of the Inspector General</v>
      </c>
      <c r="F128" s="62" t="n">
        <v>239987.94</v>
      </c>
      <c r="G128" s="61" t="s">
        <v>464</v>
      </c>
      <c r="H128" s="58"/>
      <c r="I128" s="58" t="s">
        <v>579</v>
      </c>
      <c r="J128" s="58" t="s">
        <v>356</v>
      </c>
      <c r="K128" s="58" t="s">
        <v>160</v>
      </c>
      <c r="L128" s="58" t="s">
        <v>224</v>
      </c>
      <c r="M128" s="58" t="s">
        <v>356</v>
      </c>
      <c r="N128" s="58" t="s">
        <v>161</v>
      </c>
      <c r="O128" s="58" t="s">
        <v>225</v>
      </c>
      <c r="P128" s="58" t="s">
        <v>357</v>
      </c>
      <c r="Q128" s="58" t="s">
        <v>163</v>
      </c>
      <c r="R128" s="58" t="s">
        <v>227</v>
      </c>
      <c r="S128" s="57" t="n">
        <f aca="false">IF(ISNUMBER(A128),YEAR(A128)+IF(MONTH(A128)&gt;=10,1,0),"")</f>
        <v>2024</v>
      </c>
      <c r="T128" s="57" t="n">
        <f aca="false">IF(ISNUMBER(A128),INT(MOD(MONTH(A128)-10,12)/3)+1,"")</f>
        <v>4</v>
      </c>
      <c r="U128" s="57" t="str">
        <f aca="false">IF(AND(I128&lt;&gt;"",D128&lt;&gt;"",OR(COUNTIFS(TransactionsData[Vendor ID],K128,TransactionsData[UEI],"&lt;&gt;"&amp;D128,TransactionsData[UEI],"?*")&gt;0,COUNTIFS(VendorGroups[Record ID],K128,VendorGroups[Source UEI],"&lt;&gt;"&amp;D128,VendorGroups[Source UEI],"?*")&gt;0)),"Conflicting vendor UEIs",IF(I128="",IF(COUNTA(A128,D128,F128:R128)&gt;0,"Missing transaction ID",""),IF(COUNTIFS(TransactionsData[Transaction ID],I128)&lt;&gt;1,"Duplicate transaction ID",IF(OR(NOT(ISNUMBER(A128)),A128&lt;1,A128&gt;DATE(2099,1,1)),"Use a valid date",IF(OR(A128&lt;$B$4,A128&gt;$D$4),"Outside coverage",IF(NOT(ISNUMBER(F128)),"Missing or invalid amount",IF(OR(K128="",L128="",N128=""),"Add vendor and office identities",IF(G128="Exclude",IF(OR(F128&lt;&gt;0,H128=""),"Review nonzero or unexplained exclusion",""),IF(G128&lt;&gt;"Include","Choose Include or Exclude",IF(COUNTIFS(AwardsData[Award ID],J128)&lt;&gt;1,"Award link needs review",IF(INDEX(AwardsData[Input check],MATCH(J128,AwardsData[Award ID],0))&lt;&gt;"","Check award inputs","")))))))))))</f>
        <v/>
      </c>
      <c r="V128" s="57" t="n">
        <f aca="false">IF(AND(I128&lt;&gt;"",U128="",G128="Include"),1,0)</f>
        <v>1</v>
      </c>
      <c r="W128" s="57" t="str">
        <f aca="false">IF(I128="","",IF(COUNTIFS(AwardsData[Award ID],J128)=1,INDEX(AwardsData[Current award type],MATCH(J128,AwardsData[Award ID],0)),"Unlinked"))</f>
        <v>Definitive Contract</v>
      </c>
      <c r="X128" s="57" t="str">
        <f aca="false">IF(I128="","",IF(COUNTIFS(AwardsData[Award ID],J128)=1,INDEX(AwardsData[Current set-aside],MATCH(J128,AwardsData[Award ID],0)),"Unlinked"))</f>
        <v>8(a) Sole Source</v>
      </c>
      <c r="Y128" s="57" t="str">
        <f aca="false">IF(I128="","",IF(COUNTIFS(AwardsData[Award ID],J128)=1,INDEX(AwardsData[Performance state],MATCH(J128,AwardsData[Award ID],0)),"Unlinked"))</f>
        <v>Georgia</v>
      </c>
      <c r="Z128" s="57" t="n">
        <f aca="false">IF(AND(V128=1,OR(Dashboard!$AB$2="All",K128=Dashboard!$AB$2),OR(Dashboard!$AB$3="All",L128=Dashboard!$AB$3),OR(Dashboard!$N$10="All",W128=Dashboard!$N$10)),1,0)</f>
        <v>1</v>
      </c>
      <c r="AA128" s="57" t="n">
        <f aca="false">IF(AND(Z128=1,OR(Dashboard!$B$7="All",S128=Dashboard!$B$7)),1,0)</f>
        <v>0</v>
      </c>
      <c r="AB128" s="57" t="n">
        <f aca="false">IF(AND(V128=1,F128&lt;&gt;0),1,0)</f>
        <v>1</v>
      </c>
      <c r="AC128" s="57" t="n">
        <f aca="false">IF(AND(AA128=1,AB128=1),IF(COUNTIFS($J$17:J128,J128,$AA$17:AA128,1,$AB$17:AB128,1)=1,1,0),0)</f>
        <v>0</v>
      </c>
      <c r="AD128" s="57" t="n">
        <f aca="false">IF(AND(AA128=1,AB128=1),IF(COUNTIFS($K$17:K128,K128,$AA$17:AA128,1,$AB$17:AB128,1)=1,1,0),0)</f>
        <v>0</v>
      </c>
      <c r="AE128" s="57" t="n">
        <f aca="false">IF(AND(Z128=1,AB128=1),IF(COUNTIFS($J$17:J128,J128,$S$17:S128,S128,$Z$17:Z128,1,$AB$17:AB128,1)=1,1,0),0)</f>
        <v>1</v>
      </c>
      <c r="AF128" s="57" t="n">
        <f aca="false">IF(AND(Z128=1,AB128=1),IF(COUNTIFS($K$17:K128,K128,$S$17:S128,S128,$Z$17:Z128,1,$AB$17:AB128,1)=1,1,0),0)</f>
        <v>1</v>
      </c>
      <c r="AG128" s="57" t="n">
        <f aca="false">IF(AND(AA128=1,AB128=1),IF(COUNTIFS($J$17:J128,J128,$L$17:L128,L128,$AA$17:AA128,1,$AB$17:AB128,1)=1,1,0),0)</f>
        <v>0</v>
      </c>
      <c r="AH128" s="57" t="n">
        <f aca="false">IF(AND(AA128=1,AB128=1),IF(COUNTIFS($J$17:J128,J128,$K$17:K128,K128,$AA$17:AA128,1,$AB$17:AB128,1)=1,1,0),0)</f>
        <v>0</v>
      </c>
      <c r="AI128" s="56" t="n">
        <f aca="false">IF(V128=1,MAX(F128,0),0)</f>
        <v>239987.94</v>
      </c>
      <c r="AJ128" s="56" t="n">
        <f aca="false">IF(V128=1,MIN(F128,0),0)</f>
        <v>0</v>
      </c>
    </row>
    <row r="129" customFormat="false" ht="40" hidden="false" customHeight="true" outlineLevel="0" collapsed="false">
      <c r="A129" s="66" t="n">
        <v>45558</v>
      </c>
      <c r="B129" s="54" t="str">
        <f aca="false">IF(M129="","",IF(P129="",M129,HYPERLINK(P129,M129)))</f>
        <v>49100422D0010-49100424F0187</v>
      </c>
      <c r="C129" s="54" t="str">
        <f aca="false">IF(N129="","",IF(Q129="",N129,HYPERLINK(Q129,N129)))</f>
        <v>Agility Technologies Inc.</v>
      </c>
      <c r="D129" s="60" t="s">
        <v>103</v>
      </c>
      <c r="E129" s="54" t="str">
        <f aca="false">IF(O129="","",IF(R129="",O129,HYPERLINK(R129,O129)))</f>
        <v>NSF — office not specified</v>
      </c>
      <c r="F129" s="62" t="n">
        <v>521160.4</v>
      </c>
      <c r="G129" s="61" t="s">
        <v>464</v>
      </c>
      <c r="H129" s="58"/>
      <c r="I129" s="58" t="s">
        <v>580</v>
      </c>
      <c r="J129" s="58" t="s">
        <v>352</v>
      </c>
      <c r="K129" s="58" t="s">
        <v>101</v>
      </c>
      <c r="L129" s="58" t="s">
        <v>213</v>
      </c>
      <c r="M129" s="58" t="s">
        <v>353</v>
      </c>
      <c r="N129" s="58" t="s">
        <v>102</v>
      </c>
      <c r="O129" s="58" t="s">
        <v>214</v>
      </c>
      <c r="P129" s="58" t="s">
        <v>354</v>
      </c>
      <c r="Q129" s="58" t="s">
        <v>104</v>
      </c>
      <c r="R129" s="58" t="s">
        <v>215</v>
      </c>
      <c r="S129" s="57" t="n">
        <f aca="false">IF(ISNUMBER(A129),YEAR(A129)+IF(MONTH(A129)&gt;=10,1,0),"")</f>
        <v>2024</v>
      </c>
      <c r="T129" s="57" t="n">
        <f aca="false">IF(ISNUMBER(A129),INT(MOD(MONTH(A129)-10,12)/3)+1,"")</f>
        <v>4</v>
      </c>
      <c r="U129" s="57" t="str">
        <f aca="false">IF(AND(I129&lt;&gt;"",D129&lt;&gt;"",OR(COUNTIFS(TransactionsData[Vendor ID],K129,TransactionsData[UEI],"&lt;&gt;"&amp;D129,TransactionsData[UEI],"?*")&gt;0,COUNTIFS(VendorGroups[Record ID],K129,VendorGroups[Source UEI],"&lt;&gt;"&amp;D129,VendorGroups[Source UEI],"?*")&gt;0)),"Conflicting vendor UEIs",IF(I129="",IF(COUNTA(A129,D129,F129:R129)&gt;0,"Missing transaction ID",""),IF(COUNTIFS(TransactionsData[Transaction ID],I129)&lt;&gt;1,"Duplicate transaction ID",IF(OR(NOT(ISNUMBER(A129)),A129&lt;1,A129&gt;DATE(2099,1,1)),"Use a valid date",IF(OR(A129&lt;$B$4,A129&gt;$D$4),"Outside coverage",IF(NOT(ISNUMBER(F129)),"Missing or invalid amount",IF(OR(K129="",L129="",N129=""),"Add vendor and office identities",IF(G129="Exclude",IF(OR(F129&lt;&gt;0,H129=""),"Review nonzero or unexplained exclusion",""),IF(G129&lt;&gt;"Include","Choose Include or Exclude",IF(COUNTIFS(AwardsData[Award ID],J129)&lt;&gt;1,"Award link needs review",IF(INDEX(AwardsData[Input check],MATCH(J129,AwardsData[Award ID],0))&lt;&gt;"","Check award inputs","")))))))))))</f>
        <v/>
      </c>
      <c r="V129" s="57" t="n">
        <f aca="false">IF(AND(I129&lt;&gt;"",U129="",G129="Include"),1,0)</f>
        <v>1</v>
      </c>
      <c r="W129" s="57" t="str">
        <f aca="false">IF(I129="","",IF(COUNTIFS(AwardsData[Award ID],J129)=1,INDEX(AwardsData[Current award type],MATCH(J129,AwardsData[Award ID],0)),"Unlinked"))</f>
        <v>Delivery Order</v>
      </c>
      <c r="X129" s="57" t="str">
        <f aca="false">IF(I129="","",IF(COUNTIFS(AwardsData[Award ID],J129)=1,INDEX(AwardsData[Current set-aside],MATCH(J129,AwardsData[Award ID],0)),"Unlinked"))</f>
        <v>No Set-Aside Used</v>
      </c>
      <c r="Y129" s="57" t="str">
        <f aca="false">IF(I129="","",IF(COUNTIFS(AwardsData[Award ID],J129)=1,INDEX(AwardsData[Performance state],MATCH(J129,AwardsData[Award ID],0)),"Unlinked"))</f>
        <v>Virginia</v>
      </c>
      <c r="Z129" s="57" t="n">
        <f aca="false">IF(AND(V129=1,OR(Dashboard!$AB$2="All",K129=Dashboard!$AB$2),OR(Dashboard!$AB$3="All",L129=Dashboard!$AB$3),OR(Dashboard!$N$10="All",W129=Dashboard!$N$10)),1,0)</f>
        <v>1</v>
      </c>
      <c r="AA129" s="57" t="n">
        <f aca="false">IF(AND(Z129=1,OR(Dashboard!$B$7="All",S129=Dashboard!$B$7)),1,0)</f>
        <v>0</v>
      </c>
      <c r="AB129" s="57" t="n">
        <f aca="false">IF(AND(V129=1,F129&lt;&gt;0),1,0)</f>
        <v>1</v>
      </c>
      <c r="AC129" s="57" t="n">
        <f aca="false">IF(AND(AA129=1,AB129=1),IF(COUNTIFS($J$17:J129,J129,$AA$17:AA129,1,$AB$17:AB129,1)=1,1,0),0)</f>
        <v>0</v>
      </c>
      <c r="AD129" s="57" t="n">
        <f aca="false">IF(AND(AA129=1,AB129=1),IF(COUNTIFS($K$17:K129,K129,$AA$17:AA129,1,$AB$17:AB129,1)=1,1,0),0)</f>
        <v>0</v>
      </c>
      <c r="AE129" s="57" t="n">
        <f aca="false">IF(AND(Z129=1,AB129=1),IF(COUNTIFS($J$17:J129,J129,$S$17:S129,S129,$Z$17:Z129,1,$AB$17:AB129,1)=1,1,0),0)</f>
        <v>1</v>
      </c>
      <c r="AF129" s="57" t="n">
        <f aca="false">IF(AND(Z129=1,AB129=1),IF(COUNTIFS($K$17:K129,K129,$S$17:S129,S129,$Z$17:Z129,1,$AB$17:AB129,1)=1,1,0),0)</f>
        <v>0</v>
      </c>
      <c r="AG129" s="57" t="n">
        <f aca="false">IF(AND(AA129=1,AB129=1),IF(COUNTIFS($J$17:J129,J129,$L$17:L129,L129,$AA$17:AA129,1,$AB$17:AB129,1)=1,1,0),0)</f>
        <v>0</v>
      </c>
      <c r="AH129" s="57" t="n">
        <f aca="false">IF(AND(AA129=1,AB129=1),IF(COUNTIFS($J$17:J129,J129,$K$17:K129,K129,$AA$17:AA129,1,$AB$17:AB129,1)=1,1,0),0)</f>
        <v>0</v>
      </c>
      <c r="AI129" s="56" t="n">
        <f aca="false">IF(V129=1,MAX(F129,0),0)</f>
        <v>521160.4</v>
      </c>
      <c r="AJ129" s="56" t="n">
        <f aca="false">IF(V129=1,MIN(F129,0),0)</f>
        <v>0</v>
      </c>
    </row>
    <row r="130" customFormat="false" ht="40" hidden="false" customHeight="true" outlineLevel="0" collapsed="false">
      <c r="A130" s="66" t="n">
        <v>45558</v>
      </c>
      <c r="B130" s="54" t="str">
        <f aca="false">IF(M130="","",IF(P130="",M130,HYPERLINK(P130,M130)))</f>
        <v>49100424A0006-49100424F0073</v>
      </c>
      <c r="C130" s="54" t="str">
        <f aca="false">IF(N130="","",IF(Q130="",N130,HYPERLINK(Q130,N130)))</f>
        <v>Anika Systems Incorporated</v>
      </c>
      <c r="D130" s="60" t="s">
        <v>107</v>
      </c>
      <c r="E130" s="54" t="str">
        <f aca="false">IF(O130="","",IF(R130="",O130,HYPERLINK(R130,O130)))</f>
        <v>NSF — office not specified</v>
      </c>
      <c r="F130" s="62" t="n">
        <v>1299583.96</v>
      </c>
      <c r="G130" s="61" t="s">
        <v>464</v>
      </c>
      <c r="H130" s="58"/>
      <c r="I130" s="58" t="s">
        <v>581</v>
      </c>
      <c r="J130" s="58" t="s">
        <v>393</v>
      </c>
      <c r="K130" s="58" t="s">
        <v>105</v>
      </c>
      <c r="L130" s="58" t="s">
        <v>213</v>
      </c>
      <c r="M130" s="58" t="s">
        <v>394</v>
      </c>
      <c r="N130" s="58" t="s">
        <v>106</v>
      </c>
      <c r="O130" s="58" t="s">
        <v>214</v>
      </c>
      <c r="P130" s="58" t="s">
        <v>395</v>
      </c>
      <c r="Q130" s="58" t="s">
        <v>108</v>
      </c>
      <c r="R130" s="58" t="s">
        <v>215</v>
      </c>
      <c r="S130" s="57" t="n">
        <f aca="false">IF(ISNUMBER(A130),YEAR(A130)+IF(MONTH(A130)&gt;=10,1,0),"")</f>
        <v>2024</v>
      </c>
      <c r="T130" s="57" t="n">
        <f aca="false">IF(ISNUMBER(A130),INT(MOD(MONTH(A130)-10,12)/3)+1,"")</f>
        <v>4</v>
      </c>
      <c r="U130" s="57" t="str">
        <f aca="false">IF(AND(I130&lt;&gt;"",D130&lt;&gt;"",OR(COUNTIFS(TransactionsData[Vendor ID],K130,TransactionsData[UEI],"&lt;&gt;"&amp;D130,TransactionsData[UEI],"?*")&gt;0,COUNTIFS(VendorGroups[Record ID],K130,VendorGroups[Source UEI],"&lt;&gt;"&amp;D130,VendorGroups[Source UEI],"?*")&gt;0)),"Conflicting vendor UEIs",IF(I130="",IF(COUNTA(A130,D130,F130:R130)&gt;0,"Missing transaction ID",""),IF(COUNTIFS(TransactionsData[Transaction ID],I130)&lt;&gt;1,"Duplicate transaction ID",IF(OR(NOT(ISNUMBER(A130)),A130&lt;1,A130&gt;DATE(2099,1,1)),"Use a valid date",IF(OR(A130&lt;$B$4,A130&gt;$D$4),"Outside coverage",IF(NOT(ISNUMBER(F130)),"Missing or invalid amount",IF(OR(K130="",L130="",N130=""),"Add vendor and office identities",IF(G130="Exclude",IF(OR(F130&lt;&gt;0,H130=""),"Review nonzero or unexplained exclusion",""),IF(G130&lt;&gt;"Include","Choose Include or Exclude",IF(COUNTIFS(AwardsData[Award ID],J130)&lt;&gt;1,"Award link needs review",IF(INDEX(AwardsData[Input check],MATCH(J130,AwardsData[Award ID],0))&lt;&gt;"","Check award inputs","")))))))))))</f>
        <v/>
      </c>
      <c r="V130" s="57" t="n">
        <f aca="false">IF(AND(I130&lt;&gt;"",U130="",G130="Include"),1,0)</f>
        <v>1</v>
      </c>
      <c r="W130" s="57" t="str">
        <f aca="false">IF(I130="","",IF(COUNTIFS(AwardsData[Award ID],J130)=1,INDEX(AwardsData[Current award type],MATCH(J130,AwardsData[Award ID],0)),"Unlinked"))</f>
        <v>BPA Call</v>
      </c>
      <c r="X130" s="57" t="str">
        <f aca="false">IF(I130="","",IF(COUNTIFS(AwardsData[Award ID],J130)=1,INDEX(AwardsData[Current set-aside],MATCH(J130,AwardsData[Award ID],0)),"Unlinked"))</f>
        <v>Competitive 8(a)</v>
      </c>
      <c r="Y130" s="57" t="str">
        <f aca="false">IF(I130="","",IF(COUNTIFS(AwardsData[Award ID],J130)=1,INDEX(AwardsData[Performance state],MATCH(J130,AwardsData[Award ID],0)),"Unlinked"))</f>
        <v>Virginia</v>
      </c>
      <c r="Z130" s="57" t="n">
        <f aca="false">IF(AND(V130=1,OR(Dashboard!$AB$2="All",K130=Dashboard!$AB$2),OR(Dashboard!$AB$3="All",L130=Dashboard!$AB$3),OR(Dashboard!$N$10="All",W130=Dashboard!$N$10)),1,0)</f>
        <v>1</v>
      </c>
      <c r="AA130" s="57" t="n">
        <f aca="false">IF(AND(Z130=1,OR(Dashboard!$B$7="All",S130=Dashboard!$B$7)),1,0)</f>
        <v>0</v>
      </c>
      <c r="AB130" s="57" t="n">
        <f aca="false">IF(AND(V130=1,F130&lt;&gt;0),1,0)</f>
        <v>1</v>
      </c>
      <c r="AC130" s="57" t="n">
        <f aca="false">IF(AND(AA130=1,AB130=1),IF(COUNTIFS($J$17:J130,J130,$AA$17:AA130,1,$AB$17:AB130,1)=1,1,0),0)</f>
        <v>0</v>
      </c>
      <c r="AD130" s="57" t="n">
        <f aca="false">IF(AND(AA130=1,AB130=1),IF(COUNTIFS($K$17:K130,K130,$AA$17:AA130,1,$AB$17:AB130,1)=1,1,0),0)</f>
        <v>0</v>
      </c>
      <c r="AE130" s="57" t="n">
        <f aca="false">IF(AND(Z130=1,AB130=1),IF(COUNTIFS($J$17:J130,J130,$S$17:S130,S130,$Z$17:Z130,1,$AB$17:AB130,1)=1,1,0),0)</f>
        <v>0</v>
      </c>
      <c r="AF130" s="57" t="n">
        <f aca="false">IF(AND(Z130=1,AB130=1),IF(COUNTIFS($K$17:K130,K130,$S$17:S130,S130,$Z$17:Z130,1,$AB$17:AB130,1)=1,1,0),0)</f>
        <v>0</v>
      </c>
      <c r="AG130" s="57" t="n">
        <f aca="false">IF(AND(AA130=1,AB130=1),IF(COUNTIFS($J$17:J130,J130,$L$17:L130,L130,$AA$17:AA130,1,$AB$17:AB130,1)=1,1,0),0)</f>
        <v>0</v>
      </c>
      <c r="AH130" s="57" t="n">
        <f aca="false">IF(AND(AA130=1,AB130=1),IF(COUNTIFS($J$17:J130,J130,$K$17:K130,K130,$AA$17:AA130,1,$AB$17:AB130,1)=1,1,0),0)</f>
        <v>0</v>
      </c>
      <c r="AI130" s="56" t="n">
        <f aca="false">IF(V130=1,MAX(F130,0),0)</f>
        <v>1299583.96</v>
      </c>
      <c r="AJ130" s="56" t="n">
        <f aca="false">IF(V130=1,MIN(F130,0),0)</f>
        <v>0</v>
      </c>
    </row>
    <row r="131" customFormat="false" ht="40" hidden="false" customHeight="true" outlineLevel="0" collapsed="false">
      <c r="A131" s="66" t="n">
        <v>45589</v>
      </c>
      <c r="B131" s="54" t="str">
        <f aca="false">IF(M131="","",IF(P131="",M131,HYPERLINK(P131,M131)))</f>
        <v>Unlinked</v>
      </c>
      <c r="C131" s="54" t="str">
        <f aca="false">IF(N131="","",IF(Q131="",N131,HYPERLINK(Q131,N131)))</f>
        <v>Anika Systems Incorporated</v>
      </c>
      <c r="D131" s="60" t="s">
        <v>107</v>
      </c>
      <c r="E131" s="54" t="str">
        <f aca="false">IF(O131="","",IF(R131="",O131,HYPERLINK(R131,O131)))</f>
        <v>Division of Information Systems</v>
      </c>
      <c r="F131" s="62" t="n">
        <v>0</v>
      </c>
      <c r="G131" s="61" t="s">
        <v>492</v>
      </c>
      <c r="H131" s="58" t="s">
        <v>493</v>
      </c>
      <c r="I131" s="58" t="s">
        <v>582</v>
      </c>
      <c r="J131" s="58"/>
      <c r="K131" s="58" t="s">
        <v>105</v>
      </c>
      <c r="L131" s="58" t="s">
        <v>197</v>
      </c>
      <c r="M131" s="58" t="s">
        <v>495</v>
      </c>
      <c r="N131" s="58" t="s">
        <v>106</v>
      </c>
      <c r="O131" s="58" t="s">
        <v>198</v>
      </c>
      <c r="P131" s="58"/>
      <c r="Q131" s="58" t="s">
        <v>108</v>
      </c>
      <c r="R131" s="58" t="s">
        <v>200</v>
      </c>
      <c r="S131" s="57" t="n">
        <f aca="false">IF(ISNUMBER(A131),YEAR(A131)+IF(MONTH(A131)&gt;=10,1,0),"")</f>
        <v>2025</v>
      </c>
      <c r="T131" s="57" t="n">
        <f aca="false">IF(ISNUMBER(A131),INT(MOD(MONTH(A131)-10,12)/3)+1,"")</f>
        <v>1</v>
      </c>
      <c r="U131" s="57" t="str">
        <f aca="false">IF(AND(I131&lt;&gt;"",D131&lt;&gt;"",OR(COUNTIFS(TransactionsData[Vendor ID],K131,TransactionsData[UEI],"&lt;&gt;"&amp;D131,TransactionsData[UEI],"?*")&gt;0,COUNTIFS(VendorGroups[Record ID],K131,VendorGroups[Source UEI],"&lt;&gt;"&amp;D131,VendorGroups[Source UEI],"?*")&gt;0)),"Conflicting vendor UEIs",IF(I131="",IF(COUNTA(A131,D131,F131:R131)&gt;0,"Missing transaction ID",""),IF(COUNTIFS(TransactionsData[Transaction ID],I131)&lt;&gt;1,"Duplicate transaction ID",IF(OR(NOT(ISNUMBER(A131)),A131&lt;1,A131&gt;DATE(2099,1,1)),"Use a valid date",IF(OR(A131&lt;$B$4,A131&gt;$D$4),"Outside coverage",IF(NOT(ISNUMBER(F131)),"Missing or invalid amount",IF(OR(K131="",L131="",N131=""),"Add vendor and office identities",IF(G131="Exclude",IF(OR(F131&lt;&gt;0,H131=""),"Review nonzero or unexplained exclusion",""),IF(G131&lt;&gt;"Include","Choose Include or Exclude",IF(COUNTIFS(AwardsData[Award ID],J131)&lt;&gt;1,"Award link needs review",IF(INDEX(AwardsData[Input check],MATCH(J131,AwardsData[Award ID],0))&lt;&gt;"","Check award inputs","")))))))))))</f>
        <v/>
      </c>
      <c r="V131" s="57" t="n">
        <f aca="false">IF(AND(I131&lt;&gt;"",U131="",G131="Include"),1,0)</f>
        <v>0</v>
      </c>
      <c r="W131" s="57" t="str">
        <f aca="false">IF(I131="","",IF(COUNTIFS(AwardsData[Award ID],J131)=1,INDEX(AwardsData[Current award type],MATCH(J131,AwardsData[Award ID],0)),"Unlinked"))</f>
        <v>Unlinked</v>
      </c>
      <c r="X131" s="57" t="str">
        <f aca="false">IF(I131="","",IF(COUNTIFS(AwardsData[Award ID],J131)=1,INDEX(AwardsData[Current set-aside],MATCH(J131,AwardsData[Award ID],0)),"Unlinked"))</f>
        <v>Unlinked</v>
      </c>
      <c r="Y131" s="57" t="str">
        <f aca="false">IF(I131="","",IF(COUNTIFS(AwardsData[Award ID],J131)=1,INDEX(AwardsData[Performance state],MATCH(J131,AwardsData[Award ID],0)),"Unlinked"))</f>
        <v>Unlinked</v>
      </c>
      <c r="Z131" s="57" t="n">
        <f aca="false">IF(AND(V131=1,OR(Dashboard!$AB$2="All",K131=Dashboard!$AB$2),OR(Dashboard!$AB$3="All",L131=Dashboard!$AB$3),OR(Dashboard!$N$10="All",W131=Dashboard!$N$10)),1,0)</f>
        <v>0</v>
      </c>
      <c r="AA131" s="57" t="n">
        <f aca="false">IF(AND(Z131=1,OR(Dashboard!$B$7="All",S131=Dashboard!$B$7)),1,0)</f>
        <v>0</v>
      </c>
      <c r="AB131" s="57" t="n">
        <f aca="false">IF(AND(V131=1,F131&lt;&gt;0),1,0)</f>
        <v>0</v>
      </c>
      <c r="AC131" s="57" t="n">
        <f aca="false">IF(AND(AA131=1,AB131=1),IF(COUNTIFS($J$17:J131,J131,$AA$17:AA131,1,$AB$17:AB131,1)=1,1,0),0)</f>
        <v>0</v>
      </c>
      <c r="AD131" s="57" t="n">
        <f aca="false">IF(AND(AA131=1,AB131=1),IF(COUNTIFS($K$17:K131,K131,$AA$17:AA131,1,$AB$17:AB131,1)=1,1,0),0)</f>
        <v>0</v>
      </c>
      <c r="AE131" s="57" t="n">
        <f aca="false">IF(AND(Z131=1,AB131=1),IF(COUNTIFS($J$17:J131,J131,$S$17:S131,S131,$Z$17:Z131,1,$AB$17:AB131,1)=1,1,0),0)</f>
        <v>0</v>
      </c>
      <c r="AF131" s="57" t="n">
        <f aca="false">IF(AND(Z131=1,AB131=1),IF(COUNTIFS($K$17:K131,K131,$S$17:S131,S131,$Z$17:Z131,1,$AB$17:AB131,1)=1,1,0),0)</f>
        <v>0</v>
      </c>
      <c r="AG131" s="57" t="n">
        <f aca="false">IF(AND(AA131=1,AB131=1),IF(COUNTIFS($J$17:J131,J131,$L$17:L131,L131,$AA$17:AA131,1,$AB$17:AB131,1)=1,1,0),0)</f>
        <v>0</v>
      </c>
      <c r="AH131" s="57" t="n">
        <f aca="false">IF(AND(AA131=1,AB131=1),IF(COUNTIFS($J$17:J131,J131,$K$17:K131,K131,$AA$17:AA131,1,$AB$17:AB131,1)=1,1,0),0)</f>
        <v>0</v>
      </c>
      <c r="AI131" s="56" t="n">
        <f aca="false">IF(V131=1,MAX(F131,0),0)</f>
        <v>0</v>
      </c>
      <c r="AJ131" s="56" t="n">
        <f aca="false">IF(V131=1,MIN(F131,0),0)</f>
        <v>0</v>
      </c>
    </row>
    <row r="132" customFormat="false" ht="40" hidden="false" customHeight="true" outlineLevel="0" collapsed="false">
      <c r="A132" s="66" t="n">
        <v>45593</v>
      </c>
      <c r="B132" s="54" t="str">
        <f aca="false">IF(M132="","",IF(P132="",M132,HYPERLINK(P132,M132)))</f>
        <v>49100422A0002-49100424F0010</v>
      </c>
      <c r="C132" s="54" t="str">
        <f aca="false">IF(N132="","",IF(Q132="",N132,HYPERLINK(Q132,N132)))</f>
        <v>Directviz Solutions, LLC</v>
      </c>
      <c r="D132" s="60" t="s">
        <v>123</v>
      </c>
      <c r="E132" s="54" t="str">
        <f aca="false">IF(O132="","",IF(R132="",O132,HYPERLINK(R132,O132)))</f>
        <v>Division of Information Systems</v>
      </c>
      <c r="F132" s="62" t="n">
        <v>334801.24</v>
      </c>
      <c r="G132" s="61" t="s">
        <v>464</v>
      </c>
      <c r="H132" s="58"/>
      <c r="I132" s="58" t="s">
        <v>583</v>
      </c>
      <c r="J132" s="58" t="s">
        <v>310</v>
      </c>
      <c r="K132" s="58" t="s">
        <v>121</v>
      </c>
      <c r="L132" s="58" t="s">
        <v>197</v>
      </c>
      <c r="M132" s="58" t="s">
        <v>311</v>
      </c>
      <c r="N132" s="58" t="s">
        <v>122</v>
      </c>
      <c r="O132" s="58" t="s">
        <v>198</v>
      </c>
      <c r="P132" s="58" t="s">
        <v>312</v>
      </c>
      <c r="Q132" s="58" t="s">
        <v>124</v>
      </c>
      <c r="R132" s="58" t="s">
        <v>200</v>
      </c>
      <c r="S132" s="57" t="n">
        <f aca="false">IF(ISNUMBER(A132),YEAR(A132)+IF(MONTH(A132)&gt;=10,1,0),"")</f>
        <v>2025</v>
      </c>
      <c r="T132" s="57" t="n">
        <f aca="false">IF(ISNUMBER(A132),INT(MOD(MONTH(A132)-10,12)/3)+1,"")</f>
        <v>1</v>
      </c>
      <c r="U132" s="57" t="str">
        <f aca="false">IF(AND(I132&lt;&gt;"",D132&lt;&gt;"",OR(COUNTIFS(TransactionsData[Vendor ID],K132,TransactionsData[UEI],"&lt;&gt;"&amp;D132,TransactionsData[UEI],"?*")&gt;0,COUNTIFS(VendorGroups[Record ID],K132,VendorGroups[Source UEI],"&lt;&gt;"&amp;D132,VendorGroups[Source UEI],"?*")&gt;0)),"Conflicting vendor UEIs",IF(I132="",IF(COUNTA(A132,D132,F132:R132)&gt;0,"Missing transaction ID",""),IF(COUNTIFS(TransactionsData[Transaction ID],I132)&lt;&gt;1,"Duplicate transaction ID",IF(OR(NOT(ISNUMBER(A132)),A132&lt;1,A132&gt;DATE(2099,1,1)),"Use a valid date",IF(OR(A132&lt;$B$4,A132&gt;$D$4),"Outside coverage",IF(NOT(ISNUMBER(F132)),"Missing or invalid amount",IF(OR(K132="",L132="",N132=""),"Add vendor and office identities",IF(G132="Exclude",IF(OR(F132&lt;&gt;0,H132=""),"Review nonzero or unexplained exclusion",""),IF(G132&lt;&gt;"Include","Choose Include or Exclude",IF(COUNTIFS(AwardsData[Award ID],J132)&lt;&gt;1,"Award link needs review",IF(INDEX(AwardsData[Input check],MATCH(J132,AwardsData[Award ID],0))&lt;&gt;"","Check award inputs","")))))))))))</f>
        <v/>
      </c>
      <c r="V132" s="57" t="n">
        <f aca="false">IF(AND(I132&lt;&gt;"",U132="",G132="Include"),1,0)</f>
        <v>1</v>
      </c>
      <c r="W132" s="57" t="str">
        <f aca="false">IF(I132="","",IF(COUNTIFS(AwardsData[Award ID],J132)=1,INDEX(AwardsData[Current award type],MATCH(J132,AwardsData[Award ID],0)),"Unlinked"))</f>
        <v>BPA Call</v>
      </c>
      <c r="X132" s="57" t="str">
        <f aca="false">IF(I132="","",IF(COUNTIFS(AwardsData[Award ID],J132)=1,INDEX(AwardsData[Current set-aside],MATCH(J132,AwardsData[Award ID],0)),"Unlinked"))</f>
        <v>Total Small Business</v>
      </c>
      <c r="Y132" s="57" t="str">
        <f aca="false">IF(I132="","",IF(COUNTIFS(AwardsData[Award ID],J132)=1,INDEX(AwardsData[Performance state],MATCH(J132,AwardsData[Award ID],0)),"Unlinked"))</f>
        <v>Virginia</v>
      </c>
      <c r="Z132" s="57" t="n">
        <f aca="false">IF(AND(V132=1,OR(Dashboard!$AB$2="All",K132=Dashboard!$AB$2),OR(Dashboard!$AB$3="All",L132=Dashboard!$AB$3),OR(Dashboard!$N$10="All",W132=Dashboard!$N$10)),1,0)</f>
        <v>1</v>
      </c>
      <c r="AA132" s="57" t="n">
        <f aca="false">IF(AND(Z132=1,OR(Dashboard!$B$7="All",S132=Dashboard!$B$7)),1,0)</f>
        <v>1</v>
      </c>
      <c r="AB132" s="57" t="n">
        <f aca="false">IF(AND(V132=1,F132&lt;&gt;0),1,0)</f>
        <v>1</v>
      </c>
      <c r="AC132" s="57" t="n">
        <f aca="false">IF(AND(AA132=1,AB132=1),IF(COUNTIFS($J$17:J132,J132,$AA$17:AA132,1,$AB$17:AB132,1)=1,1,0),0)</f>
        <v>1</v>
      </c>
      <c r="AD132" s="57" t="n">
        <f aca="false">IF(AND(AA132=1,AB132=1),IF(COUNTIFS($K$17:K132,K132,$AA$17:AA132,1,$AB$17:AB132,1)=1,1,0),0)</f>
        <v>1</v>
      </c>
      <c r="AE132" s="57" t="n">
        <f aca="false">IF(AND(Z132=1,AB132=1),IF(COUNTIFS($J$17:J132,J132,$S$17:S132,S132,$Z$17:Z132,1,$AB$17:AB132,1)=1,1,0),0)</f>
        <v>1</v>
      </c>
      <c r="AF132" s="57" t="n">
        <f aca="false">IF(AND(Z132=1,AB132=1),IF(COUNTIFS($K$17:K132,K132,$S$17:S132,S132,$Z$17:Z132,1,$AB$17:AB132,1)=1,1,0),0)</f>
        <v>1</v>
      </c>
      <c r="AG132" s="57" t="n">
        <f aca="false">IF(AND(AA132=1,AB132=1),IF(COUNTIFS($J$17:J132,J132,$L$17:L132,L132,$AA$17:AA132,1,$AB$17:AB132,1)=1,1,0),0)</f>
        <v>1</v>
      </c>
      <c r="AH132" s="57" t="n">
        <f aca="false">IF(AND(AA132=1,AB132=1),IF(COUNTIFS($J$17:J132,J132,$K$17:K132,K132,$AA$17:AA132,1,$AB$17:AB132,1)=1,1,0),0)</f>
        <v>1</v>
      </c>
      <c r="AI132" s="56" t="n">
        <f aca="false">IF(V132=1,MAX(F132,0),0)</f>
        <v>334801.24</v>
      </c>
      <c r="AJ132" s="56" t="n">
        <f aca="false">IF(V132=1,MIN(F132,0),0)</f>
        <v>0</v>
      </c>
    </row>
    <row r="133" customFormat="false" ht="40" hidden="false" customHeight="true" outlineLevel="0" collapsed="false">
      <c r="A133" s="66" t="n">
        <v>45593</v>
      </c>
      <c r="B133" s="54" t="str">
        <f aca="false">IF(M133="","",IF(P133="",M133,HYPERLINK(P133,M133)))</f>
        <v>49100424A0001-49100424F0052</v>
      </c>
      <c r="C133" s="54" t="str">
        <f aca="false">IF(N133="","",IF(Q133="",N133,HYPERLINK(Q133,N133)))</f>
        <v>Spatial Front Inc.</v>
      </c>
      <c r="D133" s="60" t="s">
        <v>166</v>
      </c>
      <c r="E133" s="54" t="str">
        <f aca="false">IF(O133="","",IF(R133="",O133,HYPERLINK(R133,O133)))</f>
        <v>Division of Information Systems</v>
      </c>
      <c r="F133" s="62" t="n">
        <v>23000</v>
      </c>
      <c r="G133" s="61" t="s">
        <v>464</v>
      </c>
      <c r="H133" s="58"/>
      <c r="I133" s="58" t="s">
        <v>584</v>
      </c>
      <c r="J133" s="58" t="s">
        <v>370</v>
      </c>
      <c r="K133" s="58" t="s">
        <v>164</v>
      </c>
      <c r="L133" s="58" t="s">
        <v>197</v>
      </c>
      <c r="M133" s="58" t="s">
        <v>371</v>
      </c>
      <c r="N133" s="58" t="s">
        <v>165</v>
      </c>
      <c r="O133" s="58" t="s">
        <v>198</v>
      </c>
      <c r="P133" s="58" t="s">
        <v>372</v>
      </c>
      <c r="Q133" s="58" t="s">
        <v>167</v>
      </c>
      <c r="R133" s="58" t="s">
        <v>200</v>
      </c>
      <c r="S133" s="57" t="n">
        <f aca="false">IF(ISNUMBER(A133),YEAR(A133)+IF(MONTH(A133)&gt;=10,1,0),"")</f>
        <v>2025</v>
      </c>
      <c r="T133" s="57" t="n">
        <f aca="false">IF(ISNUMBER(A133),INT(MOD(MONTH(A133)-10,12)/3)+1,"")</f>
        <v>1</v>
      </c>
      <c r="U133" s="57" t="str">
        <f aca="false">IF(AND(I133&lt;&gt;"",D133&lt;&gt;"",OR(COUNTIFS(TransactionsData[Vendor ID],K133,TransactionsData[UEI],"&lt;&gt;"&amp;D133,TransactionsData[UEI],"?*")&gt;0,COUNTIFS(VendorGroups[Record ID],K133,VendorGroups[Source UEI],"&lt;&gt;"&amp;D133,VendorGroups[Source UEI],"?*")&gt;0)),"Conflicting vendor UEIs",IF(I133="",IF(COUNTA(A133,D133,F133:R133)&gt;0,"Missing transaction ID",""),IF(COUNTIFS(TransactionsData[Transaction ID],I133)&lt;&gt;1,"Duplicate transaction ID",IF(OR(NOT(ISNUMBER(A133)),A133&lt;1,A133&gt;DATE(2099,1,1)),"Use a valid date",IF(OR(A133&lt;$B$4,A133&gt;$D$4),"Outside coverage",IF(NOT(ISNUMBER(F133)),"Missing or invalid amount",IF(OR(K133="",L133="",N133=""),"Add vendor and office identities",IF(G133="Exclude",IF(OR(F133&lt;&gt;0,H133=""),"Review nonzero or unexplained exclusion",""),IF(G133&lt;&gt;"Include","Choose Include or Exclude",IF(COUNTIFS(AwardsData[Award ID],J133)&lt;&gt;1,"Award link needs review",IF(INDEX(AwardsData[Input check],MATCH(J133,AwardsData[Award ID],0))&lt;&gt;"","Check award inputs","")))))))))))</f>
        <v/>
      </c>
      <c r="V133" s="57" t="n">
        <f aca="false">IF(AND(I133&lt;&gt;"",U133="",G133="Include"),1,0)</f>
        <v>1</v>
      </c>
      <c r="W133" s="57" t="str">
        <f aca="false">IF(I133="","",IF(COUNTIFS(AwardsData[Award ID],J133)=1,INDEX(AwardsData[Current award type],MATCH(J133,AwardsData[Award ID],0)),"Unlinked"))</f>
        <v>BPA Call</v>
      </c>
      <c r="X133" s="57" t="str">
        <f aca="false">IF(I133="","",IF(COUNTIFS(AwardsData[Award ID],J133)=1,INDEX(AwardsData[Current set-aside],MATCH(J133,AwardsData[Award ID],0)),"Unlinked"))</f>
        <v>No Set-Aside Used</v>
      </c>
      <c r="Y133" s="57" t="str">
        <f aca="false">IF(I133="","",IF(COUNTIFS(AwardsData[Award ID],J133)=1,INDEX(AwardsData[Performance state],MATCH(J133,AwardsData[Award ID],0)),"Unlinked"))</f>
        <v>Virginia</v>
      </c>
      <c r="Z133" s="57" t="n">
        <f aca="false">IF(AND(V133=1,OR(Dashboard!$AB$2="All",K133=Dashboard!$AB$2),OR(Dashboard!$AB$3="All",L133=Dashboard!$AB$3),OR(Dashboard!$N$10="All",W133=Dashboard!$N$10)),1,0)</f>
        <v>1</v>
      </c>
      <c r="AA133" s="57" t="n">
        <f aca="false">IF(AND(Z133=1,OR(Dashboard!$B$7="All",S133=Dashboard!$B$7)),1,0)</f>
        <v>1</v>
      </c>
      <c r="AB133" s="57" t="n">
        <f aca="false">IF(AND(V133=1,F133&lt;&gt;0),1,0)</f>
        <v>1</v>
      </c>
      <c r="AC133" s="57" t="n">
        <f aca="false">IF(AND(AA133=1,AB133=1),IF(COUNTIFS($J$17:J133,J133,$AA$17:AA133,1,$AB$17:AB133,1)=1,1,0),0)</f>
        <v>1</v>
      </c>
      <c r="AD133" s="57" t="n">
        <f aca="false">IF(AND(AA133=1,AB133=1),IF(COUNTIFS($K$17:K133,K133,$AA$17:AA133,1,$AB$17:AB133,1)=1,1,0),0)</f>
        <v>1</v>
      </c>
      <c r="AE133" s="57" t="n">
        <f aca="false">IF(AND(Z133=1,AB133=1),IF(COUNTIFS($J$17:J133,J133,$S$17:S133,S133,$Z$17:Z133,1,$AB$17:AB133,1)=1,1,0),0)</f>
        <v>1</v>
      </c>
      <c r="AF133" s="57" t="n">
        <f aca="false">IF(AND(Z133=1,AB133=1),IF(COUNTIFS($K$17:K133,K133,$S$17:S133,S133,$Z$17:Z133,1,$AB$17:AB133,1)=1,1,0),0)</f>
        <v>1</v>
      </c>
      <c r="AG133" s="57" t="n">
        <f aca="false">IF(AND(AA133=1,AB133=1),IF(COUNTIFS($J$17:J133,J133,$L$17:L133,L133,$AA$17:AA133,1,$AB$17:AB133,1)=1,1,0),0)</f>
        <v>1</v>
      </c>
      <c r="AH133" s="57" t="n">
        <f aca="false">IF(AND(AA133=1,AB133=1),IF(COUNTIFS($J$17:J133,J133,$K$17:K133,K133,$AA$17:AA133,1,$AB$17:AB133,1)=1,1,0),0)</f>
        <v>1</v>
      </c>
      <c r="AI133" s="56" t="n">
        <f aca="false">IF(V133=1,MAX(F133,0),0)</f>
        <v>23000</v>
      </c>
      <c r="AJ133" s="56" t="n">
        <f aca="false">IF(V133=1,MIN(F133,0),0)</f>
        <v>0</v>
      </c>
    </row>
    <row r="134" customFormat="false" ht="40" hidden="false" customHeight="true" outlineLevel="0" collapsed="false">
      <c r="A134" s="66" t="n">
        <v>45597</v>
      </c>
      <c r="B134" s="54" t="str">
        <f aca="false">IF(M134="","",IF(P134="",M134,HYPERLINK(P134,M134)))</f>
        <v>Unlinked</v>
      </c>
      <c r="C134" s="54" t="str">
        <f aca="false">IF(N134="","",IF(Q134="",N134,HYPERLINK(Q134,N134)))</f>
        <v>Spatial Front Inc.</v>
      </c>
      <c r="D134" s="60" t="s">
        <v>166</v>
      </c>
      <c r="E134" s="54" t="str">
        <f aca="false">IF(O134="","",IF(R134="",O134,HYPERLINK(R134,O134)))</f>
        <v>NSF — office not specified</v>
      </c>
      <c r="F134" s="62" t="n">
        <v>0</v>
      </c>
      <c r="G134" s="61" t="s">
        <v>492</v>
      </c>
      <c r="H134" s="58" t="s">
        <v>493</v>
      </c>
      <c r="I134" s="58" t="s">
        <v>585</v>
      </c>
      <c r="J134" s="58"/>
      <c r="K134" s="58" t="s">
        <v>164</v>
      </c>
      <c r="L134" s="58" t="s">
        <v>213</v>
      </c>
      <c r="M134" s="58" t="s">
        <v>495</v>
      </c>
      <c r="N134" s="58" t="s">
        <v>165</v>
      </c>
      <c r="O134" s="58" t="s">
        <v>214</v>
      </c>
      <c r="P134" s="58"/>
      <c r="Q134" s="58" t="s">
        <v>167</v>
      </c>
      <c r="R134" s="58" t="s">
        <v>215</v>
      </c>
      <c r="S134" s="57" t="n">
        <f aca="false">IF(ISNUMBER(A134),YEAR(A134)+IF(MONTH(A134)&gt;=10,1,0),"")</f>
        <v>2025</v>
      </c>
      <c r="T134" s="57" t="n">
        <f aca="false">IF(ISNUMBER(A134),INT(MOD(MONTH(A134)-10,12)/3)+1,"")</f>
        <v>1</v>
      </c>
      <c r="U134" s="57" t="str">
        <f aca="false">IF(AND(I134&lt;&gt;"",D134&lt;&gt;"",OR(COUNTIFS(TransactionsData[Vendor ID],K134,TransactionsData[UEI],"&lt;&gt;"&amp;D134,TransactionsData[UEI],"?*")&gt;0,COUNTIFS(VendorGroups[Record ID],K134,VendorGroups[Source UEI],"&lt;&gt;"&amp;D134,VendorGroups[Source UEI],"?*")&gt;0)),"Conflicting vendor UEIs",IF(I134="",IF(COUNTA(A134,D134,F134:R134)&gt;0,"Missing transaction ID",""),IF(COUNTIFS(TransactionsData[Transaction ID],I134)&lt;&gt;1,"Duplicate transaction ID",IF(OR(NOT(ISNUMBER(A134)),A134&lt;1,A134&gt;DATE(2099,1,1)),"Use a valid date",IF(OR(A134&lt;$B$4,A134&gt;$D$4),"Outside coverage",IF(NOT(ISNUMBER(F134)),"Missing or invalid amount",IF(OR(K134="",L134="",N134=""),"Add vendor and office identities",IF(G134="Exclude",IF(OR(F134&lt;&gt;0,H134=""),"Review nonzero or unexplained exclusion",""),IF(G134&lt;&gt;"Include","Choose Include or Exclude",IF(COUNTIFS(AwardsData[Award ID],J134)&lt;&gt;1,"Award link needs review",IF(INDEX(AwardsData[Input check],MATCH(J134,AwardsData[Award ID],0))&lt;&gt;"","Check award inputs","")))))))))))</f>
        <v/>
      </c>
      <c r="V134" s="57" t="n">
        <f aca="false">IF(AND(I134&lt;&gt;"",U134="",G134="Include"),1,0)</f>
        <v>0</v>
      </c>
      <c r="W134" s="57" t="str">
        <f aca="false">IF(I134="","",IF(COUNTIFS(AwardsData[Award ID],J134)=1,INDEX(AwardsData[Current award type],MATCH(J134,AwardsData[Award ID],0)),"Unlinked"))</f>
        <v>Unlinked</v>
      </c>
      <c r="X134" s="57" t="str">
        <f aca="false">IF(I134="","",IF(COUNTIFS(AwardsData[Award ID],J134)=1,INDEX(AwardsData[Current set-aside],MATCH(J134,AwardsData[Award ID],0)),"Unlinked"))</f>
        <v>Unlinked</v>
      </c>
      <c r="Y134" s="57" t="str">
        <f aca="false">IF(I134="","",IF(COUNTIFS(AwardsData[Award ID],J134)=1,INDEX(AwardsData[Performance state],MATCH(J134,AwardsData[Award ID],0)),"Unlinked"))</f>
        <v>Unlinked</v>
      </c>
      <c r="Z134" s="57" t="n">
        <f aca="false">IF(AND(V134=1,OR(Dashboard!$AB$2="All",K134=Dashboard!$AB$2),OR(Dashboard!$AB$3="All",L134=Dashboard!$AB$3),OR(Dashboard!$N$10="All",W134=Dashboard!$N$10)),1,0)</f>
        <v>0</v>
      </c>
      <c r="AA134" s="57" t="n">
        <f aca="false">IF(AND(Z134=1,OR(Dashboard!$B$7="All",S134=Dashboard!$B$7)),1,0)</f>
        <v>0</v>
      </c>
      <c r="AB134" s="57" t="n">
        <f aca="false">IF(AND(V134=1,F134&lt;&gt;0),1,0)</f>
        <v>0</v>
      </c>
      <c r="AC134" s="57" t="n">
        <f aca="false">IF(AND(AA134=1,AB134=1),IF(COUNTIFS($J$17:J134,J134,$AA$17:AA134,1,$AB$17:AB134,1)=1,1,0),0)</f>
        <v>0</v>
      </c>
      <c r="AD134" s="57" t="n">
        <f aca="false">IF(AND(AA134=1,AB134=1),IF(COUNTIFS($K$17:K134,K134,$AA$17:AA134,1,$AB$17:AB134,1)=1,1,0),0)</f>
        <v>0</v>
      </c>
      <c r="AE134" s="57" t="n">
        <f aca="false">IF(AND(Z134=1,AB134=1),IF(COUNTIFS($J$17:J134,J134,$S$17:S134,S134,$Z$17:Z134,1,$AB$17:AB134,1)=1,1,0),0)</f>
        <v>0</v>
      </c>
      <c r="AF134" s="57" t="n">
        <f aca="false">IF(AND(Z134=1,AB134=1),IF(COUNTIFS($K$17:K134,K134,$S$17:S134,S134,$Z$17:Z134,1,$AB$17:AB134,1)=1,1,0),0)</f>
        <v>0</v>
      </c>
      <c r="AG134" s="57" t="n">
        <f aca="false">IF(AND(AA134=1,AB134=1),IF(COUNTIFS($J$17:J134,J134,$L$17:L134,L134,$AA$17:AA134,1,$AB$17:AB134,1)=1,1,0),0)</f>
        <v>0</v>
      </c>
      <c r="AH134" s="57" t="n">
        <f aca="false">IF(AND(AA134=1,AB134=1),IF(COUNTIFS($J$17:J134,J134,$K$17:K134,K134,$AA$17:AA134,1,$AB$17:AB134,1)=1,1,0),0)</f>
        <v>0</v>
      </c>
      <c r="AI134" s="56" t="n">
        <f aca="false">IF(V134=1,MAX(F134,0),0)</f>
        <v>0</v>
      </c>
      <c r="AJ134" s="56" t="n">
        <f aca="false">IF(V134=1,MIN(F134,0),0)</f>
        <v>0</v>
      </c>
    </row>
    <row r="135" customFormat="false" ht="40" hidden="false" customHeight="true" outlineLevel="0" collapsed="false">
      <c r="A135" s="66" t="n">
        <v>45600</v>
      </c>
      <c r="B135" s="54" t="str">
        <f aca="false">IF(M135="","",IF(P135="",M135,HYPERLINK(P135,M135)))</f>
        <v>49100424A0001-49100424F0051</v>
      </c>
      <c r="C135" s="54" t="str">
        <f aca="false">IF(N135="","",IF(Q135="",N135,HYPERLINK(Q135,N135)))</f>
        <v>Spatial Front Inc.</v>
      </c>
      <c r="D135" s="60" t="s">
        <v>166</v>
      </c>
      <c r="E135" s="54" t="str">
        <f aca="false">IF(O135="","",IF(R135="",O135,HYPERLINK(R135,O135)))</f>
        <v>NSF — office not specified</v>
      </c>
      <c r="F135" s="62" t="n">
        <v>258000</v>
      </c>
      <c r="G135" s="61" t="s">
        <v>464</v>
      </c>
      <c r="H135" s="58"/>
      <c r="I135" s="58" t="s">
        <v>586</v>
      </c>
      <c r="J135" s="58" t="s">
        <v>367</v>
      </c>
      <c r="K135" s="58" t="s">
        <v>164</v>
      </c>
      <c r="L135" s="58" t="s">
        <v>213</v>
      </c>
      <c r="M135" s="58" t="s">
        <v>368</v>
      </c>
      <c r="N135" s="58" t="s">
        <v>165</v>
      </c>
      <c r="O135" s="58" t="s">
        <v>214</v>
      </c>
      <c r="P135" s="58" t="s">
        <v>369</v>
      </c>
      <c r="Q135" s="58" t="s">
        <v>167</v>
      </c>
      <c r="R135" s="58" t="s">
        <v>215</v>
      </c>
      <c r="S135" s="57" t="n">
        <f aca="false">IF(ISNUMBER(A135),YEAR(A135)+IF(MONTH(A135)&gt;=10,1,0),"")</f>
        <v>2025</v>
      </c>
      <c r="T135" s="57" t="n">
        <f aca="false">IF(ISNUMBER(A135),INT(MOD(MONTH(A135)-10,12)/3)+1,"")</f>
        <v>1</v>
      </c>
      <c r="U135" s="57" t="str">
        <f aca="false">IF(AND(I135&lt;&gt;"",D135&lt;&gt;"",OR(COUNTIFS(TransactionsData[Vendor ID],K135,TransactionsData[UEI],"&lt;&gt;"&amp;D135,TransactionsData[UEI],"?*")&gt;0,COUNTIFS(VendorGroups[Record ID],K135,VendorGroups[Source UEI],"&lt;&gt;"&amp;D135,VendorGroups[Source UEI],"?*")&gt;0)),"Conflicting vendor UEIs",IF(I135="",IF(COUNTA(A135,D135,F135:R135)&gt;0,"Missing transaction ID",""),IF(COUNTIFS(TransactionsData[Transaction ID],I135)&lt;&gt;1,"Duplicate transaction ID",IF(OR(NOT(ISNUMBER(A135)),A135&lt;1,A135&gt;DATE(2099,1,1)),"Use a valid date",IF(OR(A135&lt;$B$4,A135&gt;$D$4),"Outside coverage",IF(NOT(ISNUMBER(F135)),"Missing or invalid amount",IF(OR(K135="",L135="",N135=""),"Add vendor and office identities",IF(G135="Exclude",IF(OR(F135&lt;&gt;0,H135=""),"Review nonzero or unexplained exclusion",""),IF(G135&lt;&gt;"Include","Choose Include or Exclude",IF(COUNTIFS(AwardsData[Award ID],J135)&lt;&gt;1,"Award link needs review",IF(INDEX(AwardsData[Input check],MATCH(J135,AwardsData[Award ID],0))&lt;&gt;"","Check award inputs","")))))))))))</f>
        <v/>
      </c>
      <c r="V135" s="57" t="n">
        <f aca="false">IF(AND(I135&lt;&gt;"",U135="",G135="Include"),1,0)</f>
        <v>1</v>
      </c>
      <c r="W135" s="57" t="str">
        <f aca="false">IF(I135="","",IF(COUNTIFS(AwardsData[Award ID],J135)=1,INDEX(AwardsData[Current award type],MATCH(J135,AwardsData[Award ID],0)),"Unlinked"))</f>
        <v>BPA Call</v>
      </c>
      <c r="X135" s="57" t="str">
        <f aca="false">IF(I135="","",IF(COUNTIFS(AwardsData[Award ID],J135)=1,INDEX(AwardsData[Current set-aside],MATCH(J135,AwardsData[Award ID],0)),"Unlinked"))</f>
        <v>Total Small Business</v>
      </c>
      <c r="Y135" s="57" t="str">
        <f aca="false">IF(I135="","",IF(COUNTIFS(AwardsData[Award ID],J135)=1,INDEX(AwardsData[Performance state],MATCH(J135,AwardsData[Award ID],0)),"Unlinked"))</f>
        <v>Virginia</v>
      </c>
      <c r="Z135" s="57" t="n">
        <f aca="false">IF(AND(V135=1,OR(Dashboard!$AB$2="All",K135=Dashboard!$AB$2),OR(Dashboard!$AB$3="All",L135=Dashboard!$AB$3),OR(Dashboard!$N$10="All",W135=Dashboard!$N$10)),1,0)</f>
        <v>1</v>
      </c>
      <c r="AA135" s="57" t="n">
        <f aca="false">IF(AND(Z135=1,OR(Dashboard!$B$7="All",S135=Dashboard!$B$7)),1,0)</f>
        <v>1</v>
      </c>
      <c r="AB135" s="57" t="n">
        <f aca="false">IF(AND(V135=1,F135&lt;&gt;0),1,0)</f>
        <v>1</v>
      </c>
      <c r="AC135" s="57" t="n">
        <f aca="false">IF(AND(AA135=1,AB135=1),IF(COUNTIFS($J$17:J135,J135,$AA$17:AA135,1,$AB$17:AB135,1)=1,1,0),0)</f>
        <v>1</v>
      </c>
      <c r="AD135" s="57" t="n">
        <f aca="false">IF(AND(AA135=1,AB135=1),IF(COUNTIFS($K$17:K135,K135,$AA$17:AA135,1,$AB$17:AB135,1)=1,1,0),0)</f>
        <v>0</v>
      </c>
      <c r="AE135" s="57" t="n">
        <f aca="false">IF(AND(Z135=1,AB135=1),IF(COUNTIFS($J$17:J135,J135,$S$17:S135,S135,$Z$17:Z135,1,$AB$17:AB135,1)=1,1,0),0)</f>
        <v>1</v>
      </c>
      <c r="AF135" s="57" t="n">
        <f aca="false">IF(AND(Z135=1,AB135=1),IF(COUNTIFS($K$17:K135,K135,$S$17:S135,S135,$Z$17:Z135,1,$AB$17:AB135,1)=1,1,0),0)</f>
        <v>0</v>
      </c>
      <c r="AG135" s="57" t="n">
        <f aca="false">IF(AND(AA135=1,AB135=1),IF(COUNTIFS($J$17:J135,J135,$L$17:L135,L135,$AA$17:AA135,1,$AB$17:AB135,1)=1,1,0),0)</f>
        <v>1</v>
      </c>
      <c r="AH135" s="57" t="n">
        <f aca="false">IF(AND(AA135=1,AB135=1),IF(COUNTIFS($J$17:J135,J135,$K$17:K135,K135,$AA$17:AA135,1,$AB$17:AB135,1)=1,1,0),0)</f>
        <v>1</v>
      </c>
      <c r="AI135" s="56" t="n">
        <f aca="false">IF(V135=1,MAX(F135,0),0)</f>
        <v>258000</v>
      </c>
      <c r="AJ135" s="56" t="n">
        <f aca="false">IF(V135=1,MIN(F135,0),0)</f>
        <v>0</v>
      </c>
    </row>
    <row r="136" customFormat="false" ht="40" hidden="false" customHeight="true" outlineLevel="0" collapsed="false">
      <c r="A136" s="66" t="n">
        <v>45600</v>
      </c>
      <c r="B136" s="54" t="str">
        <f aca="false">IF(M136="","",IF(P136="",M136,HYPERLINK(P136,M136)))</f>
        <v>49100424A0001-49100424F0055</v>
      </c>
      <c r="C136" s="54" t="str">
        <f aca="false">IF(N136="","",IF(Q136="",N136,HYPERLINK(Q136,N136)))</f>
        <v>Spatial Front Inc.</v>
      </c>
      <c r="D136" s="60" t="s">
        <v>166</v>
      </c>
      <c r="E136" s="54" t="str">
        <f aca="false">IF(O136="","",IF(R136="",O136,HYPERLINK(R136,O136)))</f>
        <v>Division of Information Systems</v>
      </c>
      <c r="F136" s="62" t="n">
        <v>53750</v>
      </c>
      <c r="G136" s="61" t="s">
        <v>464</v>
      </c>
      <c r="H136" s="58"/>
      <c r="I136" s="58" t="s">
        <v>587</v>
      </c>
      <c r="J136" s="58" t="s">
        <v>379</v>
      </c>
      <c r="K136" s="58" t="s">
        <v>164</v>
      </c>
      <c r="L136" s="58" t="s">
        <v>197</v>
      </c>
      <c r="M136" s="58" t="s">
        <v>380</v>
      </c>
      <c r="N136" s="58" t="s">
        <v>165</v>
      </c>
      <c r="O136" s="58" t="s">
        <v>198</v>
      </c>
      <c r="P136" s="58" t="s">
        <v>381</v>
      </c>
      <c r="Q136" s="58" t="s">
        <v>167</v>
      </c>
      <c r="R136" s="58" t="s">
        <v>200</v>
      </c>
      <c r="S136" s="57" t="n">
        <f aca="false">IF(ISNUMBER(A136),YEAR(A136)+IF(MONTH(A136)&gt;=10,1,0),"")</f>
        <v>2025</v>
      </c>
      <c r="T136" s="57" t="n">
        <f aca="false">IF(ISNUMBER(A136),INT(MOD(MONTH(A136)-10,12)/3)+1,"")</f>
        <v>1</v>
      </c>
      <c r="U136" s="57" t="str">
        <f aca="false">IF(AND(I136&lt;&gt;"",D136&lt;&gt;"",OR(COUNTIFS(TransactionsData[Vendor ID],K136,TransactionsData[UEI],"&lt;&gt;"&amp;D136,TransactionsData[UEI],"?*")&gt;0,COUNTIFS(VendorGroups[Record ID],K136,VendorGroups[Source UEI],"&lt;&gt;"&amp;D136,VendorGroups[Source UEI],"?*")&gt;0)),"Conflicting vendor UEIs",IF(I136="",IF(COUNTA(A136,D136,F136:R136)&gt;0,"Missing transaction ID",""),IF(COUNTIFS(TransactionsData[Transaction ID],I136)&lt;&gt;1,"Duplicate transaction ID",IF(OR(NOT(ISNUMBER(A136)),A136&lt;1,A136&gt;DATE(2099,1,1)),"Use a valid date",IF(OR(A136&lt;$B$4,A136&gt;$D$4),"Outside coverage",IF(NOT(ISNUMBER(F136)),"Missing or invalid amount",IF(OR(K136="",L136="",N136=""),"Add vendor and office identities",IF(G136="Exclude",IF(OR(F136&lt;&gt;0,H136=""),"Review nonzero or unexplained exclusion",""),IF(G136&lt;&gt;"Include","Choose Include or Exclude",IF(COUNTIFS(AwardsData[Award ID],J136)&lt;&gt;1,"Award link needs review",IF(INDEX(AwardsData[Input check],MATCH(J136,AwardsData[Award ID],0))&lt;&gt;"","Check award inputs","")))))))))))</f>
        <v/>
      </c>
      <c r="V136" s="57" t="n">
        <f aca="false">IF(AND(I136&lt;&gt;"",U136="",G136="Include"),1,0)</f>
        <v>1</v>
      </c>
      <c r="W136" s="57" t="str">
        <f aca="false">IF(I136="","",IF(COUNTIFS(AwardsData[Award ID],J136)=1,INDEX(AwardsData[Current award type],MATCH(J136,AwardsData[Award ID],0)),"Unlinked"))</f>
        <v>BPA Call</v>
      </c>
      <c r="X136" s="57" t="str">
        <f aca="false">IF(I136="","",IF(COUNTIFS(AwardsData[Award ID],J136)=1,INDEX(AwardsData[Current set-aside],MATCH(J136,AwardsData[Award ID],0)),"Unlinked"))</f>
        <v>Total Small Business</v>
      </c>
      <c r="Y136" s="57" t="str">
        <f aca="false">IF(I136="","",IF(COUNTIFS(AwardsData[Award ID],J136)=1,INDEX(AwardsData[Performance state],MATCH(J136,AwardsData[Award ID],0)),"Unlinked"))</f>
        <v>Virginia</v>
      </c>
      <c r="Z136" s="57" t="n">
        <f aca="false">IF(AND(V136=1,OR(Dashboard!$AB$2="All",K136=Dashboard!$AB$2),OR(Dashboard!$AB$3="All",L136=Dashboard!$AB$3),OR(Dashboard!$N$10="All",W136=Dashboard!$N$10)),1,0)</f>
        <v>1</v>
      </c>
      <c r="AA136" s="57" t="n">
        <f aca="false">IF(AND(Z136=1,OR(Dashboard!$B$7="All",S136=Dashboard!$B$7)),1,0)</f>
        <v>1</v>
      </c>
      <c r="AB136" s="57" t="n">
        <f aca="false">IF(AND(V136=1,F136&lt;&gt;0),1,0)</f>
        <v>1</v>
      </c>
      <c r="AC136" s="57" t="n">
        <f aca="false">IF(AND(AA136=1,AB136=1),IF(COUNTIFS($J$17:J136,J136,$AA$17:AA136,1,$AB$17:AB136,1)=1,1,0),0)</f>
        <v>1</v>
      </c>
      <c r="AD136" s="57" t="n">
        <f aca="false">IF(AND(AA136=1,AB136=1),IF(COUNTIFS($K$17:K136,K136,$AA$17:AA136,1,$AB$17:AB136,1)=1,1,0),0)</f>
        <v>0</v>
      </c>
      <c r="AE136" s="57" t="n">
        <f aca="false">IF(AND(Z136=1,AB136=1),IF(COUNTIFS($J$17:J136,J136,$S$17:S136,S136,$Z$17:Z136,1,$AB$17:AB136,1)=1,1,0),0)</f>
        <v>1</v>
      </c>
      <c r="AF136" s="57" t="n">
        <f aca="false">IF(AND(Z136=1,AB136=1),IF(COUNTIFS($K$17:K136,K136,$S$17:S136,S136,$Z$17:Z136,1,$AB$17:AB136,1)=1,1,0),0)</f>
        <v>0</v>
      </c>
      <c r="AG136" s="57" t="n">
        <f aca="false">IF(AND(AA136=1,AB136=1),IF(COUNTIFS($J$17:J136,J136,$L$17:L136,L136,$AA$17:AA136,1,$AB$17:AB136,1)=1,1,0),0)</f>
        <v>1</v>
      </c>
      <c r="AH136" s="57" t="n">
        <f aca="false">IF(AND(AA136=1,AB136=1),IF(COUNTIFS($J$17:J136,J136,$K$17:K136,K136,$AA$17:AA136,1,$AB$17:AB136,1)=1,1,0),0)</f>
        <v>1</v>
      </c>
      <c r="AI136" s="56" t="n">
        <f aca="false">IF(V136=1,MAX(F136,0),0)</f>
        <v>53750</v>
      </c>
      <c r="AJ136" s="56" t="n">
        <f aca="false">IF(V136=1,MIN(F136,0),0)</f>
        <v>0</v>
      </c>
    </row>
    <row r="137" customFormat="false" ht="40" hidden="false" customHeight="true" outlineLevel="0" collapsed="false">
      <c r="A137" s="66" t="n">
        <v>45601</v>
      </c>
      <c r="B137" s="54" t="str">
        <f aca="false">IF(M137="","",IF(P137="",M137,HYPERLINK(P137,M137)))</f>
        <v>49100424A0001-49100424F0052</v>
      </c>
      <c r="C137" s="54" t="str">
        <f aca="false">IF(N137="","",IF(Q137="",N137,HYPERLINK(Q137,N137)))</f>
        <v>Spatial Front Inc.</v>
      </c>
      <c r="D137" s="60" t="s">
        <v>166</v>
      </c>
      <c r="E137" s="54" t="str">
        <f aca="false">IF(O137="","",IF(R137="",O137,HYPERLINK(R137,O137)))</f>
        <v>Division of Information Systems</v>
      </c>
      <c r="F137" s="62" t="n">
        <v>379000</v>
      </c>
      <c r="G137" s="61" t="s">
        <v>464</v>
      </c>
      <c r="H137" s="58"/>
      <c r="I137" s="58" t="s">
        <v>588</v>
      </c>
      <c r="J137" s="58" t="s">
        <v>370</v>
      </c>
      <c r="K137" s="58" t="s">
        <v>164</v>
      </c>
      <c r="L137" s="58" t="s">
        <v>197</v>
      </c>
      <c r="M137" s="58" t="s">
        <v>371</v>
      </c>
      <c r="N137" s="58" t="s">
        <v>165</v>
      </c>
      <c r="O137" s="58" t="s">
        <v>198</v>
      </c>
      <c r="P137" s="58" t="s">
        <v>372</v>
      </c>
      <c r="Q137" s="58" t="s">
        <v>167</v>
      </c>
      <c r="R137" s="58" t="s">
        <v>200</v>
      </c>
      <c r="S137" s="57" t="n">
        <f aca="false">IF(ISNUMBER(A137),YEAR(A137)+IF(MONTH(A137)&gt;=10,1,0),"")</f>
        <v>2025</v>
      </c>
      <c r="T137" s="57" t="n">
        <f aca="false">IF(ISNUMBER(A137),INT(MOD(MONTH(A137)-10,12)/3)+1,"")</f>
        <v>1</v>
      </c>
      <c r="U137" s="57" t="str">
        <f aca="false">IF(AND(I137&lt;&gt;"",D137&lt;&gt;"",OR(COUNTIFS(TransactionsData[Vendor ID],K137,TransactionsData[UEI],"&lt;&gt;"&amp;D137,TransactionsData[UEI],"?*")&gt;0,COUNTIFS(VendorGroups[Record ID],K137,VendorGroups[Source UEI],"&lt;&gt;"&amp;D137,VendorGroups[Source UEI],"?*")&gt;0)),"Conflicting vendor UEIs",IF(I137="",IF(COUNTA(A137,D137,F137:R137)&gt;0,"Missing transaction ID",""),IF(COUNTIFS(TransactionsData[Transaction ID],I137)&lt;&gt;1,"Duplicate transaction ID",IF(OR(NOT(ISNUMBER(A137)),A137&lt;1,A137&gt;DATE(2099,1,1)),"Use a valid date",IF(OR(A137&lt;$B$4,A137&gt;$D$4),"Outside coverage",IF(NOT(ISNUMBER(F137)),"Missing or invalid amount",IF(OR(K137="",L137="",N137=""),"Add vendor and office identities",IF(G137="Exclude",IF(OR(F137&lt;&gt;0,H137=""),"Review nonzero or unexplained exclusion",""),IF(G137&lt;&gt;"Include","Choose Include or Exclude",IF(COUNTIFS(AwardsData[Award ID],J137)&lt;&gt;1,"Award link needs review",IF(INDEX(AwardsData[Input check],MATCH(J137,AwardsData[Award ID],0))&lt;&gt;"","Check award inputs","")))))))))))</f>
        <v/>
      </c>
      <c r="V137" s="57" t="n">
        <f aca="false">IF(AND(I137&lt;&gt;"",U137="",G137="Include"),1,0)</f>
        <v>1</v>
      </c>
      <c r="W137" s="57" t="str">
        <f aca="false">IF(I137="","",IF(COUNTIFS(AwardsData[Award ID],J137)=1,INDEX(AwardsData[Current award type],MATCH(J137,AwardsData[Award ID],0)),"Unlinked"))</f>
        <v>BPA Call</v>
      </c>
      <c r="X137" s="57" t="str">
        <f aca="false">IF(I137="","",IF(COUNTIFS(AwardsData[Award ID],J137)=1,INDEX(AwardsData[Current set-aside],MATCH(J137,AwardsData[Award ID],0)),"Unlinked"))</f>
        <v>No Set-Aside Used</v>
      </c>
      <c r="Y137" s="57" t="str">
        <f aca="false">IF(I137="","",IF(COUNTIFS(AwardsData[Award ID],J137)=1,INDEX(AwardsData[Performance state],MATCH(J137,AwardsData[Award ID],0)),"Unlinked"))</f>
        <v>Virginia</v>
      </c>
      <c r="Z137" s="57" t="n">
        <f aca="false">IF(AND(V137=1,OR(Dashboard!$AB$2="All",K137=Dashboard!$AB$2),OR(Dashboard!$AB$3="All",L137=Dashboard!$AB$3),OR(Dashboard!$N$10="All",W137=Dashboard!$N$10)),1,0)</f>
        <v>1</v>
      </c>
      <c r="AA137" s="57" t="n">
        <f aca="false">IF(AND(Z137=1,OR(Dashboard!$B$7="All",S137=Dashboard!$B$7)),1,0)</f>
        <v>1</v>
      </c>
      <c r="AB137" s="57" t="n">
        <f aca="false">IF(AND(V137=1,F137&lt;&gt;0),1,0)</f>
        <v>1</v>
      </c>
      <c r="AC137" s="57" t="n">
        <f aca="false">IF(AND(AA137=1,AB137=1),IF(COUNTIFS($J$17:J137,J137,$AA$17:AA137,1,$AB$17:AB137,1)=1,1,0),0)</f>
        <v>0</v>
      </c>
      <c r="AD137" s="57" t="n">
        <f aca="false">IF(AND(AA137=1,AB137=1),IF(COUNTIFS($K$17:K137,K137,$AA$17:AA137,1,$AB$17:AB137,1)=1,1,0),0)</f>
        <v>0</v>
      </c>
      <c r="AE137" s="57" t="n">
        <f aca="false">IF(AND(Z137=1,AB137=1),IF(COUNTIFS($J$17:J137,J137,$S$17:S137,S137,$Z$17:Z137,1,$AB$17:AB137,1)=1,1,0),0)</f>
        <v>0</v>
      </c>
      <c r="AF137" s="57" t="n">
        <f aca="false">IF(AND(Z137=1,AB137=1),IF(COUNTIFS($K$17:K137,K137,$S$17:S137,S137,$Z$17:Z137,1,$AB$17:AB137,1)=1,1,0),0)</f>
        <v>0</v>
      </c>
      <c r="AG137" s="57" t="n">
        <f aca="false">IF(AND(AA137=1,AB137=1),IF(COUNTIFS($J$17:J137,J137,$L$17:L137,L137,$AA$17:AA137,1,$AB$17:AB137,1)=1,1,0),0)</f>
        <v>0</v>
      </c>
      <c r="AH137" s="57" t="n">
        <f aca="false">IF(AND(AA137=1,AB137=1),IF(COUNTIFS($J$17:J137,J137,$K$17:K137,K137,$AA$17:AA137,1,$AB$17:AB137,1)=1,1,0),0)</f>
        <v>0</v>
      </c>
      <c r="AI137" s="56" t="n">
        <f aca="false">IF(V137=1,MAX(F137,0),0)</f>
        <v>379000</v>
      </c>
      <c r="AJ137" s="56" t="n">
        <f aca="false">IF(V137=1,MIN(F137,0),0)</f>
        <v>0</v>
      </c>
    </row>
    <row r="138" customFormat="false" ht="40" hidden="false" customHeight="true" outlineLevel="0" collapsed="false">
      <c r="A138" s="66" t="n">
        <v>45608</v>
      </c>
      <c r="B138" s="54" t="str">
        <f aca="false">IF(M138="","",IF(P138="",M138,HYPERLINK(P138,M138)))</f>
        <v>47QTCK18D0004-49100424F0001</v>
      </c>
      <c r="C138" s="54" t="str">
        <f aca="false">IF(N138="","",IF(Q138="",N138,HYPERLINK(Q138,N138)))</f>
        <v>Booz Allen Hamilton Inc.</v>
      </c>
      <c r="D138" s="60" t="s">
        <v>111</v>
      </c>
      <c r="E138" s="54" t="str">
        <f aca="false">IF(O138="","",IF(R138="",O138,HYPERLINK(R138,O138)))</f>
        <v>NSF — office not specified</v>
      </c>
      <c r="F138" s="62" t="n">
        <v>0</v>
      </c>
      <c r="G138" s="61" t="s">
        <v>464</v>
      </c>
      <c r="H138" s="58"/>
      <c r="I138" s="58" t="s">
        <v>589</v>
      </c>
      <c r="J138" s="58" t="s">
        <v>297</v>
      </c>
      <c r="K138" s="58" t="s">
        <v>109</v>
      </c>
      <c r="L138" s="58" t="s">
        <v>213</v>
      </c>
      <c r="M138" s="58" t="s">
        <v>298</v>
      </c>
      <c r="N138" s="58" t="s">
        <v>110</v>
      </c>
      <c r="O138" s="58" t="s">
        <v>214</v>
      </c>
      <c r="P138" s="58" t="s">
        <v>299</v>
      </c>
      <c r="Q138" s="58" t="s">
        <v>112</v>
      </c>
      <c r="R138" s="58" t="s">
        <v>215</v>
      </c>
      <c r="S138" s="57" t="n">
        <f aca="false">IF(ISNUMBER(A138),YEAR(A138)+IF(MONTH(A138)&gt;=10,1,0),"")</f>
        <v>2025</v>
      </c>
      <c r="T138" s="57" t="n">
        <f aca="false">IF(ISNUMBER(A138),INT(MOD(MONTH(A138)-10,12)/3)+1,"")</f>
        <v>1</v>
      </c>
      <c r="U138" s="57" t="str">
        <f aca="false">IF(AND(I138&lt;&gt;"",D138&lt;&gt;"",OR(COUNTIFS(TransactionsData[Vendor ID],K138,TransactionsData[UEI],"&lt;&gt;"&amp;D138,TransactionsData[UEI],"?*")&gt;0,COUNTIFS(VendorGroups[Record ID],K138,VendorGroups[Source UEI],"&lt;&gt;"&amp;D138,VendorGroups[Source UEI],"?*")&gt;0)),"Conflicting vendor UEIs",IF(I138="",IF(COUNTA(A138,D138,F138:R138)&gt;0,"Missing transaction ID",""),IF(COUNTIFS(TransactionsData[Transaction ID],I138)&lt;&gt;1,"Duplicate transaction ID",IF(OR(NOT(ISNUMBER(A138)),A138&lt;1,A138&gt;DATE(2099,1,1)),"Use a valid date",IF(OR(A138&lt;$B$4,A138&gt;$D$4),"Outside coverage",IF(NOT(ISNUMBER(F138)),"Missing or invalid amount",IF(OR(K138="",L138="",N138=""),"Add vendor and office identities",IF(G138="Exclude",IF(OR(F138&lt;&gt;0,H138=""),"Review nonzero or unexplained exclusion",""),IF(G138&lt;&gt;"Include","Choose Include or Exclude",IF(COUNTIFS(AwardsData[Award ID],J138)&lt;&gt;1,"Award link needs review",IF(INDEX(AwardsData[Input check],MATCH(J138,AwardsData[Award ID],0))&lt;&gt;"","Check award inputs","")))))))))))</f>
        <v/>
      </c>
      <c r="V138" s="57" t="n">
        <f aca="false">IF(AND(I138&lt;&gt;"",U138="",G138="Include"),1,0)</f>
        <v>1</v>
      </c>
      <c r="W138" s="57" t="str">
        <f aca="false">IF(I138="","",IF(COUNTIFS(AwardsData[Award ID],J138)=1,INDEX(AwardsData[Current award type],MATCH(J138,AwardsData[Award ID],0)),"Unlinked"))</f>
        <v>Delivery Order</v>
      </c>
      <c r="X138" s="57" t="str">
        <f aca="false">IF(I138="","",IF(COUNTIFS(AwardsData[Award ID],J138)=1,INDEX(AwardsData[Current set-aside],MATCH(J138,AwardsData[Award ID],0)),"Unlinked"))</f>
        <v>No Set-Aside Used</v>
      </c>
      <c r="Y138" s="57" t="str">
        <f aca="false">IF(I138="","",IF(COUNTIFS(AwardsData[Award ID],J138)=1,INDEX(AwardsData[Performance state],MATCH(J138,AwardsData[Award ID],0)),"Unlinked"))</f>
        <v>Virginia</v>
      </c>
      <c r="Z138" s="57" t="n">
        <f aca="false">IF(AND(V138=1,OR(Dashboard!$AB$2="All",K138=Dashboard!$AB$2),OR(Dashboard!$AB$3="All",L138=Dashboard!$AB$3),OR(Dashboard!$N$10="All",W138=Dashboard!$N$10)),1,0)</f>
        <v>1</v>
      </c>
      <c r="AA138" s="57" t="n">
        <f aca="false">IF(AND(Z138=1,OR(Dashboard!$B$7="All",S138=Dashboard!$B$7)),1,0)</f>
        <v>1</v>
      </c>
      <c r="AB138" s="57" t="n">
        <f aca="false">IF(AND(V138=1,F138&lt;&gt;0),1,0)</f>
        <v>0</v>
      </c>
      <c r="AC138" s="57" t="n">
        <f aca="false">IF(AND(AA138=1,AB138=1),IF(COUNTIFS($J$17:J138,J138,$AA$17:AA138,1,$AB$17:AB138,1)=1,1,0),0)</f>
        <v>0</v>
      </c>
      <c r="AD138" s="57" t="n">
        <f aca="false">IF(AND(AA138=1,AB138=1),IF(COUNTIFS($K$17:K138,K138,$AA$17:AA138,1,$AB$17:AB138,1)=1,1,0),0)</f>
        <v>0</v>
      </c>
      <c r="AE138" s="57" t="n">
        <f aca="false">IF(AND(Z138=1,AB138=1),IF(COUNTIFS($J$17:J138,J138,$S$17:S138,S138,$Z$17:Z138,1,$AB$17:AB138,1)=1,1,0),0)</f>
        <v>0</v>
      </c>
      <c r="AF138" s="57" t="n">
        <f aca="false">IF(AND(Z138=1,AB138=1),IF(COUNTIFS($K$17:K138,K138,$S$17:S138,S138,$Z$17:Z138,1,$AB$17:AB138,1)=1,1,0),0)</f>
        <v>0</v>
      </c>
      <c r="AG138" s="57" t="n">
        <f aca="false">IF(AND(AA138=1,AB138=1),IF(COUNTIFS($J$17:J138,J138,$L$17:L138,L138,$AA$17:AA138,1,$AB$17:AB138,1)=1,1,0),0)</f>
        <v>0</v>
      </c>
      <c r="AH138" s="57" t="n">
        <f aca="false">IF(AND(AA138=1,AB138=1),IF(COUNTIFS($J$17:J138,J138,$K$17:K138,K138,$AA$17:AA138,1,$AB$17:AB138,1)=1,1,0),0)</f>
        <v>0</v>
      </c>
      <c r="AI138" s="56" t="n">
        <f aca="false">IF(V138=1,MAX(F138,0),0)</f>
        <v>0</v>
      </c>
      <c r="AJ138" s="56" t="n">
        <f aca="false">IF(V138=1,MIN(F138,0),0)</f>
        <v>0</v>
      </c>
    </row>
    <row r="139" customFormat="false" ht="40" hidden="false" customHeight="true" outlineLevel="0" collapsed="false">
      <c r="A139" s="66" t="n">
        <v>45614</v>
      </c>
      <c r="B139" s="54" t="str">
        <f aca="false">IF(M139="","",IF(P139="",M139,HYPERLINK(P139,M139)))</f>
        <v>47QTCK18D0004-49100424F0001</v>
      </c>
      <c r="C139" s="54" t="str">
        <f aca="false">IF(N139="","",IF(Q139="",N139,HYPERLINK(Q139,N139)))</f>
        <v>Booz Allen Hamilton Inc.</v>
      </c>
      <c r="D139" s="60" t="s">
        <v>111</v>
      </c>
      <c r="E139" s="54" t="str">
        <f aca="false">IF(O139="","",IF(R139="",O139,HYPERLINK(R139,O139)))</f>
        <v>NSF — office not specified</v>
      </c>
      <c r="F139" s="62" t="n">
        <v>0</v>
      </c>
      <c r="G139" s="61" t="s">
        <v>464</v>
      </c>
      <c r="H139" s="58"/>
      <c r="I139" s="58" t="s">
        <v>590</v>
      </c>
      <c r="J139" s="58" t="s">
        <v>297</v>
      </c>
      <c r="K139" s="58" t="s">
        <v>109</v>
      </c>
      <c r="L139" s="58" t="s">
        <v>213</v>
      </c>
      <c r="M139" s="58" t="s">
        <v>298</v>
      </c>
      <c r="N139" s="58" t="s">
        <v>110</v>
      </c>
      <c r="O139" s="58" t="s">
        <v>214</v>
      </c>
      <c r="P139" s="58" t="s">
        <v>299</v>
      </c>
      <c r="Q139" s="58" t="s">
        <v>112</v>
      </c>
      <c r="R139" s="58" t="s">
        <v>215</v>
      </c>
      <c r="S139" s="57" t="n">
        <f aca="false">IF(ISNUMBER(A139),YEAR(A139)+IF(MONTH(A139)&gt;=10,1,0),"")</f>
        <v>2025</v>
      </c>
      <c r="T139" s="57" t="n">
        <f aca="false">IF(ISNUMBER(A139),INT(MOD(MONTH(A139)-10,12)/3)+1,"")</f>
        <v>1</v>
      </c>
      <c r="U139" s="57" t="str">
        <f aca="false">IF(AND(I139&lt;&gt;"",D139&lt;&gt;"",OR(COUNTIFS(TransactionsData[Vendor ID],K139,TransactionsData[UEI],"&lt;&gt;"&amp;D139,TransactionsData[UEI],"?*")&gt;0,COUNTIFS(VendorGroups[Record ID],K139,VendorGroups[Source UEI],"&lt;&gt;"&amp;D139,VendorGroups[Source UEI],"?*")&gt;0)),"Conflicting vendor UEIs",IF(I139="",IF(COUNTA(A139,D139,F139:R139)&gt;0,"Missing transaction ID",""),IF(COUNTIFS(TransactionsData[Transaction ID],I139)&lt;&gt;1,"Duplicate transaction ID",IF(OR(NOT(ISNUMBER(A139)),A139&lt;1,A139&gt;DATE(2099,1,1)),"Use a valid date",IF(OR(A139&lt;$B$4,A139&gt;$D$4),"Outside coverage",IF(NOT(ISNUMBER(F139)),"Missing or invalid amount",IF(OR(K139="",L139="",N139=""),"Add vendor and office identities",IF(G139="Exclude",IF(OR(F139&lt;&gt;0,H139=""),"Review nonzero or unexplained exclusion",""),IF(G139&lt;&gt;"Include","Choose Include or Exclude",IF(COUNTIFS(AwardsData[Award ID],J139)&lt;&gt;1,"Award link needs review",IF(INDEX(AwardsData[Input check],MATCH(J139,AwardsData[Award ID],0))&lt;&gt;"","Check award inputs","")))))))))))</f>
        <v/>
      </c>
      <c r="V139" s="57" t="n">
        <f aca="false">IF(AND(I139&lt;&gt;"",U139="",G139="Include"),1,0)</f>
        <v>1</v>
      </c>
      <c r="W139" s="57" t="str">
        <f aca="false">IF(I139="","",IF(COUNTIFS(AwardsData[Award ID],J139)=1,INDEX(AwardsData[Current award type],MATCH(J139,AwardsData[Award ID],0)),"Unlinked"))</f>
        <v>Delivery Order</v>
      </c>
      <c r="X139" s="57" t="str">
        <f aca="false">IF(I139="","",IF(COUNTIFS(AwardsData[Award ID],J139)=1,INDEX(AwardsData[Current set-aside],MATCH(J139,AwardsData[Award ID],0)),"Unlinked"))</f>
        <v>No Set-Aside Used</v>
      </c>
      <c r="Y139" s="57" t="str">
        <f aca="false">IF(I139="","",IF(COUNTIFS(AwardsData[Award ID],J139)=1,INDEX(AwardsData[Performance state],MATCH(J139,AwardsData[Award ID],0)),"Unlinked"))</f>
        <v>Virginia</v>
      </c>
      <c r="Z139" s="57" t="n">
        <f aca="false">IF(AND(V139=1,OR(Dashboard!$AB$2="All",K139=Dashboard!$AB$2),OR(Dashboard!$AB$3="All",L139=Dashboard!$AB$3),OR(Dashboard!$N$10="All",W139=Dashboard!$N$10)),1,0)</f>
        <v>1</v>
      </c>
      <c r="AA139" s="57" t="n">
        <f aca="false">IF(AND(Z139=1,OR(Dashboard!$B$7="All",S139=Dashboard!$B$7)),1,0)</f>
        <v>1</v>
      </c>
      <c r="AB139" s="57" t="n">
        <f aca="false">IF(AND(V139=1,F139&lt;&gt;0),1,0)</f>
        <v>0</v>
      </c>
      <c r="AC139" s="57" t="n">
        <f aca="false">IF(AND(AA139=1,AB139=1),IF(COUNTIFS($J$17:J139,J139,$AA$17:AA139,1,$AB$17:AB139,1)=1,1,0),0)</f>
        <v>0</v>
      </c>
      <c r="AD139" s="57" t="n">
        <f aca="false">IF(AND(AA139=1,AB139=1),IF(COUNTIFS($K$17:K139,K139,$AA$17:AA139,1,$AB$17:AB139,1)=1,1,0),0)</f>
        <v>0</v>
      </c>
      <c r="AE139" s="57" t="n">
        <f aca="false">IF(AND(Z139=1,AB139=1),IF(COUNTIFS($J$17:J139,J139,$S$17:S139,S139,$Z$17:Z139,1,$AB$17:AB139,1)=1,1,0),0)</f>
        <v>0</v>
      </c>
      <c r="AF139" s="57" t="n">
        <f aca="false">IF(AND(Z139=1,AB139=1),IF(COUNTIFS($K$17:K139,K139,$S$17:S139,S139,$Z$17:Z139,1,$AB$17:AB139,1)=1,1,0),0)</f>
        <v>0</v>
      </c>
      <c r="AG139" s="57" t="n">
        <f aca="false">IF(AND(AA139=1,AB139=1),IF(COUNTIFS($J$17:J139,J139,$L$17:L139,L139,$AA$17:AA139,1,$AB$17:AB139,1)=1,1,0),0)</f>
        <v>0</v>
      </c>
      <c r="AH139" s="57" t="n">
        <f aca="false">IF(AND(AA139=1,AB139=1),IF(COUNTIFS($J$17:J139,J139,$K$17:K139,K139,$AA$17:AA139,1,$AB$17:AB139,1)=1,1,0),0)</f>
        <v>0</v>
      </c>
      <c r="AI139" s="56" t="n">
        <f aca="false">IF(V139=1,MAX(F139,0),0)</f>
        <v>0</v>
      </c>
      <c r="AJ139" s="56" t="n">
        <f aca="false">IF(V139=1,MIN(F139,0),0)</f>
        <v>0</v>
      </c>
    </row>
    <row r="140" customFormat="false" ht="40" hidden="false" customHeight="true" outlineLevel="0" collapsed="false">
      <c r="A140" s="66" t="n">
        <v>45615</v>
      </c>
      <c r="B140" s="54" t="str">
        <f aca="false">IF(M140="","",IF(P140="",M140,HYPERLINK(P140,M140)))</f>
        <v>49100424A0001-49100424F0030</v>
      </c>
      <c r="C140" s="54" t="str">
        <f aca="false">IF(N140="","",IF(Q140="",N140,HYPERLINK(Q140,N140)))</f>
        <v>Spatial Front Inc.</v>
      </c>
      <c r="D140" s="60" t="s">
        <v>166</v>
      </c>
      <c r="E140" s="54" t="str">
        <f aca="false">IF(O140="","",IF(R140="",O140,HYPERLINK(R140,O140)))</f>
        <v>NSF — office not specified</v>
      </c>
      <c r="F140" s="62" t="n">
        <v>109500</v>
      </c>
      <c r="G140" s="61" t="s">
        <v>464</v>
      </c>
      <c r="H140" s="58"/>
      <c r="I140" s="58" t="s">
        <v>591</v>
      </c>
      <c r="J140" s="58" t="s">
        <v>364</v>
      </c>
      <c r="K140" s="58" t="s">
        <v>164</v>
      </c>
      <c r="L140" s="58" t="s">
        <v>213</v>
      </c>
      <c r="M140" s="58" t="s">
        <v>365</v>
      </c>
      <c r="N140" s="58" t="s">
        <v>165</v>
      </c>
      <c r="O140" s="58" t="s">
        <v>214</v>
      </c>
      <c r="P140" s="58" t="s">
        <v>366</v>
      </c>
      <c r="Q140" s="58" t="s">
        <v>167</v>
      </c>
      <c r="R140" s="58" t="s">
        <v>215</v>
      </c>
      <c r="S140" s="57" t="n">
        <f aca="false">IF(ISNUMBER(A140),YEAR(A140)+IF(MONTH(A140)&gt;=10,1,0),"")</f>
        <v>2025</v>
      </c>
      <c r="T140" s="57" t="n">
        <f aca="false">IF(ISNUMBER(A140),INT(MOD(MONTH(A140)-10,12)/3)+1,"")</f>
        <v>1</v>
      </c>
      <c r="U140" s="57" t="str">
        <f aca="false">IF(AND(I140&lt;&gt;"",D140&lt;&gt;"",OR(COUNTIFS(TransactionsData[Vendor ID],K140,TransactionsData[UEI],"&lt;&gt;"&amp;D140,TransactionsData[UEI],"?*")&gt;0,COUNTIFS(VendorGroups[Record ID],K140,VendorGroups[Source UEI],"&lt;&gt;"&amp;D140,VendorGroups[Source UEI],"?*")&gt;0)),"Conflicting vendor UEIs",IF(I140="",IF(COUNTA(A140,D140,F140:R140)&gt;0,"Missing transaction ID",""),IF(COUNTIFS(TransactionsData[Transaction ID],I140)&lt;&gt;1,"Duplicate transaction ID",IF(OR(NOT(ISNUMBER(A140)),A140&lt;1,A140&gt;DATE(2099,1,1)),"Use a valid date",IF(OR(A140&lt;$B$4,A140&gt;$D$4),"Outside coverage",IF(NOT(ISNUMBER(F140)),"Missing or invalid amount",IF(OR(K140="",L140="",N140=""),"Add vendor and office identities",IF(G140="Exclude",IF(OR(F140&lt;&gt;0,H140=""),"Review nonzero or unexplained exclusion",""),IF(G140&lt;&gt;"Include","Choose Include or Exclude",IF(COUNTIFS(AwardsData[Award ID],J140)&lt;&gt;1,"Award link needs review",IF(INDEX(AwardsData[Input check],MATCH(J140,AwardsData[Award ID],0))&lt;&gt;"","Check award inputs","")))))))))))</f>
        <v/>
      </c>
      <c r="V140" s="57" t="n">
        <f aca="false">IF(AND(I140&lt;&gt;"",U140="",G140="Include"),1,0)</f>
        <v>1</v>
      </c>
      <c r="W140" s="57" t="str">
        <f aca="false">IF(I140="","",IF(COUNTIFS(AwardsData[Award ID],J140)=1,INDEX(AwardsData[Current award type],MATCH(J140,AwardsData[Award ID],0)),"Unlinked"))</f>
        <v>BPA Call</v>
      </c>
      <c r="X140" s="57" t="str">
        <f aca="false">IF(I140="","",IF(COUNTIFS(AwardsData[Award ID],J140)=1,INDEX(AwardsData[Current set-aside],MATCH(J140,AwardsData[Award ID],0)),"Unlinked"))</f>
        <v>No Set-Aside Used</v>
      </c>
      <c r="Y140" s="57" t="str">
        <f aca="false">IF(I140="","",IF(COUNTIFS(AwardsData[Award ID],J140)=1,INDEX(AwardsData[Performance state],MATCH(J140,AwardsData[Award ID],0)),"Unlinked"))</f>
        <v>Virginia</v>
      </c>
      <c r="Z140" s="57" t="n">
        <f aca="false">IF(AND(V140=1,OR(Dashboard!$AB$2="All",K140=Dashboard!$AB$2),OR(Dashboard!$AB$3="All",L140=Dashboard!$AB$3),OR(Dashboard!$N$10="All",W140=Dashboard!$N$10)),1,0)</f>
        <v>1</v>
      </c>
      <c r="AA140" s="57" t="n">
        <f aca="false">IF(AND(Z140=1,OR(Dashboard!$B$7="All",S140=Dashboard!$B$7)),1,0)</f>
        <v>1</v>
      </c>
      <c r="AB140" s="57" t="n">
        <f aca="false">IF(AND(V140=1,F140&lt;&gt;0),1,0)</f>
        <v>1</v>
      </c>
      <c r="AC140" s="57" t="n">
        <f aca="false">IF(AND(AA140=1,AB140=1),IF(COUNTIFS($J$17:J140,J140,$AA$17:AA140,1,$AB$17:AB140,1)=1,1,0),0)</f>
        <v>1</v>
      </c>
      <c r="AD140" s="57" t="n">
        <f aca="false">IF(AND(AA140=1,AB140=1),IF(COUNTIFS($K$17:K140,K140,$AA$17:AA140,1,$AB$17:AB140,1)=1,1,0),0)</f>
        <v>0</v>
      </c>
      <c r="AE140" s="57" t="n">
        <f aca="false">IF(AND(Z140=1,AB140=1),IF(COUNTIFS($J$17:J140,J140,$S$17:S140,S140,$Z$17:Z140,1,$AB$17:AB140,1)=1,1,0),0)</f>
        <v>1</v>
      </c>
      <c r="AF140" s="57" t="n">
        <f aca="false">IF(AND(Z140=1,AB140=1),IF(COUNTIFS($K$17:K140,K140,$S$17:S140,S140,$Z$17:Z140,1,$AB$17:AB140,1)=1,1,0),0)</f>
        <v>0</v>
      </c>
      <c r="AG140" s="57" t="n">
        <f aca="false">IF(AND(AA140=1,AB140=1),IF(COUNTIFS($J$17:J140,J140,$L$17:L140,L140,$AA$17:AA140,1,$AB$17:AB140,1)=1,1,0),0)</f>
        <v>1</v>
      </c>
      <c r="AH140" s="57" t="n">
        <f aca="false">IF(AND(AA140=1,AB140=1),IF(COUNTIFS($J$17:J140,J140,$K$17:K140,K140,$AA$17:AA140,1,$AB$17:AB140,1)=1,1,0),0)</f>
        <v>1</v>
      </c>
      <c r="AI140" s="56" t="n">
        <f aca="false">IF(V140=1,MAX(F140,0),0)</f>
        <v>109500</v>
      </c>
      <c r="AJ140" s="56" t="n">
        <f aca="false">IF(V140=1,MIN(F140,0),0)</f>
        <v>0</v>
      </c>
    </row>
    <row r="141" customFormat="false" ht="40" hidden="false" customHeight="true" outlineLevel="0" collapsed="false">
      <c r="A141" s="66" t="n">
        <v>45616</v>
      </c>
      <c r="B141" s="54" t="str">
        <f aca="false">IF(M141="","",IF(P141="",M141,HYPERLINK(P141,M141)))</f>
        <v>49100424A0001-49100424F0246</v>
      </c>
      <c r="C141" s="54" t="str">
        <f aca="false">IF(N141="","",IF(Q141="",N141,HYPERLINK(Q141,N141)))</f>
        <v>Spatial Front Inc.</v>
      </c>
      <c r="D141" s="60" t="s">
        <v>166</v>
      </c>
      <c r="E141" s="54" t="str">
        <f aca="false">IF(O141="","",IF(R141="",O141,HYPERLINK(R141,O141)))</f>
        <v>Division of Information Systems</v>
      </c>
      <c r="F141" s="62" t="n">
        <v>0</v>
      </c>
      <c r="G141" s="61" t="s">
        <v>464</v>
      </c>
      <c r="H141" s="58"/>
      <c r="I141" s="58" t="s">
        <v>592</v>
      </c>
      <c r="J141" s="58" t="s">
        <v>386</v>
      </c>
      <c r="K141" s="58" t="s">
        <v>164</v>
      </c>
      <c r="L141" s="58" t="s">
        <v>197</v>
      </c>
      <c r="M141" s="58" t="s">
        <v>387</v>
      </c>
      <c r="N141" s="58" t="s">
        <v>165</v>
      </c>
      <c r="O141" s="58" t="s">
        <v>198</v>
      </c>
      <c r="P141" s="58" t="s">
        <v>388</v>
      </c>
      <c r="Q141" s="58" t="s">
        <v>167</v>
      </c>
      <c r="R141" s="58" t="s">
        <v>200</v>
      </c>
      <c r="S141" s="57" t="n">
        <f aca="false">IF(ISNUMBER(A141),YEAR(A141)+IF(MONTH(A141)&gt;=10,1,0),"")</f>
        <v>2025</v>
      </c>
      <c r="T141" s="57" t="n">
        <f aca="false">IF(ISNUMBER(A141),INT(MOD(MONTH(A141)-10,12)/3)+1,"")</f>
        <v>1</v>
      </c>
      <c r="U141" s="57" t="str">
        <f aca="false">IF(AND(I141&lt;&gt;"",D141&lt;&gt;"",OR(COUNTIFS(TransactionsData[Vendor ID],K141,TransactionsData[UEI],"&lt;&gt;"&amp;D141,TransactionsData[UEI],"?*")&gt;0,COUNTIFS(VendorGroups[Record ID],K141,VendorGroups[Source UEI],"&lt;&gt;"&amp;D141,VendorGroups[Source UEI],"?*")&gt;0)),"Conflicting vendor UEIs",IF(I141="",IF(COUNTA(A141,D141,F141:R141)&gt;0,"Missing transaction ID",""),IF(COUNTIFS(TransactionsData[Transaction ID],I141)&lt;&gt;1,"Duplicate transaction ID",IF(OR(NOT(ISNUMBER(A141)),A141&lt;1,A141&gt;DATE(2099,1,1)),"Use a valid date",IF(OR(A141&lt;$B$4,A141&gt;$D$4),"Outside coverage",IF(NOT(ISNUMBER(F141)),"Missing or invalid amount",IF(OR(K141="",L141="",N141=""),"Add vendor and office identities",IF(G141="Exclude",IF(OR(F141&lt;&gt;0,H141=""),"Review nonzero or unexplained exclusion",""),IF(G141&lt;&gt;"Include","Choose Include or Exclude",IF(COUNTIFS(AwardsData[Award ID],J141)&lt;&gt;1,"Award link needs review",IF(INDEX(AwardsData[Input check],MATCH(J141,AwardsData[Award ID],0))&lt;&gt;"","Check award inputs","")))))))))))</f>
        <v/>
      </c>
      <c r="V141" s="57" t="n">
        <f aca="false">IF(AND(I141&lt;&gt;"",U141="",G141="Include"),1,0)</f>
        <v>1</v>
      </c>
      <c r="W141" s="57" t="str">
        <f aca="false">IF(I141="","",IF(COUNTIFS(AwardsData[Award ID],J141)=1,INDEX(AwardsData[Current award type],MATCH(J141,AwardsData[Award ID],0)),"Unlinked"))</f>
        <v>BPA Call</v>
      </c>
      <c r="X141" s="57" t="str">
        <f aca="false">IF(I141="","",IF(COUNTIFS(AwardsData[Award ID],J141)=1,INDEX(AwardsData[Current set-aside],MATCH(J141,AwardsData[Award ID],0)),"Unlinked"))</f>
        <v>No Set-Aside Used</v>
      </c>
      <c r="Y141" s="57" t="str">
        <f aca="false">IF(I141="","",IF(COUNTIFS(AwardsData[Award ID],J141)=1,INDEX(AwardsData[Performance state],MATCH(J141,AwardsData[Award ID],0)),"Unlinked"))</f>
        <v>Maryland</v>
      </c>
      <c r="Z141" s="57" t="n">
        <f aca="false">IF(AND(V141=1,OR(Dashboard!$AB$2="All",K141=Dashboard!$AB$2),OR(Dashboard!$AB$3="All",L141=Dashboard!$AB$3),OR(Dashboard!$N$10="All",W141=Dashboard!$N$10)),1,0)</f>
        <v>1</v>
      </c>
      <c r="AA141" s="57" t="n">
        <f aca="false">IF(AND(Z141=1,OR(Dashboard!$B$7="All",S141=Dashboard!$B$7)),1,0)</f>
        <v>1</v>
      </c>
      <c r="AB141" s="57" t="n">
        <f aca="false">IF(AND(V141=1,F141&lt;&gt;0),1,0)</f>
        <v>0</v>
      </c>
      <c r="AC141" s="57" t="n">
        <f aca="false">IF(AND(AA141=1,AB141=1),IF(COUNTIFS($J$17:J141,J141,$AA$17:AA141,1,$AB$17:AB141,1)=1,1,0),0)</f>
        <v>0</v>
      </c>
      <c r="AD141" s="57" t="n">
        <f aca="false">IF(AND(AA141=1,AB141=1),IF(COUNTIFS($K$17:K141,K141,$AA$17:AA141,1,$AB$17:AB141,1)=1,1,0),0)</f>
        <v>0</v>
      </c>
      <c r="AE141" s="57" t="n">
        <f aca="false">IF(AND(Z141=1,AB141=1),IF(COUNTIFS($J$17:J141,J141,$S$17:S141,S141,$Z$17:Z141,1,$AB$17:AB141,1)=1,1,0),0)</f>
        <v>0</v>
      </c>
      <c r="AF141" s="57" t="n">
        <f aca="false">IF(AND(Z141=1,AB141=1),IF(COUNTIFS($K$17:K141,K141,$S$17:S141,S141,$Z$17:Z141,1,$AB$17:AB141,1)=1,1,0),0)</f>
        <v>0</v>
      </c>
      <c r="AG141" s="57" t="n">
        <f aca="false">IF(AND(AA141=1,AB141=1),IF(COUNTIFS($J$17:J141,J141,$L$17:L141,L141,$AA$17:AA141,1,$AB$17:AB141,1)=1,1,0),0)</f>
        <v>0</v>
      </c>
      <c r="AH141" s="57" t="n">
        <f aca="false">IF(AND(AA141=1,AB141=1),IF(COUNTIFS($J$17:J141,J141,$K$17:K141,K141,$AA$17:AA141,1,$AB$17:AB141,1)=1,1,0),0)</f>
        <v>0</v>
      </c>
      <c r="AI141" s="56" t="n">
        <f aca="false">IF(V141=1,MAX(F141,0),0)</f>
        <v>0</v>
      </c>
      <c r="AJ141" s="56" t="n">
        <f aca="false">IF(V141=1,MIN(F141,0),0)</f>
        <v>0</v>
      </c>
    </row>
    <row r="142" customFormat="false" ht="40" hidden="false" customHeight="true" outlineLevel="0" collapsed="false">
      <c r="A142" s="66" t="n">
        <v>45618</v>
      </c>
      <c r="B142" s="54" t="str">
        <f aca="false">IF(M142="","",IF(P142="",M142,HYPERLINK(P142,M142)))</f>
        <v>47QTCA23D0037-49100424F0196</v>
      </c>
      <c r="C142" s="54" t="str">
        <f aca="false">IF(N142="","",IF(Q142="",N142,HYPERLINK(Q142,N142)))</f>
        <v>Criterion Systems, L.L.C.</v>
      </c>
      <c r="D142" s="60" t="s">
        <v>119</v>
      </c>
      <c r="E142" s="54" t="str">
        <f aca="false">IF(O142="","",IF(R142="",O142,HYPERLINK(R142,O142)))</f>
        <v>NSF — office not specified</v>
      </c>
      <c r="F142" s="62" t="n">
        <v>1300000</v>
      </c>
      <c r="G142" s="61" t="s">
        <v>464</v>
      </c>
      <c r="H142" s="58"/>
      <c r="I142" s="58" t="s">
        <v>593</v>
      </c>
      <c r="J142" s="58" t="s">
        <v>264</v>
      </c>
      <c r="K142" s="58" t="s">
        <v>117</v>
      </c>
      <c r="L142" s="58" t="s">
        <v>213</v>
      </c>
      <c r="M142" s="58" t="s">
        <v>265</v>
      </c>
      <c r="N142" s="58" t="s">
        <v>118</v>
      </c>
      <c r="O142" s="58" t="s">
        <v>214</v>
      </c>
      <c r="P142" s="58" t="s">
        <v>266</v>
      </c>
      <c r="Q142" s="58" t="s">
        <v>120</v>
      </c>
      <c r="R142" s="58" t="s">
        <v>215</v>
      </c>
      <c r="S142" s="57" t="n">
        <f aca="false">IF(ISNUMBER(A142),YEAR(A142)+IF(MONTH(A142)&gt;=10,1,0),"")</f>
        <v>2025</v>
      </c>
      <c r="T142" s="57" t="n">
        <f aca="false">IF(ISNUMBER(A142),INT(MOD(MONTH(A142)-10,12)/3)+1,"")</f>
        <v>1</v>
      </c>
      <c r="U142" s="57" t="str">
        <f aca="false">IF(AND(I142&lt;&gt;"",D142&lt;&gt;"",OR(COUNTIFS(TransactionsData[Vendor ID],K142,TransactionsData[UEI],"&lt;&gt;"&amp;D142,TransactionsData[UEI],"?*")&gt;0,COUNTIFS(VendorGroups[Record ID],K142,VendorGroups[Source UEI],"&lt;&gt;"&amp;D142,VendorGroups[Source UEI],"?*")&gt;0)),"Conflicting vendor UEIs",IF(I142="",IF(COUNTA(A142,D142,F142:R142)&gt;0,"Missing transaction ID",""),IF(COUNTIFS(TransactionsData[Transaction ID],I142)&lt;&gt;1,"Duplicate transaction ID",IF(OR(NOT(ISNUMBER(A142)),A142&lt;1,A142&gt;DATE(2099,1,1)),"Use a valid date",IF(OR(A142&lt;$B$4,A142&gt;$D$4),"Outside coverage",IF(NOT(ISNUMBER(F142)),"Missing or invalid amount",IF(OR(K142="",L142="",N142=""),"Add vendor and office identities",IF(G142="Exclude",IF(OR(F142&lt;&gt;0,H142=""),"Review nonzero or unexplained exclusion",""),IF(G142&lt;&gt;"Include","Choose Include or Exclude",IF(COUNTIFS(AwardsData[Award ID],J142)&lt;&gt;1,"Award link needs review",IF(INDEX(AwardsData[Input check],MATCH(J142,AwardsData[Award ID],0))&lt;&gt;"","Check award inputs","")))))))))))</f>
        <v/>
      </c>
      <c r="V142" s="57" t="n">
        <f aca="false">IF(AND(I142&lt;&gt;"",U142="",G142="Include"),1,0)</f>
        <v>1</v>
      </c>
      <c r="W142" s="57" t="str">
        <f aca="false">IF(I142="","",IF(COUNTIFS(AwardsData[Award ID],J142)=1,INDEX(AwardsData[Current award type],MATCH(J142,AwardsData[Award ID],0)),"Unlinked"))</f>
        <v>Delivery Order</v>
      </c>
      <c r="X142" s="57" t="str">
        <f aca="false">IF(I142="","",IF(COUNTIFS(AwardsData[Award ID],J142)=1,INDEX(AwardsData[Current set-aside],MATCH(J142,AwardsData[Award ID],0)),"Unlinked"))</f>
        <v>No Set-Aside Used</v>
      </c>
      <c r="Y142" s="57" t="str">
        <f aca="false">IF(I142="","",IF(COUNTIFS(AwardsData[Award ID],J142)=1,INDEX(AwardsData[Performance state],MATCH(J142,AwardsData[Award ID],0)),"Unlinked"))</f>
        <v>Virginia</v>
      </c>
      <c r="Z142" s="57" t="n">
        <f aca="false">IF(AND(V142=1,OR(Dashboard!$AB$2="All",K142=Dashboard!$AB$2),OR(Dashboard!$AB$3="All",L142=Dashboard!$AB$3),OR(Dashboard!$N$10="All",W142=Dashboard!$N$10)),1,0)</f>
        <v>1</v>
      </c>
      <c r="AA142" s="57" t="n">
        <f aca="false">IF(AND(Z142=1,OR(Dashboard!$B$7="All",S142=Dashboard!$B$7)),1,0)</f>
        <v>1</v>
      </c>
      <c r="AB142" s="57" t="n">
        <f aca="false">IF(AND(V142=1,F142&lt;&gt;0),1,0)</f>
        <v>1</v>
      </c>
      <c r="AC142" s="57" t="n">
        <f aca="false">IF(AND(AA142=1,AB142=1),IF(COUNTIFS($J$17:J142,J142,$AA$17:AA142,1,$AB$17:AB142,1)=1,1,0),0)</f>
        <v>1</v>
      </c>
      <c r="AD142" s="57" t="n">
        <f aca="false">IF(AND(AA142=1,AB142=1),IF(COUNTIFS($K$17:K142,K142,$AA$17:AA142,1,$AB$17:AB142,1)=1,1,0),0)</f>
        <v>1</v>
      </c>
      <c r="AE142" s="57" t="n">
        <f aca="false">IF(AND(Z142=1,AB142=1),IF(COUNTIFS($J$17:J142,J142,$S$17:S142,S142,$Z$17:Z142,1,$AB$17:AB142,1)=1,1,0),0)</f>
        <v>1</v>
      </c>
      <c r="AF142" s="57" t="n">
        <f aca="false">IF(AND(Z142=1,AB142=1),IF(COUNTIFS($K$17:K142,K142,$S$17:S142,S142,$Z$17:Z142,1,$AB$17:AB142,1)=1,1,0),0)</f>
        <v>1</v>
      </c>
      <c r="AG142" s="57" t="n">
        <f aca="false">IF(AND(AA142=1,AB142=1),IF(COUNTIFS($J$17:J142,J142,$L$17:L142,L142,$AA$17:AA142,1,$AB$17:AB142,1)=1,1,0),0)</f>
        <v>1</v>
      </c>
      <c r="AH142" s="57" t="n">
        <f aca="false">IF(AND(AA142=1,AB142=1),IF(COUNTIFS($J$17:J142,J142,$K$17:K142,K142,$AA$17:AA142,1,$AB$17:AB142,1)=1,1,0),0)</f>
        <v>1</v>
      </c>
      <c r="AI142" s="56" t="n">
        <f aca="false">IF(V142=1,MAX(F142,0),0)</f>
        <v>1300000</v>
      </c>
      <c r="AJ142" s="56" t="n">
        <f aca="false">IF(V142=1,MIN(F142,0),0)</f>
        <v>0</v>
      </c>
    </row>
    <row r="143" customFormat="false" ht="40" hidden="false" customHeight="true" outlineLevel="0" collapsed="false">
      <c r="A143" s="66" t="n">
        <v>45628</v>
      </c>
      <c r="B143" s="54" t="str">
        <f aca="false">IF(M143="","",IF(P143="",M143,HYPERLINK(P143,M143)))</f>
        <v>49100423C0052</v>
      </c>
      <c r="C143" s="54" t="str">
        <f aca="false">IF(N143="","",IF(Q143="",N143,HYPERLINK(Q143,N143)))</f>
        <v>Expediteinfotech, Inc.</v>
      </c>
      <c r="D143" s="60" t="s">
        <v>127</v>
      </c>
      <c r="E143" s="54" t="str">
        <f aca="false">IF(O143="","",IF(R143="",O143,HYPERLINK(R143,O143)))</f>
        <v>Office of Budget Finance and Award Management</v>
      </c>
      <c r="F143" s="62" t="n">
        <v>0</v>
      </c>
      <c r="G143" s="61" t="s">
        <v>464</v>
      </c>
      <c r="H143" s="58"/>
      <c r="I143" s="58" t="s">
        <v>594</v>
      </c>
      <c r="J143" s="58" t="s">
        <v>358</v>
      </c>
      <c r="K143" s="58" t="s">
        <v>125</v>
      </c>
      <c r="L143" s="58" t="s">
        <v>216</v>
      </c>
      <c r="M143" s="58" t="s">
        <v>358</v>
      </c>
      <c r="N143" s="58" t="s">
        <v>126</v>
      </c>
      <c r="O143" s="58" t="s">
        <v>217</v>
      </c>
      <c r="P143" s="58" t="s">
        <v>359</v>
      </c>
      <c r="Q143" s="58" t="s">
        <v>128</v>
      </c>
      <c r="R143" s="58" t="s">
        <v>219</v>
      </c>
      <c r="S143" s="57" t="n">
        <f aca="false">IF(ISNUMBER(A143),YEAR(A143)+IF(MONTH(A143)&gt;=10,1,0),"")</f>
        <v>2025</v>
      </c>
      <c r="T143" s="57" t="n">
        <f aca="false">IF(ISNUMBER(A143),INT(MOD(MONTH(A143)-10,12)/3)+1,"")</f>
        <v>1</v>
      </c>
      <c r="U143" s="57" t="str">
        <f aca="false">IF(AND(I143&lt;&gt;"",D143&lt;&gt;"",OR(COUNTIFS(TransactionsData[Vendor ID],K143,TransactionsData[UEI],"&lt;&gt;"&amp;D143,TransactionsData[UEI],"?*")&gt;0,COUNTIFS(VendorGroups[Record ID],K143,VendorGroups[Source UEI],"&lt;&gt;"&amp;D143,VendorGroups[Source UEI],"?*")&gt;0)),"Conflicting vendor UEIs",IF(I143="",IF(COUNTA(A143,D143,F143:R143)&gt;0,"Missing transaction ID",""),IF(COUNTIFS(TransactionsData[Transaction ID],I143)&lt;&gt;1,"Duplicate transaction ID",IF(OR(NOT(ISNUMBER(A143)),A143&lt;1,A143&gt;DATE(2099,1,1)),"Use a valid date",IF(OR(A143&lt;$B$4,A143&gt;$D$4),"Outside coverage",IF(NOT(ISNUMBER(F143)),"Missing or invalid amount",IF(OR(K143="",L143="",N143=""),"Add vendor and office identities",IF(G143="Exclude",IF(OR(F143&lt;&gt;0,H143=""),"Review nonzero or unexplained exclusion",""),IF(G143&lt;&gt;"Include","Choose Include or Exclude",IF(COUNTIFS(AwardsData[Award ID],J143)&lt;&gt;1,"Award link needs review",IF(INDEX(AwardsData[Input check],MATCH(J143,AwardsData[Award ID],0))&lt;&gt;"","Check award inputs","")))))))))))</f>
        <v/>
      </c>
      <c r="V143" s="57" t="n">
        <f aca="false">IF(AND(I143&lt;&gt;"",U143="",G143="Include"),1,0)</f>
        <v>1</v>
      </c>
      <c r="W143" s="57" t="str">
        <f aca="false">IF(I143="","",IF(COUNTIFS(AwardsData[Award ID],J143)=1,INDEX(AwardsData[Current award type],MATCH(J143,AwardsData[Award ID],0)),"Unlinked"))</f>
        <v>Definitive Contract</v>
      </c>
      <c r="X143" s="57" t="str">
        <f aca="false">IF(I143="","",IF(COUNTIFS(AwardsData[Award ID],J143)=1,INDEX(AwardsData[Current set-aside],MATCH(J143,AwardsData[Award ID],0)),"Unlinked"))</f>
        <v>8(a) Sole Source</v>
      </c>
      <c r="Y143" s="57" t="str">
        <f aca="false">IF(I143="","",IF(COUNTIFS(AwardsData[Award ID],J143)=1,INDEX(AwardsData[Performance state],MATCH(J143,AwardsData[Award ID],0)),"Unlinked"))</f>
        <v>Maryland</v>
      </c>
      <c r="Z143" s="57" t="n">
        <f aca="false">IF(AND(V143=1,OR(Dashboard!$AB$2="All",K143=Dashboard!$AB$2),OR(Dashboard!$AB$3="All",L143=Dashboard!$AB$3),OR(Dashboard!$N$10="All",W143=Dashboard!$N$10)),1,0)</f>
        <v>1</v>
      </c>
      <c r="AA143" s="57" t="n">
        <f aca="false">IF(AND(Z143=1,OR(Dashboard!$B$7="All",S143=Dashboard!$B$7)),1,0)</f>
        <v>1</v>
      </c>
      <c r="AB143" s="57" t="n">
        <f aca="false">IF(AND(V143=1,F143&lt;&gt;0),1,0)</f>
        <v>0</v>
      </c>
      <c r="AC143" s="57" t="n">
        <f aca="false">IF(AND(AA143=1,AB143=1),IF(COUNTIFS($J$17:J143,J143,$AA$17:AA143,1,$AB$17:AB143,1)=1,1,0),0)</f>
        <v>0</v>
      </c>
      <c r="AD143" s="57" t="n">
        <f aca="false">IF(AND(AA143=1,AB143=1),IF(COUNTIFS($K$17:K143,K143,$AA$17:AA143,1,$AB$17:AB143,1)=1,1,0),0)</f>
        <v>0</v>
      </c>
      <c r="AE143" s="57" t="n">
        <f aca="false">IF(AND(Z143=1,AB143=1),IF(COUNTIFS($J$17:J143,J143,$S$17:S143,S143,$Z$17:Z143,1,$AB$17:AB143,1)=1,1,0),0)</f>
        <v>0</v>
      </c>
      <c r="AF143" s="57" t="n">
        <f aca="false">IF(AND(Z143=1,AB143=1),IF(COUNTIFS($K$17:K143,K143,$S$17:S143,S143,$Z$17:Z143,1,$AB$17:AB143,1)=1,1,0),0)</f>
        <v>0</v>
      </c>
      <c r="AG143" s="57" t="n">
        <f aca="false">IF(AND(AA143=1,AB143=1),IF(COUNTIFS($J$17:J143,J143,$L$17:L143,L143,$AA$17:AA143,1,$AB$17:AB143,1)=1,1,0),0)</f>
        <v>0</v>
      </c>
      <c r="AH143" s="57" t="n">
        <f aca="false">IF(AND(AA143=1,AB143=1),IF(COUNTIFS($J$17:J143,J143,$K$17:K143,K143,$AA$17:AA143,1,$AB$17:AB143,1)=1,1,0),0)</f>
        <v>0</v>
      </c>
      <c r="AI143" s="56" t="n">
        <f aca="false">IF(V143=1,MAX(F143,0),0)</f>
        <v>0</v>
      </c>
      <c r="AJ143" s="56" t="n">
        <f aca="false">IF(V143=1,MIN(F143,0),0)</f>
        <v>0</v>
      </c>
    </row>
    <row r="144" customFormat="false" ht="40" hidden="false" customHeight="true" outlineLevel="0" collapsed="false">
      <c r="A144" s="66" t="n">
        <v>45628</v>
      </c>
      <c r="B144" s="54" t="str">
        <f aca="false">IF(M144="","",IF(P144="",M144,HYPERLINK(P144,M144)))</f>
        <v>GS35F337BA-49100421F0078</v>
      </c>
      <c r="C144" s="54" t="str">
        <f aca="false">IF(N144="","",IF(Q144="",N144,HYPERLINK(Q144,N144)))</f>
        <v>Civicactions, Inc.</v>
      </c>
      <c r="D144" s="60" t="s">
        <v>115</v>
      </c>
      <c r="E144" s="54" t="str">
        <f aca="false">IF(O144="","",IF(R144="",O144,HYPERLINK(R144,O144)))</f>
        <v>NSF — office not specified</v>
      </c>
      <c r="F144" s="62" t="n">
        <v>158139.36</v>
      </c>
      <c r="G144" s="61" t="s">
        <v>464</v>
      </c>
      <c r="H144" s="58"/>
      <c r="I144" s="58" t="s">
        <v>595</v>
      </c>
      <c r="J144" s="58" t="s">
        <v>414</v>
      </c>
      <c r="K144" s="58" t="s">
        <v>113</v>
      </c>
      <c r="L144" s="58" t="s">
        <v>213</v>
      </c>
      <c r="M144" s="58" t="s">
        <v>415</v>
      </c>
      <c r="N144" s="58" t="s">
        <v>114</v>
      </c>
      <c r="O144" s="58" t="s">
        <v>214</v>
      </c>
      <c r="P144" s="58" t="s">
        <v>416</v>
      </c>
      <c r="Q144" s="58" t="s">
        <v>116</v>
      </c>
      <c r="R144" s="58" t="s">
        <v>215</v>
      </c>
      <c r="S144" s="57" t="n">
        <f aca="false">IF(ISNUMBER(A144),YEAR(A144)+IF(MONTH(A144)&gt;=10,1,0),"")</f>
        <v>2025</v>
      </c>
      <c r="T144" s="57" t="n">
        <f aca="false">IF(ISNUMBER(A144),INT(MOD(MONTH(A144)-10,12)/3)+1,"")</f>
        <v>1</v>
      </c>
      <c r="U144" s="57" t="str">
        <f aca="false">IF(AND(I144&lt;&gt;"",D144&lt;&gt;"",OR(COUNTIFS(TransactionsData[Vendor ID],K144,TransactionsData[UEI],"&lt;&gt;"&amp;D144,TransactionsData[UEI],"?*")&gt;0,COUNTIFS(VendorGroups[Record ID],K144,VendorGroups[Source UEI],"&lt;&gt;"&amp;D144,VendorGroups[Source UEI],"?*")&gt;0)),"Conflicting vendor UEIs",IF(I144="",IF(COUNTA(A144,D144,F144:R144)&gt;0,"Missing transaction ID",""),IF(COUNTIFS(TransactionsData[Transaction ID],I144)&lt;&gt;1,"Duplicate transaction ID",IF(OR(NOT(ISNUMBER(A144)),A144&lt;1,A144&gt;DATE(2099,1,1)),"Use a valid date",IF(OR(A144&lt;$B$4,A144&gt;$D$4),"Outside coverage",IF(NOT(ISNUMBER(F144)),"Missing or invalid amount",IF(OR(K144="",L144="",N144=""),"Add vendor and office identities",IF(G144="Exclude",IF(OR(F144&lt;&gt;0,H144=""),"Review nonzero or unexplained exclusion",""),IF(G144&lt;&gt;"Include","Choose Include or Exclude",IF(COUNTIFS(AwardsData[Award ID],J144)&lt;&gt;1,"Award link needs review",IF(INDEX(AwardsData[Input check],MATCH(J144,AwardsData[Award ID],0))&lt;&gt;"","Check award inputs","")))))))))))</f>
        <v/>
      </c>
      <c r="V144" s="57" t="n">
        <f aca="false">IF(AND(I144&lt;&gt;"",U144="",G144="Include"),1,0)</f>
        <v>1</v>
      </c>
      <c r="W144" s="57" t="str">
        <f aca="false">IF(I144="","",IF(COUNTIFS(AwardsData[Award ID],J144)=1,INDEX(AwardsData[Current award type],MATCH(J144,AwardsData[Award ID],0)),"Unlinked"))</f>
        <v>Delivery Order</v>
      </c>
      <c r="X144" s="57" t="str">
        <f aca="false">IF(I144="","",IF(COUNTIFS(AwardsData[Award ID],J144)=1,INDEX(AwardsData[Current set-aside],MATCH(J144,AwardsData[Award ID],0)),"Unlinked"))</f>
        <v>Total Small Business</v>
      </c>
      <c r="Y144" s="57" t="str">
        <f aca="false">IF(I144="","",IF(COUNTIFS(AwardsData[Award ID],J144)=1,INDEX(AwardsData[Performance state],MATCH(J144,AwardsData[Award ID],0)),"Unlinked"))</f>
        <v>California</v>
      </c>
      <c r="Z144" s="57" t="n">
        <f aca="false">IF(AND(V144=1,OR(Dashboard!$AB$2="All",K144=Dashboard!$AB$2),OR(Dashboard!$AB$3="All",L144=Dashboard!$AB$3),OR(Dashboard!$N$10="All",W144=Dashboard!$N$10)),1,0)</f>
        <v>1</v>
      </c>
      <c r="AA144" s="57" t="n">
        <f aca="false">IF(AND(Z144=1,OR(Dashboard!$B$7="All",S144=Dashboard!$B$7)),1,0)</f>
        <v>1</v>
      </c>
      <c r="AB144" s="57" t="n">
        <f aca="false">IF(AND(V144=1,F144&lt;&gt;0),1,0)</f>
        <v>1</v>
      </c>
      <c r="AC144" s="57" t="n">
        <f aca="false">IF(AND(AA144=1,AB144=1),IF(COUNTIFS($J$17:J144,J144,$AA$17:AA144,1,$AB$17:AB144,1)=1,1,0),0)</f>
        <v>1</v>
      </c>
      <c r="AD144" s="57" t="n">
        <f aca="false">IF(AND(AA144=1,AB144=1),IF(COUNTIFS($K$17:K144,K144,$AA$17:AA144,1,$AB$17:AB144,1)=1,1,0),0)</f>
        <v>1</v>
      </c>
      <c r="AE144" s="57" t="n">
        <f aca="false">IF(AND(Z144=1,AB144=1),IF(COUNTIFS($J$17:J144,J144,$S$17:S144,S144,$Z$17:Z144,1,$AB$17:AB144,1)=1,1,0),0)</f>
        <v>1</v>
      </c>
      <c r="AF144" s="57" t="n">
        <f aca="false">IF(AND(Z144=1,AB144=1),IF(COUNTIFS($K$17:K144,K144,$S$17:S144,S144,$Z$17:Z144,1,$AB$17:AB144,1)=1,1,0),0)</f>
        <v>1</v>
      </c>
      <c r="AG144" s="57" t="n">
        <f aca="false">IF(AND(AA144=1,AB144=1),IF(COUNTIFS($J$17:J144,J144,$L$17:L144,L144,$AA$17:AA144,1,$AB$17:AB144,1)=1,1,0),0)</f>
        <v>1</v>
      </c>
      <c r="AH144" s="57" t="n">
        <f aca="false">IF(AND(AA144=1,AB144=1),IF(COUNTIFS($J$17:J144,J144,$K$17:K144,K144,$AA$17:AA144,1,$AB$17:AB144,1)=1,1,0),0)</f>
        <v>1</v>
      </c>
      <c r="AI144" s="56" t="n">
        <f aca="false">IF(V144=1,MAX(F144,0),0)</f>
        <v>158139.36</v>
      </c>
      <c r="AJ144" s="56" t="n">
        <f aca="false">IF(V144=1,MIN(F144,0),0)</f>
        <v>0</v>
      </c>
    </row>
    <row r="145" customFormat="false" ht="40" hidden="false" customHeight="true" outlineLevel="0" collapsed="false">
      <c r="A145" s="66" t="n">
        <v>45638</v>
      </c>
      <c r="B145" s="54" t="str">
        <f aca="false">IF(M145="","",IF(P145="",M145,HYPERLINK(P145,M145)))</f>
        <v>47QTCK18D0004-49100424F0001</v>
      </c>
      <c r="C145" s="54" t="str">
        <f aca="false">IF(N145="","",IF(Q145="",N145,HYPERLINK(Q145,N145)))</f>
        <v>Booz Allen Hamilton Inc.</v>
      </c>
      <c r="D145" s="60" t="s">
        <v>111</v>
      </c>
      <c r="E145" s="54" t="str">
        <f aca="false">IF(O145="","",IF(R145="",O145,HYPERLINK(R145,O145)))</f>
        <v>NSF — office not specified</v>
      </c>
      <c r="F145" s="62" t="n">
        <v>3631800</v>
      </c>
      <c r="G145" s="61" t="s">
        <v>464</v>
      </c>
      <c r="H145" s="58"/>
      <c r="I145" s="58" t="s">
        <v>596</v>
      </c>
      <c r="J145" s="58" t="s">
        <v>297</v>
      </c>
      <c r="K145" s="58" t="s">
        <v>109</v>
      </c>
      <c r="L145" s="58" t="s">
        <v>213</v>
      </c>
      <c r="M145" s="58" t="s">
        <v>298</v>
      </c>
      <c r="N145" s="58" t="s">
        <v>110</v>
      </c>
      <c r="O145" s="58" t="s">
        <v>214</v>
      </c>
      <c r="P145" s="58" t="s">
        <v>299</v>
      </c>
      <c r="Q145" s="58" t="s">
        <v>112</v>
      </c>
      <c r="R145" s="58" t="s">
        <v>215</v>
      </c>
      <c r="S145" s="57" t="n">
        <f aca="false">IF(ISNUMBER(A145),YEAR(A145)+IF(MONTH(A145)&gt;=10,1,0),"")</f>
        <v>2025</v>
      </c>
      <c r="T145" s="57" t="n">
        <f aca="false">IF(ISNUMBER(A145),INT(MOD(MONTH(A145)-10,12)/3)+1,"")</f>
        <v>1</v>
      </c>
      <c r="U145" s="57" t="str">
        <f aca="false">IF(AND(I145&lt;&gt;"",D145&lt;&gt;"",OR(COUNTIFS(TransactionsData[Vendor ID],K145,TransactionsData[UEI],"&lt;&gt;"&amp;D145,TransactionsData[UEI],"?*")&gt;0,COUNTIFS(VendorGroups[Record ID],K145,VendorGroups[Source UEI],"&lt;&gt;"&amp;D145,VendorGroups[Source UEI],"?*")&gt;0)),"Conflicting vendor UEIs",IF(I145="",IF(COUNTA(A145,D145,F145:R145)&gt;0,"Missing transaction ID",""),IF(COUNTIFS(TransactionsData[Transaction ID],I145)&lt;&gt;1,"Duplicate transaction ID",IF(OR(NOT(ISNUMBER(A145)),A145&lt;1,A145&gt;DATE(2099,1,1)),"Use a valid date",IF(OR(A145&lt;$B$4,A145&gt;$D$4),"Outside coverage",IF(NOT(ISNUMBER(F145)),"Missing or invalid amount",IF(OR(K145="",L145="",N145=""),"Add vendor and office identities",IF(G145="Exclude",IF(OR(F145&lt;&gt;0,H145=""),"Review nonzero or unexplained exclusion",""),IF(G145&lt;&gt;"Include","Choose Include or Exclude",IF(COUNTIFS(AwardsData[Award ID],J145)&lt;&gt;1,"Award link needs review",IF(INDEX(AwardsData[Input check],MATCH(J145,AwardsData[Award ID],0))&lt;&gt;"","Check award inputs","")))))))))))</f>
        <v/>
      </c>
      <c r="V145" s="57" t="n">
        <f aca="false">IF(AND(I145&lt;&gt;"",U145="",G145="Include"),1,0)</f>
        <v>1</v>
      </c>
      <c r="W145" s="57" t="str">
        <f aca="false">IF(I145="","",IF(COUNTIFS(AwardsData[Award ID],J145)=1,INDEX(AwardsData[Current award type],MATCH(J145,AwardsData[Award ID],0)),"Unlinked"))</f>
        <v>Delivery Order</v>
      </c>
      <c r="X145" s="57" t="str">
        <f aca="false">IF(I145="","",IF(COUNTIFS(AwardsData[Award ID],J145)=1,INDEX(AwardsData[Current set-aside],MATCH(J145,AwardsData[Award ID],0)),"Unlinked"))</f>
        <v>No Set-Aside Used</v>
      </c>
      <c r="Y145" s="57" t="str">
        <f aca="false">IF(I145="","",IF(COUNTIFS(AwardsData[Award ID],J145)=1,INDEX(AwardsData[Performance state],MATCH(J145,AwardsData[Award ID],0)),"Unlinked"))</f>
        <v>Virginia</v>
      </c>
      <c r="Z145" s="57" t="n">
        <f aca="false">IF(AND(V145=1,OR(Dashboard!$AB$2="All",K145=Dashboard!$AB$2),OR(Dashboard!$AB$3="All",L145=Dashboard!$AB$3),OR(Dashboard!$N$10="All",W145=Dashboard!$N$10)),1,0)</f>
        <v>1</v>
      </c>
      <c r="AA145" s="57" t="n">
        <f aca="false">IF(AND(Z145=1,OR(Dashboard!$B$7="All",S145=Dashboard!$B$7)),1,0)</f>
        <v>1</v>
      </c>
      <c r="AB145" s="57" t="n">
        <f aca="false">IF(AND(V145=1,F145&lt;&gt;0),1,0)</f>
        <v>1</v>
      </c>
      <c r="AC145" s="57" t="n">
        <f aca="false">IF(AND(AA145=1,AB145=1),IF(COUNTIFS($J$17:J145,J145,$AA$17:AA145,1,$AB$17:AB145,1)=1,1,0),0)</f>
        <v>1</v>
      </c>
      <c r="AD145" s="57" t="n">
        <f aca="false">IF(AND(AA145=1,AB145=1),IF(COUNTIFS($K$17:K145,K145,$AA$17:AA145,1,$AB$17:AB145,1)=1,1,0),0)</f>
        <v>1</v>
      </c>
      <c r="AE145" s="57" t="n">
        <f aca="false">IF(AND(Z145=1,AB145=1),IF(COUNTIFS($J$17:J145,J145,$S$17:S145,S145,$Z$17:Z145,1,$AB$17:AB145,1)=1,1,0),0)</f>
        <v>1</v>
      </c>
      <c r="AF145" s="57" t="n">
        <f aca="false">IF(AND(Z145=1,AB145=1),IF(COUNTIFS($K$17:K145,K145,$S$17:S145,S145,$Z$17:Z145,1,$AB$17:AB145,1)=1,1,0),0)</f>
        <v>1</v>
      </c>
      <c r="AG145" s="57" t="n">
        <f aca="false">IF(AND(AA145=1,AB145=1),IF(COUNTIFS($J$17:J145,J145,$L$17:L145,L145,$AA$17:AA145,1,$AB$17:AB145,1)=1,1,0),0)</f>
        <v>1</v>
      </c>
      <c r="AH145" s="57" t="n">
        <f aca="false">IF(AND(AA145=1,AB145=1),IF(COUNTIFS($J$17:J145,J145,$K$17:K145,K145,$AA$17:AA145,1,$AB$17:AB145,1)=1,1,0),0)</f>
        <v>1</v>
      </c>
      <c r="AI145" s="56" t="n">
        <f aca="false">IF(V145=1,MAX(F145,0),0)</f>
        <v>3631800</v>
      </c>
      <c r="AJ145" s="56" t="n">
        <f aca="false">IF(V145=1,MIN(F145,0),0)</f>
        <v>0</v>
      </c>
    </row>
    <row r="146" customFormat="false" ht="40" hidden="false" customHeight="true" outlineLevel="0" collapsed="false">
      <c r="A146" s="66" t="n">
        <v>45642</v>
      </c>
      <c r="B146" s="54" t="str">
        <f aca="false">IF(M146="","",IF(P146="",M146,HYPERLINK(P146,M146)))</f>
        <v>49100425P0006</v>
      </c>
      <c r="C146" s="54" t="str">
        <f aca="false">IF(N146="","",IF(Q146="",N146,HYPERLINK(Q146,N146)))</f>
        <v>University Corporation For Advanced Internet Development</v>
      </c>
      <c r="D146" s="60" t="s">
        <v>178</v>
      </c>
      <c r="E146" s="54" t="str">
        <f aca="false">IF(O146="","",IF(R146="",O146,HYPERLINK(R146,O146)))</f>
        <v>NSF — office not specified</v>
      </c>
      <c r="F146" s="62" t="n">
        <v>39079</v>
      </c>
      <c r="G146" s="61" t="s">
        <v>464</v>
      </c>
      <c r="H146" s="58"/>
      <c r="I146" s="58" t="s">
        <v>597</v>
      </c>
      <c r="J146" s="58" t="s">
        <v>410</v>
      </c>
      <c r="K146" s="58" t="s">
        <v>176</v>
      </c>
      <c r="L146" s="58" t="s">
        <v>213</v>
      </c>
      <c r="M146" s="58" t="s">
        <v>410</v>
      </c>
      <c r="N146" s="58" t="s">
        <v>177</v>
      </c>
      <c r="O146" s="58" t="s">
        <v>214</v>
      </c>
      <c r="P146" s="58" t="s">
        <v>411</v>
      </c>
      <c r="Q146" s="58" t="s">
        <v>179</v>
      </c>
      <c r="R146" s="58" t="s">
        <v>215</v>
      </c>
      <c r="S146" s="57" t="n">
        <f aca="false">IF(ISNUMBER(A146),YEAR(A146)+IF(MONTH(A146)&gt;=10,1,0),"")</f>
        <v>2025</v>
      </c>
      <c r="T146" s="57" t="n">
        <f aca="false">IF(ISNUMBER(A146),INT(MOD(MONTH(A146)-10,12)/3)+1,"")</f>
        <v>1</v>
      </c>
      <c r="U146" s="57" t="str">
        <f aca="false">IF(AND(I146&lt;&gt;"",D146&lt;&gt;"",OR(COUNTIFS(TransactionsData[Vendor ID],K146,TransactionsData[UEI],"&lt;&gt;"&amp;D146,TransactionsData[UEI],"?*")&gt;0,COUNTIFS(VendorGroups[Record ID],K146,VendorGroups[Source UEI],"&lt;&gt;"&amp;D146,VendorGroups[Source UEI],"?*")&gt;0)),"Conflicting vendor UEIs",IF(I146="",IF(COUNTA(A146,D146,F146:R146)&gt;0,"Missing transaction ID",""),IF(COUNTIFS(TransactionsData[Transaction ID],I146)&lt;&gt;1,"Duplicate transaction ID",IF(OR(NOT(ISNUMBER(A146)),A146&lt;1,A146&gt;DATE(2099,1,1)),"Use a valid date",IF(OR(A146&lt;$B$4,A146&gt;$D$4),"Outside coverage",IF(NOT(ISNUMBER(F146)),"Missing or invalid amount",IF(OR(K146="",L146="",N146=""),"Add vendor and office identities",IF(G146="Exclude",IF(OR(F146&lt;&gt;0,H146=""),"Review nonzero or unexplained exclusion",""),IF(G146&lt;&gt;"Include","Choose Include or Exclude",IF(COUNTIFS(AwardsData[Award ID],J146)&lt;&gt;1,"Award link needs review",IF(INDEX(AwardsData[Input check],MATCH(J146,AwardsData[Award ID],0))&lt;&gt;"","Check award inputs","")))))))))))</f>
        <v/>
      </c>
      <c r="V146" s="57" t="n">
        <f aca="false">IF(AND(I146&lt;&gt;"",U146="",G146="Include"),1,0)</f>
        <v>1</v>
      </c>
      <c r="W146" s="57" t="str">
        <f aca="false">IF(I146="","",IF(COUNTIFS(AwardsData[Award ID],J146)=1,INDEX(AwardsData[Current award type],MATCH(J146,AwardsData[Award ID],0)),"Unlinked"))</f>
        <v>Purchase Order</v>
      </c>
      <c r="X146" s="57" t="str">
        <f aca="false">IF(I146="","",IF(COUNTIFS(AwardsData[Award ID],J146)=1,INDEX(AwardsData[Current set-aside],MATCH(J146,AwardsData[Award ID],0)),"Unlinked"))</f>
        <v>No Set-Aside Used</v>
      </c>
      <c r="Y146" s="57" t="str">
        <f aca="false">IF(I146="","",IF(COUNTIFS(AwardsData[Award ID],J146)=1,INDEX(AwardsData[Performance state],MATCH(J146,AwardsData[Award ID],0)),"Unlinked"))</f>
        <v>Virginia</v>
      </c>
      <c r="Z146" s="57" t="n">
        <f aca="false">IF(AND(V146=1,OR(Dashboard!$AB$2="All",K146=Dashboard!$AB$2),OR(Dashboard!$AB$3="All",L146=Dashboard!$AB$3),OR(Dashboard!$N$10="All",W146=Dashboard!$N$10)),1,0)</f>
        <v>1</v>
      </c>
      <c r="AA146" s="57" t="n">
        <f aca="false">IF(AND(Z146=1,OR(Dashboard!$B$7="All",S146=Dashboard!$B$7)),1,0)</f>
        <v>1</v>
      </c>
      <c r="AB146" s="57" t="n">
        <f aca="false">IF(AND(V146=1,F146&lt;&gt;0),1,0)</f>
        <v>1</v>
      </c>
      <c r="AC146" s="57" t="n">
        <f aca="false">IF(AND(AA146=1,AB146=1),IF(COUNTIFS($J$17:J146,J146,$AA$17:AA146,1,$AB$17:AB146,1)=1,1,0),0)</f>
        <v>1</v>
      </c>
      <c r="AD146" s="57" t="n">
        <f aca="false">IF(AND(AA146=1,AB146=1),IF(COUNTIFS($K$17:K146,K146,$AA$17:AA146,1,$AB$17:AB146,1)=1,1,0),0)</f>
        <v>1</v>
      </c>
      <c r="AE146" s="57" t="n">
        <f aca="false">IF(AND(Z146=1,AB146=1),IF(COUNTIFS($J$17:J146,J146,$S$17:S146,S146,$Z$17:Z146,1,$AB$17:AB146,1)=1,1,0),0)</f>
        <v>1</v>
      </c>
      <c r="AF146" s="57" t="n">
        <f aca="false">IF(AND(Z146=1,AB146=1),IF(COUNTIFS($K$17:K146,K146,$S$17:S146,S146,$Z$17:Z146,1,$AB$17:AB146,1)=1,1,0),0)</f>
        <v>1</v>
      </c>
      <c r="AG146" s="57" t="n">
        <f aca="false">IF(AND(AA146=1,AB146=1),IF(COUNTIFS($J$17:J146,J146,$L$17:L146,L146,$AA$17:AA146,1,$AB$17:AB146,1)=1,1,0),0)</f>
        <v>1</v>
      </c>
      <c r="AH146" s="57" t="n">
        <f aca="false">IF(AND(AA146=1,AB146=1),IF(COUNTIFS($J$17:J146,J146,$K$17:K146,K146,$AA$17:AA146,1,$AB$17:AB146,1)=1,1,0),0)</f>
        <v>1</v>
      </c>
      <c r="AI146" s="56" t="n">
        <f aca="false">IF(V146=1,MAX(F146,0),0)</f>
        <v>39079</v>
      </c>
      <c r="AJ146" s="56" t="n">
        <f aca="false">IF(V146=1,MIN(F146,0),0)</f>
        <v>0</v>
      </c>
    </row>
    <row r="147" customFormat="false" ht="40" hidden="false" customHeight="true" outlineLevel="0" collapsed="false">
      <c r="A147" s="66" t="n">
        <v>45642</v>
      </c>
      <c r="B147" s="54" t="str">
        <f aca="false">IF(M147="","",IF(P147="",M147,HYPERLINK(P147,M147)))</f>
        <v>GS35F337BA-49100421F0078</v>
      </c>
      <c r="C147" s="54" t="str">
        <f aca="false">IF(N147="","",IF(Q147="",N147,HYPERLINK(Q147,N147)))</f>
        <v>Civicactions, Inc.</v>
      </c>
      <c r="D147" s="60" t="s">
        <v>115</v>
      </c>
      <c r="E147" s="54" t="str">
        <f aca="false">IF(O147="","",IF(R147="",O147,HYPERLINK(R147,O147)))</f>
        <v>NSF — office not specified</v>
      </c>
      <c r="F147" s="62" t="n">
        <v>1858590.28</v>
      </c>
      <c r="G147" s="61" t="s">
        <v>464</v>
      </c>
      <c r="H147" s="58"/>
      <c r="I147" s="58" t="s">
        <v>598</v>
      </c>
      <c r="J147" s="58" t="s">
        <v>414</v>
      </c>
      <c r="K147" s="58" t="s">
        <v>113</v>
      </c>
      <c r="L147" s="58" t="s">
        <v>213</v>
      </c>
      <c r="M147" s="58" t="s">
        <v>415</v>
      </c>
      <c r="N147" s="58" t="s">
        <v>114</v>
      </c>
      <c r="O147" s="58" t="s">
        <v>214</v>
      </c>
      <c r="P147" s="58" t="s">
        <v>416</v>
      </c>
      <c r="Q147" s="58" t="s">
        <v>116</v>
      </c>
      <c r="R147" s="58" t="s">
        <v>215</v>
      </c>
      <c r="S147" s="57" t="n">
        <f aca="false">IF(ISNUMBER(A147),YEAR(A147)+IF(MONTH(A147)&gt;=10,1,0),"")</f>
        <v>2025</v>
      </c>
      <c r="T147" s="57" t="n">
        <f aca="false">IF(ISNUMBER(A147),INT(MOD(MONTH(A147)-10,12)/3)+1,"")</f>
        <v>1</v>
      </c>
      <c r="U147" s="57" t="str">
        <f aca="false">IF(AND(I147&lt;&gt;"",D147&lt;&gt;"",OR(COUNTIFS(TransactionsData[Vendor ID],K147,TransactionsData[UEI],"&lt;&gt;"&amp;D147,TransactionsData[UEI],"?*")&gt;0,COUNTIFS(VendorGroups[Record ID],K147,VendorGroups[Source UEI],"&lt;&gt;"&amp;D147,VendorGroups[Source UEI],"?*")&gt;0)),"Conflicting vendor UEIs",IF(I147="",IF(COUNTA(A147,D147,F147:R147)&gt;0,"Missing transaction ID",""),IF(COUNTIFS(TransactionsData[Transaction ID],I147)&lt;&gt;1,"Duplicate transaction ID",IF(OR(NOT(ISNUMBER(A147)),A147&lt;1,A147&gt;DATE(2099,1,1)),"Use a valid date",IF(OR(A147&lt;$B$4,A147&gt;$D$4),"Outside coverage",IF(NOT(ISNUMBER(F147)),"Missing or invalid amount",IF(OR(K147="",L147="",N147=""),"Add vendor and office identities",IF(G147="Exclude",IF(OR(F147&lt;&gt;0,H147=""),"Review nonzero or unexplained exclusion",""),IF(G147&lt;&gt;"Include","Choose Include or Exclude",IF(COUNTIFS(AwardsData[Award ID],J147)&lt;&gt;1,"Award link needs review",IF(INDEX(AwardsData[Input check],MATCH(J147,AwardsData[Award ID],0))&lt;&gt;"","Check award inputs","")))))))))))</f>
        <v/>
      </c>
      <c r="V147" s="57" t="n">
        <f aca="false">IF(AND(I147&lt;&gt;"",U147="",G147="Include"),1,0)</f>
        <v>1</v>
      </c>
      <c r="W147" s="57" t="str">
        <f aca="false">IF(I147="","",IF(COUNTIFS(AwardsData[Award ID],J147)=1,INDEX(AwardsData[Current award type],MATCH(J147,AwardsData[Award ID],0)),"Unlinked"))</f>
        <v>Delivery Order</v>
      </c>
      <c r="X147" s="57" t="str">
        <f aca="false">IF(I147="","",IF(COUNTIFS(AwardsData[Award ID],J147)=1,INDEX(AwardsData[Current set-aside],MATCH(J147,AwardsData[Award ID],0)),"Unlinked"))</f>
        <v>Total Small Business</v>
      </c>
      <c r="Y147" s="57" t="str">
        <f aca="false">IF(I147="","",IF(COUNTIFS(AwardsData[Award ID],J147)=1,INDEX(AwardsData[Performance state],MATCH(J147,AwardsData[Award ID],0)),"Unlinked"))</f>
        <v>California</v>
      </c>
      <c r="Z147" s="57" t="n">
        <f aca="false">IF(AND(V147=1,OR(Dashboard!$AB$2="All",K147=Dashboard!$AB$2),OR(Dashboard!$AB$3="All",L147=Dashboard!$AB$3),OR(Dashboard!$N$10="All",W147=Dashboard!$N$10)),1,0)</f>
        <v>1</v>
      </c>
      <c r="AA147" s="57" t="n">
        <f aca="false">IF(AND(Z147=1,OR(Dashboard!$B$7="All",S147=Dashboard!$B$7)),1,0)</f>
        <v>1</v>
      </c>
      <c r="AB147" s="57" t="n">
        <f aca="false">IF(AND(V147=1,F147&lt;&gt;0),1,0)</f>
        <v>1</v>
      </c>
      <c r="AC147" s="57" t="n">
        <f aca="false">IF(AND(AA147=1,AB147=1),IF(COUNTIFS($J$17:J147,J147,$AA$17:AA147,1,$AB$17:AB147,1)=1,1,0),0)</f>
        <v>0</v>
      </c>
      <c r="AD147" s="57" t="n">
        <f aca="false">IF(AND(AA147=1,AB147=1),IF(COUNTIFS($K$17:K147,K147,$AA$17:AA147,1,$AB$17:AB147,1)=1,1,0),0)</f>
        <v>0</v>
      </c>
      <c r="AE147" s="57" t="n">
        <f aca="false">IF(AND(Z147=1,AB147=1),IF(COUNTIFS($J$17:J147,J147,$S$17:S147,S147,$Z$17:Z147,1,$AB$17:AB147,1)=1,1,0),0)</f>
        <v>0</v>
      </c>
      <c r="AF147" s="57" t="n">
        <f aca="false">IF(AND(Z147=1,AB147=1),IF(COUNTIFS($K$17:K147,K147,$S$17:S147,S147,$Z$17:Z147,1,$AB$17:AB147,1)=1,1,0),0)</f>
        <v>0</v>
      </c>
      <c r="AG147" s="57" t="n">
        <f aca="false">IF(AND(AA147=1,AB147=1),IF(COUNTIFS($J$17:J147,J147,$L$17:L147,L147,$AA$17:AA147,1,$AB$17:AB147,1)=1,1,0),0)</f>
        <v>0</v>
      </c>
      <c r="AH147" s="57" t="n">
        <f aca="false">IF(AND(AA147=1,AB147=1),IF(COUNTIFS($J$17:J147,J147,$K$17:K147,K147,$AA$17:AA147,1,$AB$17:AB147,1)=1,1,0),0)</f>
        <v>0</v>
      </c>
      <c r="AI147" s="56" t="n">
        <f aca="false">IF(V147=1,MAX(F147,0),0)</f>
        <v>1858590.28</v>
      </c>
      <c r="AJ147" s="56" t="n">
        <f aca="false">IF(V147=1,MIN(F147,0),0)</f>
        <v>0</v>
      </c>
    </row>
    <row r="148" customFormat="false" ht="40" hidden="false" customHeight="true" outlineLevel="0" collapsed="false">
      <c r="A148" s="66" t="n">
        <v>45643</v>
      </c>
      <c r="B148" s="54" t="str">
        <f aca="false">IF(M148="","",IF(P148="",M148,HYPERLINK(P148,M148)))</f>
        <v>49100422A0002-49100424F0182</v>
      </c>
      <c r="C148" s="54" t="str">
        <f aca="false">IF(N148="","",IF(Q148="",N148,HYPERLINK(Q148,N148)))</f>
        <v>Directviz Solutions, LLC</v>
      </c>
      <c r="D148" s="60" t="s">
        <v>123</v>
      </c>
      <c r="E148" s="54" t="str">
        <f aca="false">IF(O148="","",IF(R148="",O148,HYPERLINK(R148,O148)))</f>
        <v>Division of Information Systems</v>
      </c>
      <c r="F148" s="62" t="n">
        <v>683214.96</v>
      </c>
      <c r="G148" s="61" t="s">
        <v>464</v>
      </c>
      <c r="H148" s="58"/>
      <c r="I148" s="58" t="s">
        <v>599</v>
      </c>
      <c r="J148" s="58" t="s">
        <v>313</v>
      </c>
      <c r="K148" s="58" t="s">
        <v>121</v>
      </c>
      <c r="L148" s="58" t="s">
        <v>197</v>
      </c>
      <c r="M148" s="58" t="s">
        <v>314</v>
      </c>
      <c r="N148" s="58" t="s">
        <v>122</v>
      </c>
      <c r="O148" s="58" t="s">
        <v>198</v>
      </c>
      <c r="P148" s="58" t="s">
        <v>315</v>
      </c>
      <c r="Q148" s="58" t="s">
        <v>124</v>
      </c>
      <c r="R148" s="58" t="s">
        <v>200</v>
      </c>
      <c r="S148" s="57" t="n">
        <f aca="false">IF(ISNUMBER(A148),YEAR(A148)+IF(MONTH(A148)&gt;=10,1,0),"")</f>
        <v>2025</v>
      </c>
      <c r="T148" s="57" t="n">
        <f aca="false">IF(ISNUMBER(A148),INT(MOD(MONTH(A148)-10,12)/3)+1,"")</f>
        <v>1</v>
      </c>
      <c r="U148" s="57" t="str">
        <f aca="false">IF(AND(I148&lt;&gt;"",D148&lt;&gt;"",OR(COUNTIFS(TransactionsData[Vendor ID],K148,TransactionsData[UEI],"&lt;&gt;"&amp;D148,TransactionsData[UEI],"?*")&gt;0,COUNTIFS(VendorGroups[Record ID],K148,VendorGroups[Source UEI],"&lt;&gt;"&amp;D148,VendorGroups[Source UEI],"?*")&gt;0)),"Conflicting vendor UEIs",IF(I148="",IF(COUNTA(A148,D148,F148:R148)&gt;0,"Missing transaction ID",""),IF(COUNTIFS(TransactionsData[Transaction ID],I148)&lt;&gt;1,"Duplicate transaction ID",IF(OR(NOT(ISNUMBER(A148)),A148&lt;1,A148&gt;DATE(2099,1,1)),"Use a valid date",IF(OR(A148&lt;$B$4,A148&gt;$D$4),"Outside coverage",IF(NOT(ISNUMBER(F148)),"Missing or invalid amount",IF(OR(K148="",L148="",N148=""),"Add vendor and office identities",IF(G148="Exclude",IF(OR(F148&lt;&gt;0,H148=""),"Review nonzero or unexplained exclusion",""),IF(G148&lt;&gt;"Include","Choose Include or Exclude",IF(COUNTIFS(AwardsData[Award ID],J148)&lt;&gt;1,"Award link needs review",IF(INDEX(AwardsData[Input check],MATCH(J148,AwardsData[Award ID],0))&lt;&gt;"","Check award inputs","")))))))))))</f>
        <v/>
      </c>
      <c r="V148" s="57" t="n">
        <f aca="false">IF(AND(I148&lt;&gt;"",U148="",G148="Include"),1,0)</f>
        <v>1</v>
      </c>
      <c r="W148" s="57" t="str">
        <f aca="false">IF(I148="","",IF(COUNTIFS(AwardsData[Award ID],J148)=1,INDEX(AwardsData[Current award type],MATCH(J148,AwardsData[Award ID],0)),"Unlinked"))</f>
        <v>BPA Call</v>
      </c>
      <c r="X148" s="57" t="str">
        <f aca="false">IF(I148="","",IF(COUNTIFS(AwardsData[Award ID],J148)=1,INDEX(AwardsData[Current set-aside],MATCH(J148,AwardsData[Award ID],0)),"Unlinked"))</f>
        <v>Total Small Business</v>
      </c>
      <c r="Y148" s="57" t="str">
        <f aca="false">IF(I148="","",IF(COUNTIFS(AwardsData[Award ID],J148)=1,INDEX(AwardsData[Performance state],MATCH(J148,AwardsData[Award ID],0)),"Unlinked"))</f>
        <v>Virginia</v>
      </c>
      <c r="Z148" s="57" t="n">
        <f aca="false">IF(AND(V148=1,OR(Dashboard!$AB$2="All",K148=Dashboard!$AB$2),OR(Dashboard!$AB$3="All",L148=Dashboard!$AB$3),OR(Dashboard!$N$10="All",W148=Dashboard!$N$10)),1,0)</f>
        <v>1</v>
      </c>
      <c r="AA148" s="57" t="n">
        <f aca="false">IF(AND(Z148=1,OR(Dashboard!$B$7="All",S148=Dashboard!$B$7)),1,0)</f>
        <v>1</v>
      </c>
      <c r="AB148" s="57" t="n">
        <f aca="false">IF(AND(V148=1,F148&lt;&gt;0),1,0)</f>
        <v>1</v>
      </c>
      <c r="AC148" s="57" t="n">
        <f aca="false">IF(AND(AA148=1,AB148=1),IF(COUNTIFS($J$17:J148,J148,$AA$17:AA148,1,$AB$17:AB148,1)=1,1,0),0)</f>
        <v>1</v>
      </c>
      <c r="AD148" s="57" t="n">
        <f aca="false">IF(AND(AA148=1,AB148=1),IF(COUNTIFS($K$17:K148,K148,$AA$17:AA148,1,$AB$17:AB148,1)=1,1,0),0)</f>
        <v>0</v>
      </c>
      <c r="AE148" s="57" t="n">
        <f aca="false">IF(AND(Z148=1,AB148=1),IF(COUNTIFS($J$17:J148,J148,$S$17:S148,S148,$Z$17:Z148,1,$AB$17:AB148,1)=1,1,0),0)</f>
        <v>1</v>
      </c>
      <c r="AF148" s="57" t="n">
        <f aca="false">IF(AND(Z148=1,AB148=1),IF(COUNTIFS($K$17:K148,K148,$S$17:S148,S148,$Z$17:Z148,1,$AB$17:AB148,1)=1,1,0),0)</f>
        <v>0</v>
      </c>
      <c r="AG148" s="57" t="n">
        <f aca="false">IF(AND(AA148=1,AB148=1),IF(COUNTIFS($J$17:J148,J148,$L$17:L148,L148,$AA$17:AA148,1,$AB$17:AB148,1)=1,1,0),0)</f>
        <v>1</v>
      </c>
      <c r="AH148" s="57" t="n">
        <f aca="false">IF(AND(AA148=1,AB148=1),IF(COUNTIFS($J$17:J148,J148,$K$17:K148,K148,$AA$17:AA148,1,$AB$17:AB148,1)=1,1,0),0)</f>
        <v>1</v>
      </c>
      <c r="AI148" s="56" t="n">
        <f aca="false">IF(V148=1,MAX(F148,0),0)</f>
        <v>683214.96</v>
      </c>
      <c r="AJ148" s="56" t="n">
        <f aca="false">IF(V148=1,MIN(F148,0),0)</f>
        <v>0</v>
      </c>
    </row>
    <row r="149" customFormat="false" ht="40" hidden="false" customHeight="true" outlineLevel="0" collapsed="false">
      <c r="A149" s="66" t="n">
        <v>45643</v>
      </c>
      <c r="B149" s="54" t="str">
        <f aca="false">IF(M149="","",IF(P149="",M149,HYPERLINK(P149,M149)))</f>
        <v>49100424A0001-49100424F0226</v>
      </c>
      <c r="C149" s="54" t="str">
        <f aca="false">IF(N149="","",IF(Q149="",N149,HYPERLINK(Q149,N149)))</f>
        <v>Spatial Front Inc.</v>
      </c>
      <c r="D149" s="60" t="s">
        <v>166</v>
      </c>
      <c r="E149" s="54" t="str">
        <f aca="false">IF(O149="","",IF(R149="",O149,HYPERLINK(R149,O149)))</f>
        <v>Division of Information Systems</v>
      </c>
      <c r="F149" s="62" t="n">
        <v>220535.19</v>
      </c>
      <c r="G149" s="61" t="s">
        <v>464</v>
      </c>
      <c r="H149" s="58"/>
      <c r="I149" s="58" t="s">
        <v>600</v>
      </c>
      <c r="J149" s="58" t="s">
        <v>383</v>
      </c>
      <c r="K149" s="58" t="s">
        <v>164</v>
      </c>
      <c r="L149" s="58" t="s">
        <v>197</v>
      </c>
      <c r="M149" s="58" t="s">
        <v>384</v>
      </c>
      <c r="N149" s="58" t="s">
        <v>165</v>
      </c>
      <c r="O149" s="58" t="s">
        <v>198</v>
      </c>
      <c r="P149" s="58" t="s">
        <v>385</v>
      </c>
      <c r="Q149" s="58" t="s">
        <v>167</v>
      </c>
      <c r="R149" s="58" t="s">
        <v>200</v>
      </c>
      <c r="S149" s="57" t="n">
        <f aca="false">IF(ISNUMBER(A149),YEAR(A149)+IF(MONTH(A149)&gt;=10,1,0),"")</f>
        <v>2025</v>
      </c>
      <c r="T149" s="57" t="n">
        <f aca="false">IF(ISNUMBER(A149),INT(MOD(MONTH(A149)-10,12)/3)+1,"")</f>
        <v>1</v>
      </c>
      <c r="U149" s="57" t="str">
        <f aca="false">IF(AND(I149&lt;&gt;"",D149&lt;&gt;"",OR(COUNTIFS(TransactionsData[Vendor ID],K149,TransactionsData[UEI],"&lt;&gt;"&amp;D149,TransactionsData[UEI],"?*")&gt;0,COUNTIFS(VendorGroups[Record ID],K149,VendorGroups[Source UEI],"&lt;&gt;"&amp;D149,VendorGroups[Source UEI],"?*")&gt;0)),"Conflicting vendor UEIs",IF(I149="",IF(COUNTA(A149,D149,F149:R149)&gt;0,"Missing transaction ID",""),IF(COUNTIFS(TransactionsData[Transaction ID],I149)&lt;&gt;1,"Duplicate transaction ID",IF(OR(NOT(ISNUMBER(A149)),A149&lt;1,A149&gt;DATE(2099,1,1)),"Use a valid date",IF(OR(A149&lt;$B$4,A149&gt;$D$4),"Outside coverage",IF(NOT(ISNUMBER(F149)),"Missing or invalid amount",IF(OR(K149="",L149="",N149=""),"Add vendor and office identities",IF(G149="Exclude",IF(OR(F149&lt;&gt;0,H149=""),"Review nonzero or unexplained exclusion",""),IF(G149&lt;&gt;"Include","Choose Include or Exclude",IF(COUNTIFS(AwardsData[Award ID],J149)&lt;&gt;1,"Award link needs review",IF(INDEX(AwardsData[Input check],MATCH(J149,AwardsData[Award ID],0))&lt;&gt;"","Check award inputs","")))))))))))</f>
        <v/>
      </c>
      <c r="V149" s="57" t="n">
        <f aca="false">IF(AND(I149&lt;&gt;"",U149="",G149="Include"),1,0)</f>
        <v>1</v>
      </c>
      <c r="W149" s="57" t="str">
        <f aca="false">IF(I149="","",IF(COUNTIFS(AwardsData[Award ID],J149)=1,INDEX(AwardsData[Current award type],MATCH(J149,AwardsData[Award ID],0)),"Unlinked"))</f>
        <v>BPA Call</v>
      </c>
      <c r="X149" s="57" t="str">
        <f aca="false">IF(I149="","",IF(COUNTIFS(AwardsData[Award ID],J149)=1,INDEX(AwardsData[Current set-aside],MATCH(J149,AwardsData[Award ID],0)),"Unlinked"))</f>
        <v>No Set-Aside Used</v>
      </c>
      <c r="Y149" s="57" t="str">
        <f aca="false">IF(I149="","",IF(COUNTIFS(AwardsData[Award ID],J149)=1,INDEX(AwardsData[Performance state],MATCH(J149,AwardsData[Award ID],0)),"Unlinked"))</f>
        <v>Maryland</v>
      </c>
      <c r="Z149" s="57" t="n">
        <f aca="false">IF(AND(V149=1,OR(Dashboard!$AB$2="All",K149=Dashboard!$AB$2),OR(Dashboard!$AB$3="All",L149=Dashboard!$AB$3),OR(Dashboard!$N$10="All",W149=Dashboard!$N$10)),1,0)</f>
        <v>1</v>
      </c>
      <c r="AA149" s="57" t="n">
        <f aca="false">IF(AND(Z149=1,OR(Dashboard!$B$7="All",S149=Dashboard!$B$7)),1,0)</f>
        <v>1</v>
      </c>
      <c r="AB149" s="57" t="n">
        <f aca="false">IF(AND(V149=1,F149&lt;&gt;0),1,0)</f>
        <v>1</v>
      </c>
      <c r="AC149" s="57" t="n">
        <f aca="false">IF(AND(AA149=1,AB149=1),IF(COUNTIFS($J$17:J149,J149,$AA$17:AA149,1,$AB$17:AB149,1)=1,1,0),0)</f>
        <v>1</v>
      </c>
      <c r="AD149" s="57" t="n">
        <f aca="false">IF(AND(AA149=1,AB149=1),IF(COUNTIFS($K$17:K149,K149,$AA$17:AA149,1,$AB$17:AB149,1)=1,1,0),0)</f>
        <v>0</v>
      </c>
      <c r="AE149" s="57" t="n">
        <f aca="false">IF(AND(Z149=1,AB149=1),IF(COUNTIFS($J$17:J149,J149,$S$17:S149,S149,$Z$17:Z149,1,$AB$17:AB149,1)=1,1,0),0)</f>
        <v>1</v>
      </c>
      <c r="AF149" s="57" t="n">
        <f aca="false">IF(AND(Z149=1,AB149=1),IF(COUNTIFS($K$17:K149,K149,$S$17:S149,S149,$Z$17:Z149,1,$AB$17:AB149,1)=1,1,0),0)</f>
        <v>0</v>
      </c>
      <c r="AG149" s="57" t="n">
        <f aca="false">IF(AND(AA149=1,AB149=1),IF(COUNTIFS($J$17:J149,J149,$L$17:L149,L149,$AA$17:AA149,1,$AB$17:AB149,1)=1,1,0),0)</f>
        <v>1</v>
      </c>
      <c r="AH149" s="57" t="n">
        <f aca="false">IF(AND(AA149=1,AB149=1),IF(COUNTIFS($J$17:J149,J149,$K$17:K149,K149,$AA$17:AA149,1,$AB$17:AB149,1)=1,1,0),0)</f>
        <v>1</v>
      </c>
      <c r="AI149" s="56" t="n">
        <f aca="false">IF(V149=1,MAX(F149,0),0)</f>
        <v>220535.19</v>
      </c>
      <c r="AJ149" s="56" t="n">
        <f aca="false">IF(V149=1,MIN(F149,0),0)</f>
        <v>0</v>
      </c>
    </row>
    <row r="150" customFormat="false" ht="40" hidden="false" customHeight="true" outlineLevel="0" collapsed="false">
      <c r="A150" s="66" t="n">
        <v>45644</v>
      </c>
      <c r="B150" s="54" t="str">
        <f aca="false">IF(M150="","",IF(P150="",M150,HYPERLINK(P150,M150)))</f>
        <v>49100422A0002-49100425F0016</v>
      </c>
      <c r="C150" s="54" t="str">
        <f aca="false">IF(N150="","",IF(Q150="",N150,HYPERLINK(Q150,N150)))</f>
        <v>Directviz Solutions, LLC</v>
      </c>
      <c r="D150" s="60" t="s">
        <v>123</v>
      </c>
      <c r="E150" s="54" t="str">
        <f aca="false">IF(O150="","",IF(R150="",O150,HYPERLINK(R150,O150)))</f>
        <v>Division of Information Systems</v>
      </c>
      <c r="F150" s="62" t="n">
        <v>2857216.32</v>
      </c>
      <c r="G150" s="61" t="s">
        <v>464</v>
      </c>
      <c r="H150" s="58"/>
      <c r="I150" s="58" t="s">
        <v>601</v>
      </c>
      <c r="J150" s="58" t="s">
        <v>320</v>
      </c>
      <c r="K150" s="58" t="s">
        <v>121</v>
      </c>
      <c r="L150" s="58" t="s">
        <v>197</v>
      </c>
      <c r="M150" s="58" t="s">
        <v>321</v>
      </c>
      <c r="N150" s="58" t="s">
        <v>122</v>
      </c>
      <c r="O150" s="58" t="s">
        <v>198</v>
      </c>
      <c r="P150" s="58" t="s">
        <v>322</v>
      </c>
      <c r="Q150" s="58" t="s">
        <v>124</v>
      </c>
      <c r="R150" s="58" t="s">
        <v>200</v>
      </c>
      <c r="S150" s="57" t="n">
        <f aca="false">IF(ISNUMBER(A150),YEAR(A150)+IF(MONTH(A150)&gt;=10,1,0),"")</f>
        <v>2025</v>
      </c>
      <c r="T150" s="57" t="n">
        <f aca="false">IF(ISNUMBER(A150),INT(MOD(MONTH(A150)-10,12)/3)+1,"")</f>
        <v>1</v>
      </c>
      <c r="U150" s="57" t="str">
        <f aca="false">IF(AND(I150&lt;&gt;"",D150&lt;&gt;"",OR(COUNTIFS(TransactionsData[Vendor ID],K150,TransactionsData[UEI],"&lt;&gt;"&amp;D150,TransactionsData[UEI],"?*")&gt;0,COUNTIFS(VendorGroups[Record ID],K150,VendorGroups[Source UEI],"&lt;&gt;"&amp;D150,VendorGroups[Source UEI],"?*")&gt;0)),"Conflicting vendor UEIs",IF(I150="",IF(COUNTA(A150,D150,F150:R150)&gt;0,"Missing transaction ID",""),IF(COUNTIFS(TransactionsData[Transaction ID],I150)&lt;&gt;1,"Duplicate transaction ID",IF(OR(NOT(ISNUMBER(A150)),A150&lt;1,A150&gt;DATE(2099,1,1)),"Use a valid date",IF(OR(A150&lt;$B$4,A150&gt;$D$4),"Outside coverage",IF(NOT(ISNUMBER(F150)),"Missing or invalid amount",IF(OR(K150="",L150="",N150=""),"Add vendor and office identities",IF(G150="Exclude",IF(OR(F150&lt;&gt;0,H150=""),"Review nonzero or unexplained exclusion",""),IF(G150&lt;&gt;"Include","Choose Include or Exclude",IF(COUNTIFS(AwardsData[Award ID],J150)&lt;&gt;1,"Award link needs review",IF(INDEX(AwardsData[Input check],MATCH(J150,AwardsData[Award ID],0))&lt;&gt;"","Check award inputs","")))))))))))</f>
        <v/>
      </c>
      <c r="V150" s="57" t="n">
        <f aca="false">IF(AND(I150&lt;&gt;"",U150="",G150="Include"),1,0)</f>
        <v>1</v>
      </c>
      <c r="W150" s="57" t="str">
        <f aca="false">IF(I150="","",IF(COUNTIFS(AwardsData[Award ID],J150)=1,INDEX(AwardsData[Current award type],MATCH(J150,AwardsData[Award ID],0)),"Unlinked"))</f>
        <v>BPA Call</v>
      </c>
      <c r="X150" s="57" t="str">
        <f aca="false">IF(I150="","",IF(COUNTIFS(AwardsData[Award ID],J150)=1,INDEX(AwardsData[Current set-aside],MATCH(J150,AwardsData[Award ID],0)),"Unlinked"))</f>
        <v>Total Small Business</v>
      </c>
      <c r="Y150" s="57" t="str">
        <f aca="false">IF(I150="","",IF(COUNTIFS(AwardsData[Award ID],J150)=1,INDEX(AwardsData[Performance state],MATCH(J150,AwardsData[Award ID],0)),"Unlinked"))</f>
        <v>Virginia</v>
      </c>
      <c r="Z150" s="57" t="n">
        <f aca="false">IF(AND(V150=1,OR(Dashboard!$AB$2="All",K150=Dashboard!$AB$2),OR(Dashboard!$AB$3="All",L150=Dashboard!$AB$3),OR(Dashboard!$N$10="All",W150=Dashboard!$N$10)),1,0)</f>
        <v>1</v>
      </c>
      <c r="AA150" s="57" t="n">
        <f aca="false">IF(AND(Z150=1,OR(Dashboard!$B$7="All",S150=Dashboard!$B$7)),1,0)</f>
        <v>1</v>
      </c>
      <c r="AB150" s="57" t="n">
        <f aca="false">IF(AND(V150=1,F150&lt;&gt;0),1,0)</f>
        <v>1</v>
      </c>
      <c r="AC150" s="57" t="n">
        <f aca="false">IF(AND(AA150=1,AB150=1),IF(COUNTIFS($J$17:J150,J150,$AA$17:AA150,1,$AB$17:AB150,1)=1,1,0),0)</f>
        <v>1</v>
      </c>
      <c r="AD150" s="57" t="n">
        <f aca="false">IF(AND(AA150=1,AB150=1),IF(COUNTIFS($K$17:K150,K150,$AA$17:AA150,1,$AB$17:AB150,1)=1,1,0),0)</f>
        <v>0</v>
      </c>
      <c r="AE150" s="57" t="n">
        <f aca="false">IF(AND(Z150=1,AB150=1),IF(COUNTIFS($J$17:J150,J150,$S$17:S150,S150,$Z$17:Z150,1,$AB$17:AB150,1)=1,1,0),0)</f>
        <v>1</v>
      </c>
      <c r="AF150" s="57" t="n">
        <f aca="false">IF(AND(Z150=1,AB150=1),IF(COUNTIFS($K$17:K150,K150,$S$17:S150,S150,$Z$17:Z150,1,$AB$17:AB150,1)=1,1,0),0)</f>
        <v>0</v>
      </c>
      <c r="AG150" s="57" t="n">
        <f aca="false">IF(AND(AA150=1,AB150=1),IF(COUNTIFS($J$17:J150,J150,$L$17:L150,L150,$AA$17:AA150,1,$AB$17:AB150,1)=1,1,0),0)</f>
        <v>1</v>
      </c>
      <c r="AH150" s="57" t="n">
        <f aca="false">IF(AND(AA150=1,AB150=1),IF(COUNTIFS($J$17:J150,J150,$K$17:K150,K150,$AA$17:AA150,1,$AB$17:AB150,1)=1,1,0),0)</f>
        <v>1</v>
      </c>
      <c r="AI150" s="56" t="n">
        <f aca="false">IF(V150=1,MAX(F150,0),0)</f>
        <v>2857216.32</v>
      </c>
      <c r="AJ150" s="56" t="n">
        <f aca="false">IF(V150=1,MIN(F150,0),0)</f>
        <v>0</v>
      </c>
    </row>
    <row r="151" customFormat="false" ht="40" hidden="false" customHeight="true" outlineLevel="0" collapsed="false">
      <c r="A151" s="66" t="n">
        <v>45644</v>
      </c>
      <c r="B151" s="54" t="str">
        <f aca="false">IF(M151="","",IF(P151="",M151,HYPERLINK(P151,M151)))</f>
        <v>49100422A0002-49100425F0017</v>
      </c>
      <c r="C151" s="54" t="str">
        <f aca="false">IF(N151="","",IF(Q151="",N151,HYPERLINK(Q151,N151)))</f>
        <v>Directviz Solutions, LLC</v>
      </c>
      <c r="D151" s="60" t="s">
        <v>123</v>
      </c>
      <c r="E151" s="54" t="str">
        <f aca="false">IF(O151="","",IF(R151="",O151,HYPERLINK(R151,O151)))</f>
        <v>Division of Information Systems</v>
      </c>
      <c r="F151" s="62" t="n">
        <v>3045241.27</v>
      </c>
      <c r="G151" s="61" t="s">
        <v>464</v>
      </c>
      <c r="H151" s="58"/>
      <c r="I151" s="58" t="s">
        <v>602</v>
      </c>
      <c r="J151" s="58" t="s">
        <v>323</v>
      </c>
      <c r="K151" s="58" t="s">
        <v>121</v>
      </c>
      <c r="L151" s="58" t="s">
        <v>197</v>
      </c>
      <c r="M151" s="58" t="s">
        <v>324</v>
      </c>
      <c r="N151" s="58" t="s">
        <v>122</v>
      </c>
      <c r="O151" s="58" t="s">
        <v>198</v>
      </c>
      <c r="P151" s="58" t="s">
        <v>325</v>
      </c>
      <c r="Q151" s="58" t="s">
        <v>124</v>
      </c>
      <c r="R151" s="58" t="s">
        <v>200</v>
      </c>
      <c r="S151" s="57" t="n">
        <f aca="false">IF(ISNUMBER(A151),YEAR(A151)+IF(MONTH(A151)&gt;=10,1,0),"")</f>
        <v>2025</v>
      </c>
      <c r="T151" s="57" t="n">
        <f aca="false">IF(ISNUMBER(A151),INT(MOD(MONTH(A151)-10,12)/3)+1,"")</f>
        <v>1</v>
      </c>
      <c r="U151" s="57" t="str">
        <f aca="false">IF(AND(I151&lt;&gt;"",D151&lt;&gt;"",OR(COUNTIFS(TransactionsData[Vendor ID],K151,TransactionsData[UEI],"&lt;&gt;"&amp;D151,TransactionsData[UEI],"?*")&gt;0,COUNTIFS(VendorGroups[Record ID],K151,VendorGroups[Source UEI],"&lt;&gt;"&amp;D151,VendorGroups[Source UEI],"?*")&gt;0)),"Conflicting vendor UEIs",IF(I151="",IF(COUNTA(A151,D151,F151:R151)&gt;0,"Missing transaction ID",""),IF(COUNTIFS(TransactionsData[Transaction ID],I151)&lt;&gt;1,"Duplicate transaction ID",IF(OR(NOT(ISNUMBER(A151)),A151&lt;1,A151&gt;DATE(2099,1,1)),"Use a valid date",IF(OR(A151&lt;$B$4,A151&gt;$D$4),"Outside coverage",IF(NOT(ISNUMBER(F151)),"Missing or invalid amount",IF(OR(K151="",L151="",N151=""),"Add vendor and office identities",IF(G151="Exclude",IF(OR(F151&lt;&gt;0,H151=""),"Review nonzero or unexplained exclusion",""),IF(G151&lt;&gt;"Include","Choose Include or Exclude",IF(COUNTIFS(AwardsData[Award ID],J151)&lt;&gt;1,"Award link needs review",IF(INDEX(AwardsData[Input check],MATCH(J151,AwardsData[Award ID],0))&lt;&gt;"","Check award inputs","")))))))))))</f>
        <v/>
      </c>
      <c r="V151" s="57" t="n">
        <f aca="false">IF(AND(I151&lt;&gt;"",U151="",G151="Include"),1,0)</f>
        <v>1</v>
      </c>
      <c r="W151" s="57" t="str">
        <f aca="false">IF(I151="","",IF(COUNTIFS(AwardsData[Award ID],J151)=1,INDEX(AwardsData[Current award type],MATCH(J151,AwardsData[Award ID],0)),"Unlinked"))</f>
        <v>BPA Call</v>
      </c>
      <c r="X151" s="57" t="str">
        <f aca="false">IF(I151="","",IF(COUNTIFS(AwardsData[Award ID],J151)=1,INDEX(AwardsData[Current set-aside],MATCH(J151,AwardsData[Award ID],0)),"Unlinked"))</f>
        <v>Total Small Business</v>
      </c>
      <c r="Y151" s="57" t="str">
        <f aca="false">IF(I151="","",IF(COUNTIFS(AwardsData[Award ID],J151)=1,INDEX(AwardsData[Performance state],MATCH(J151,AwardsData[Award ID],0)),"Unlinked"))</f>
        <v>Virginia</v>
      </c>
      <c r="Z151" s="57" t="n">
        <f aca="false">IF(AND(V151=1,OR(Dashboard!$AB$2="All",K151=Dashboard!$AB$2),OR(Dashboard!$AB$3="All",L151=Dashboard!$AB$3),OR(Dashboard!$N$10="All",W151=Dashboard!$N$10)),1,0)</f>
        <v>1</v>
      </c>
      <c r="AA151" s="57" t="n">
        <f aca="false">IF(AND(Z151=1,OR(Dashboard!$B$7="All",S151=Dashboard!$B$7)),1,0)</f>
        <v>1</v>
      </c>
      <c r="AB151" s="57" t="n">
        <f aca="false">IF(AND(V151=1,F151&lt;&gt;0),1,0)</f>
        <v>1</v>
      </c>
      <c r="AC151" s="57" t="n">
        <f aca="false">IF(AND(AA151=1,AB151=1),IF(COUNTIFS($J$17:J151,J151,$AA$17:AA151,1,$AB$17:AB151,1)=1,1,0),0)</f>
        <v>1</v>
      </c>
      <c r="AD151" s="57" t="n">
        <f aca="false">IF(AND(AA151=1,AB151=1),IF(COUNTIFS($K$17:K151,K151,$AA$17:AA151,1,$AB$17:AB151,1)=1,1,0),0)</f>
        <v>0</v>
      </c>
      <c r="AE151" s="57" t="n">
        <f aca="false">IF(AND(Z151=1,AB151=1),IF(COUNTIFS($J$17:J151,J151,$S$17:S151,S151,$Z$17:Z151,1,$AB$17:AB151,1)=1,1,0),0)</f>
        <v>1</v>
      </c>
      <c r="AF151" s="57" t="n">
        <f aca="false">IF(AND(Z151=1,AB151=1),IF(COUNTIFS($K$17:K151,K151,$S$17:S151,S151,$Z$17:Z151,1,$AB$17:AB151,1)=1,1,0),0)</f>
        <v>0</v>
      </c>
      <c r="AG151" s="57" t="n">
        <f aca="false">IF(AND(AA151=1,AB151=1),IF(COUNTIFS($J$17:J151,J151,$L$17:L151,L151,$AA$17:AA151,1,$AB$17:AB151,1)=1,1,0),0)</f>
        <v>1</v>
      </c>
      <c r="AH151" s="57" t="n">
        <f aca="false">IF(AND(AA151=1,AB151=1),IF(COUNTIFS($J$17:J151,J151,$K$17:K151,K151,$AA$17:AA151,1,$AB$17:AB151,1)=1,1,0),0)</f>
        <v>1</v>
      </c>
      <c r="AI151" s="56" t="n">
        <f aca="false">IF(V151=1,MAX(F151,0),0)</f>
        <v>3045241.27</v>
      </c>
      <c r="AJ151" s="56" t="n">
        <f aca="false">IF(V151=1,MIN(F151,0),0)</f>
        <v>0</v>
      </c>
    </row>
    <row r="152" customFormat="false" ht="40" hidden="false" customHeight="true" outlineLevel="0" collapsed="false">
      <c r="A152" s="66" t="n">
        <v>45645</v>
      </c>
      <c r="B152" s="54" t="str">
        <f aca="false">IF(M152="","",IF(P152="",M152,HYPERLINK(P152,M152)))</f>
        <v>49100424C0051</v>
      </c>
      <c r="C152" s="54" t="str">
        <f aca="false">IF(N152="","",IF(Q152="",N152,HYPERLINK(Q152,N152)))</f>
        <v>Rei Systems, Inc.</v>
      </c>
      <c r="D152" s="60" t="s">
        <v>158</v>
      </c>
      <c r="E152" s="54" t="str">
        <f aca="false">IF(O152="","",IF(R152="",O152,HYPERLINK(R152,O152)))</f>
        <v>NSF — office not specified</v>
      </c>
      <c r="F152" s="62" t="n">
        <v>460571.49</v>
      </c>
      <c r="G152" s="61" t="s">
        <v>464</v>
      </c>
      <c r="H152" s="58"/>
      <c r="I152" s="58" t="s">
        <v>603</v>
      </c>
      <c r="J152" s="58" t="s">
        <v>400</v>
      </c>
      <c r="K152" s="58" t="s">
        <v>156</v>
      </c>
      <c r="L152" s="58" t="s">
        <v>213</v>
      </c>
      <c r="M152" s="58" t="s">
        <v>400</v>
      </c>
      <c r="N152" s="58" t="s">
        <v>157</v>
      </c>
      <c r="O152" s="58" t="s">
        <v>214</v>
      </c>
      <c r="P152" s="58" t="s">
        <v>401</v>
      </c>
      <c r="Q152" s="58" t="s">
        <v>159</v>
      </c>
      <c r="R152" s="58" t="s">
        <v>215</v>
      </c>
      <c r="S152" s="57" t="n">
        <f aca="false">IF(ISNUMBER(A152),YEAR(A152)+IF(MONTH(A152)&gt;=10,1,0),"")</f>
        <v>2025</v>
      </c>
      <c r="T152" s="57" t="n">
        <f aca="false">IF(ISNUMBER(A152),INT(MOD(MONTH(A152)-10,12)/3)+1,"")</f>
        <v>1</v>
      </c>
      <c r="U152" s="57" t="str">
        <f aca="false">IF(AND(I152&lt;&gt;"",D152&lt;&gt;"",OR(COUNTIFS(TransactionsData[Vendor ID],K152,TransactionsData[UEI],"&lt;&gt;"&amp;D152,TransactionsData[UEI],"?*")&gt;0,COUNTIFS(VendorGroups[Record ID],K152,VendorGroups[Source UEI],"&lt;&gt;"&amp;D152,VendorGroups[Source UEI],"?*")&gt;0)),"Conflicting vendor UEIs",IF(I152="",IF(COUNTA(A152,D152,F152:R152)&gt;0,"Missing transaction ID",""),IF(COUNTIFS(TransactionsData[Transaction ID],I152)&lt;&gt;1,"Duplicate transaction ID",IF(OR(NOT(ISNUMBER(A152)),A152&lt;1,A152&gt;DATE(2099,1,1)),"Use a valid date",IF(OR(A152&lt;$B$4,A152&gt;$D$4),"Outside coverage",IF(NOT(ISNUMBER(F152)),"Missing or invalid amount",IF(OR(K152="",L152="",N152=""),"Add vendor and office identities",IF(G152="Exclude",IF(OR(F152&lt;&gt;0,H152=""),"Review nonzero or unexplained exclusion",""),IF(G152&lt;&gt;"Include","Choose Include or Exclude",IF(COUNTIFS(AwardsData[Award ID],J152)&lt;&gt;1,"Award link needs review",IF(INDEX(AwardsData[Input check],MATCH(J152,AwardsData[Award ID],0))&lt;&gt;"","Check award inputs","")))))))))))</f>
        <v/>
      </c>
      <c r="V152" s="57" t="n">
        <f aca="false">IF(AND(I152&lt;&gt;"",U152="",G152="Include"),1,0)</f>
        <v>1</v>
      </c>
      <c r="W152" s="57" t="str">
        <f aca="false">IF(I152="","",IF(COUNTIFS(AwardsData[Award ID],J152)=1,INDEX(AwardsData[Current award type],MATCH(J152,AwardsData[Award ID],0)),"Unlinked"))</f>
        <v>Definitive Contract</v>
      </c>
      <c r="X152" s="57" t="str">
        <f aca="false">IF(I152="","",IF(COUNTIFS(AwardsData[Award ID],J152)=1,INDEX(AwardsData[Current set-aside],MATCH(J152,AwardsData[Award ID],0)),"Unlinked"))</f>
        <v>No Set-Aside Used</v>
      </c>
      <c r="Y152" s="57" t="str">
        <f aca="false">IF(I152="","",IF(COUNTIFS(AwardsData[Award ID],J152)=1,INDEX(AwardsData[Performance state],MATCH(J152,AwardsData[Award ID],0)),"Unlinked"))</f>
        <v>Virginia</v>
      </c>
      <c r="Z152" s="57" t="n">
        <f aca="false">IF(AND(V152=1,OR(Dashboard!$AB$2="All",K152=Dashboard!$AB$2),OR(Dashboard!$AB$3="All",L152=Dashboard!$AB$3),OR(Dashboard!$N$10="All",W152=Dashboard!$N$10)),1,0)</f>
        <v>1</v>
      </c>
      <c r="AA152" s="57" t="n">
        <f aca="false">IF(AND(Z152=1,OR(Dashboard!$B$7="All",S152=Dashboard!$B$7)),1,0)</f>
        <v>1</v>
      </c>
      <c r="AB152" s="57" t="n">
        <f aca="false">IF(AND(V152=1,F152&lt;&gt;0),1,0)</f>
        <v>1</v>
      </c>
      <c r="AC152" s="57" t="n">
        <f aca="false">IF(AND(AA152=1,AB152=1),IF(COUNTIFS($J$17:J152,J152,$AA$17:AA152,1,$AB$17:AB152,1)=1,1,0),0)</f>
        <v>1</v>
      </c>
      <c r="AD152" s="57" t="n">
        <f aca="false">IF(AND(AA152=1,AB152=1),IF(COUNTIFS($K$17:K152,K152,$AA$17:AA152,1,$AB$17:AB152,1)=1,1,0),0)</f>
        <v>1</v>
      </c>
      <c r="AE152" s="57" t="n">
        <f aca="false">IF(AND(Z152=1,AB152=1),IF(COUNTIFS($J$17:J152,J152,$S$17:S152,S152,$Z$17:Z152,1,$AB$17:AB152,1)=1,1,0),0)</f>
        <v>1</v>
      </c>
      <c r="AF152" s="57" t="n">
        <f aca="false">IF(AND(Z152=1,AB152=1),IF(COUNTIFS($K$17:K152,K152,$S$17:S152,S152,$Z$17:Z152,1,$AB$17:AB152,1)=1,1,0),0)</f>
        <v>1</v>
      </c>
      <c r="AG152" s="57" t="n">
        <f aca="false">IF(AND(AA152=1,AB152=1),IF(COUNTIFS($J$17:J152,J152,$L$17:L152,L152,$AA$17:AA152,1,$AB$17:AB152,1)=1,1,0),0)</f>
        <v>1</v>
      </c>
      <c r="AH152" s="57" t="n">
        <f aca="false">IF(AND(AA152=1,AB152=1),IF(COUNTIFS($J$17:J152,J152,$K$17:K152,K152,$AA$17:AA152,1,$AB$17:AB152,1)=1,1,0),0)</f>
        <v>1</v>
      </c>
      <c r="AI152" s="56" t="n">
        <f aca="false">IF(V152=1,MAX(F152,0),0)</f>
        <v>460571.49</v>
      </c>
      <c r="AJ152" s="56" t="n">
        <f aca="false">IF(V152=1,MIN(F152,0),0)</f>
        <v>0</v>
      </c>
    </row>
    <row r="153" customFormat="false" ht="40" hidden="false" customHeight="true" outlineLevel="0" collapsed="false">
      <c r="A153" s="66" t="n">
        <v>45651</v>
      </c>
      <c r="B153" s="54" t="str">
        <f aca="false">IF(M153="","",IF(P153="",M153,HYPERLINK(P153,M153)))</f>
        <v>49100422A0002-49100424F0008</v>
      </c>
      <c r="C153" s="54" t="str">
        <f aca="false">IF(N153="","",IF(Q153="",N153,HYPERLINK(Q153,N153)))</f>
        <v>Directviz Solutions, LLC</v>
      </c>
      <c r="D153" s="60" t="s">
        <v>123</v>
      </c>
      <c r="E153" s="54" t="str">
        <f aca="false">IF(O153="","",IF(R153="",O153,HYPERLINK(R153,O153)))</f>
        <v>Division of Information Systems</v>
      </c>
      <c r="F153" s="62" t="n">
        <v>0</v>
      </c>
      <c r="G153" s="61" t="s">
        <v>464</v>
      </c>
      <c r="H153" s="58"/>
      <c r="I153" s="58" t="s">
        <v>604</v>
      </c>
      <c r="J153" s="58" t="s">
        <v>307</v>
      </c>
      <c r="K153" s="58" t="s">
        <v>121</v>
      </c>
      <c r="L153" s="58" t="s">
        <v>197</v>
      </c>
      <c r="M153" s="58" t="s">
        <v>308</v>
      </c>
      <c r="N153" s="58" t="s">
        <v>122</v>
      </c>
      <c r="O153" s="58" t="s">
        <v>198</v>
      </c>
      <c r="P153" s="58" t="s">
        <v>309</v>
      </c>
      <c r="Q153" s="58" t="s">
        <v>124</v>
      </c>
      <c r="R153" s="58" t="s">
        <v>200</v>
      </c>
      <c r="S153" s="57" t="n">
        <f aca="false">IF(ISNUMBER(A153),YEAR(A153)+IF(MONTH(A153)&gt;=10,1,0),"")</f>
        <v>2025</v>
      </c>
      <c r="T153" s="57" t="n">
        <f aca="false">IF(ISNUMBER(A153),INT(MOD(MONTH(A153)-10,12)/3)+1,"")</f>
        <v>1</v>
      </c>
      <c r="U153" s="57" t="str">
        <f aca="false">IF(AND(I153&lt;&gt;"",D153&lt;&gt;"",OR(COUNTIFS(TransactionsData[Vendor ID],K153,TransactionsData[UEI],"&lt;&gt;"&amp;D153,TransactionsData[UEI],"?*")&gt;0,COUNTIFS(VendorGroups[Record ID],K153,VendorGroups[Source UEI],"&lt;&gt;"&amp;D153,VendorGroups[Source UEI],"?*")&gt;0)),"Conflicting vendor UEIs",IF(I153="",IF(COUNTA(A153,D153,F153:R153)&gt;0,"Missing transaction ID",""),IF(COUNTIFS(TransactionsData[Transaction ID],I153)&lt;&gt;1,"Duplicate transaction ID",IF(OR(NOT(ISNUMBER(A153)),A153&lt;1,A153&gt;DATE(2099,1,1)),"Use a valid date",IF(OR(A153&lt;$B$4,A153&gt;$D$4),"Outside coverage",IF(NOT(ISNUMBER(F153)),"Missing or invalid amount",IF(OR(K153="",L153="",N153=""),"Add vendor and office identities",IF(G153="Exclude",IF(OR(F153&lt;&gt;0,H153=""),"Review nonzero or unexplained exclusion",""),IF(G153&lt;&gt;"Include","Choose Include or Exclude",IF(COUNTIFS(AwardsData[Award ID],J153)&lt;&gt;1,"Award link needs review",IF(INDEX(AwardsData[Input check],MATCH(J153,AwardsData[Award ID],0))&lt;&gt;"","Check award inputs","")))))))))))</f>
        <v/>
      </c>
      <c r="V153" s="57" t="n">
        <f aca="false">IF(AND(I153&lt;&gt;"",U153="",G153="Include"),1,0)</f>
        <v>1</v>
      </c>
      <c r="W153" s="57" t="str">
        <f aca="false">IF(I153="","",IF(COUNTIFS(AwardsData[Award ID],J153)=1,INDEX(AwardsData[Current award type],MATCH(J153,AwardsData[Award ID],0)),"Unlinked"))</f>
        <v>BPA Call</v>
      </c>
      <c r="X153" s="57" t="str">
        <f aca="false">IF(I153="","",IF(COUNTIFS(AwardsData[Award ID],J153)=1,INDEX(AwardsData[Current set-aside],MATCH(J153,AwardsData[Award ID],0)),"Unlinked"))</f>
        <v>Total Small Business</v>
      </c>
      <c r="Y153" s="57" t="str">
        <f aca="false">IF(I153="","",IF(COUNTIFS(AwardsData[Award ID],J153)=1,INDEX(AwardsData[Performance state],MATCH(J153,AwardsData[Award ID],0)),"Unlinked"))</f>
        <v>Virginia</v>
      </c>
      <c r="Z153" s="57" t="n">
        <f aca="false">IF(AND(V153=1,OR(Dashboard!$AB$2="All",K153=Dashboard!$AB$2),OR(Dashboard!$AB$3="All",L153=Dashboard!$AB$3),OR(Dashboard!$N$10="All",W153=Dashboard!$N$10)),1,0)</f>
        <v>1</v>
      </c>
      <c r="AA153" s="57" t="n">
        <f aca="false">IF(AND(Z153=1,OR(Dashboard!$B$7="All",S153=Dashboard!$B$7)),1,0)</f>
        <v>1</v>
      </c>
      <c r="AB153" s="57" t="n">
        <f aca="false">IF(AND(V153=1,F153&lt;&gt;0),1,0)</f>
        <v>0</v>
      </c>
      <c r="AC153" s="57" t="n">
        <f aca="false">IF(AND(AA153=1,AB153=1),IF(COUNTIFS($J$17:J153,J153,$AA$17:AA153,1,$AB$17:AB153,1)=1,1,0),0)</f>
        <v>0</v>
      </c>
      <c r="AD153" s="57" t="n">
        <f aca="false">IF(AND(AA153=1,AB153=1),IF(COUNTIFS($K$17:K153,K153,$AA$17:AA153,1,$AB$17:AB153,1)=1,1,0),0)</f>
        <v>0</v>
      </c>
      <c r="AE153" s="57" t="n">
        <f aca="false">IF(AND(Z153=1,AB153=1),IF(COUNTIFS($J$17:J153,J153,$S$17:S153,S153,$Z$17:Z153,1,$AB$17:AB153,1)=1,1,0),0)</f>
        <v>0</v>
      </c>
      <c r="AF153" s="57" t="n">
        <f aca="false">IF(AND(Z153=1,AB153=1),IF(COUNTIFS($K$17:K153,K153,$S$17:S153,S153,$Z$17:Z153,1,$AB$17:AB153,1)=1,1,0),0)</f>
        <v>0</v>
      </c>
      <c r="AG153" s="57" t="n">
        <f aca="false">IF(AND(AA153=1,AB153=1),IF(COUNTIFS($J$17:J153,J153,$L$17:L153,L153,$AA$17:AA153,1,$AB$17:AB153,1)=1,1,0),0)</f>
        <v>0</v>
      </c>
      <c r="AH153" s="57" t="n">
        <f aca="false">IF(AND(AA153=1,AB153=1),IF(COUNTIFS($J$17:J153,J153,$K$17:K153,K153,$AA$17:AA153,1,$AB$17:AB153,1)=1,1,0),0)</f>
        <v>0</v>
      </c>
      <c r="AI153" s="56" t="n">
        <f aca="false">IF(V153=1,MAX(F153,0),0)</f>
        <v>0</v>
      </c>
      <c r="AJ153" s="56" t="n">
        <f aca="false">IF(V153=1,MIN(F153,0),0)</f>
        <v>0</v>
      </c>
    </row>
    <row r="154" customFormat="false" ht="40" hidden="false" customHeight="true" outlineLevel="0" collapsed="false">
      <c r="A154" s="66" t="n">
        <v>45663</v>
      </c>
      <c r="B154" s="54" t="str">
        <f aca="false">IF(M154="","",IF(P154="",M154,HYPERLINK(P154,M154)))</f>
        <v>47QTCA18D008L-49100425F0010</v>
      </c>
      <c r="C154" s="54" t="str">
        <f aca="false">IF(N154="","",IF(Q154="",N154,HYPERLINK(Q154,N154)))</f>
        <v>Gartner, Inc.</v>
      </c>
      <c r="D154" s="60" t="s">
        <v>131</v>
      </c>
      <c r="E154" s="54" t="str">
        <f aca="false">IF(O154="","",IF(R154="",O154,HYPERLINK(R154,O154)))</f>
        <v>NSF — office not specified</v>
      </c>
      <c r="F154" s="62" t="n">
        <v>349440</v>
      </c>
      <c r="G154" s="61" t="s">
        <v>464</v>
      </c>
      <c r="H154" s="58"/>
      <c r="I154" s="58" t="s">
        <v>605</v>
      </c>
      <c r="J154" s="58" t="s">
        <v>254</v>
      </c>
      <c r="K154" s="58" t="s">
        <v>129</v>
      </c>
      <c r="L154" s="58" t="s">
        <v>213</v>
      </c>
      <c r="M154" s="58" t="s">
        <v>255</v>
      </c>
      <c r="N154" s="58" t="s">
        <v>130</v>
      </c>
      <c r="O154" s="58" t="s">
        <v>214</v>
      </c>
      <c r="P154" s="58" t="s">
        <v>256</v>
      </c>
      <c r="Q154" s="58" t="s">
        <v>132</v>
      </c>
      <c r="R154" s="58" t="s">
        <v>215</v>
      </c>
      <c r="S154" s="57" t="n">
        <f aca="false">IF(ISNUMBER(A154),YEAR(A154)+IF(MONTH(A154)&gt;=10,1,0),"")</f>
        <v>2025</v>
      </c>
      <c r="T154" s="57" t="n">
        <f aca="false">IF(ISNUMBER(A154),INT(MOD(MONTH(A154)-10,12)/3)+1,"")</f>
        <v>2</v>
      </c>
      <c r="U154" s="57" t="str">
        <f aca="false">IF(AND(I154&lt;&gt;"",D154&lt;&gt;"",OR(COUNTIFS(TransactionsData[Vendor ID],K154,TransactionsData[UEI],"&lt;&gt;"&amp;D154,TransactionsData[UEI],"?*")&gt;0,COUNTIFS(VendorGroups[Record ID],K154,VendorGroups[Source UEI],"&lt;&gt;"&amp;D154,VendorGroups[Source UEI],"?*")&gt;0)),"Conflicting vendor UEIs",IF(I154="",IF(COUNTA(A154,D154,F154:R154)&gt;0,"Missing transaction ID",""),IF(COUNTIFS(TransactionsData[Transaction ID],I154)&lt;&gt;1,"Duplicate transaction ID",IF(OR(NOT(ISNUMBER(A154)),A154&lt;1,A154&gt;DATE(2099,1,1)),"Use a valid date",IF(OR(A154&lt;$B$4,A154&gt;$D$4),"Outside coverage",IF(NOT(ISNUMBER(F154)),"Missing or invalid amount",IF(OR(K154="",L154="",N154=""),"Add vendor and office identities",IF(G154="Exclude",IF(OR(F154&lt;&gt;0,H154=""),"Review nonzero or unexplained exclusion",""),IF(G154&lt;&gt;"Include","Choose Include or Exclude",IF(COUNTIFS(AwardsData[Award ID],J154)&lt;&gt;1,"Award link needs review",IF(INDEX(AwardsData[Input check],MATCH(J154,AwardsData[Award ID],0))&lt;&gt;"","Check award inputs","")))))))))))</f>
        <v/>
      </c>
      <c r="V154" s="57" t="n">
        <f aca="false">IF(AND(I154&lt;&gt;"",U154="",G154="Include"),1,0)</f>
        <v>1</v>
      </c>
      <c r="W154" s="57" t="str">
        <f aca="false">IF(I154="","",IF(COUNTIFS(AwardsData[Award ID],J154)=1,INDEX(AwardsData[Current award type],MATCH(J154,AwardsData[Award ID],0)),"Unlinked"))</f>
        <v>Delivery Order</v>
      </c>
      <c r="X154" s="57" t="str">
        <f aca="false">IF(I154="","",IF(COUNTIFS(AwardsData[Award ID],J154)=1,INDEX(AwardsData[Current set-aside],MATCH(J154,AwardsData[Award ID],0)),"Unlinked"))</f>
        <v>No Set-Aside Used</v>
      </c>
      <c r="Y154" s="57" t="str">
        <f aca="false">IF(I154="","",IF(COUNTIFS(AwardsData[Award ID],J154)=1,INDEX(AwardsData[Performance state],MATCH(J154,AwardsData[Award ID],0)),"Unlinked"))</f>
        <v>Virginia</v>
      </c>
      <c r="Z154" s="57" t="n">
        <f aca="false">IF(AND(V154=1,OR(Dashboard!$AB$2="All",K154=Dashboard!$AB$2),OR(Dashboard!$AB$3="All",L154=Dashboard!$AB$3),OR(Dashboard!$N$10="All",W154=Dashboard!$N$10)),1,0)</f>
        <v>1</v>
      </c>
      <c r="AA154" s="57" t="n">
        <f aca="false">IF(AND(Z154=1,OR(Dashboard!$B$7="All",S154=Dashboard!$B$7)),1,0)</f>
        <v>1</v>
      </c>
      <c r="AB154" s="57" t="n">
        <f aca="false">IF(AND(V154=1,F154&lt;&gt;0),1,0)</f>
        <v>1</v>
      </c>
      <c r="AC154" s="57" t="n">
        <f aca="false">IF(AND(AA154=1,AB154=1),IF(COUNTIFS($J$17:J154,J154,$AA$17:AA154,1,$AB$17:AB154,1)=1,1,0),0)</f>
        <v>1</v>
      </c>
      <c r="AD154" s="57" t="n">
        <f aca="false">IF(AND(AA154=1,AB154=1),IF(COUNTIFS($K$17:K154,K154,$AA$17:AA154,1,$AB$17:AB154,1)=1,1,0),0)</f>
        <v>1</v>
      </c>
      <c r="AE154" s="57" t="n">
        <f aca="false">IF(AND(Z154=1,AB154=1),IF(COUNTIFS($J$17:J154,J154,$S$17:S154,S154,$Z$17:Z154,1,$AB$17:AB154,1)=1,1,0),0)</f>
        <v>1</v>
      </c>
      <c r="AF154" s="57" t="n">
        <f aca="false">IF(AND(Z154=1,AB154=1),IF(COUNTIFS($K$17:K154,K154,$S$17:S154,S154,$Z$17:Z154,1,$AB$17:AB154,1)=1,1,0),0)</f>
        <v>1</v>
      </c>
      <c r="AG154" s="57" t="n">
        <f aca="false">IF(AND(AA154=1,AB154=1),IF(COUNTIFS($J$17:J154,J154,$L$17:L154,L154,$AA$17:AA154,1,$AB$17:AB154,1)=1,1,0),0)</f>
        <v>1</v>
      </c>
      <c r="AH154" s="57" t="n">
        <f aca="false">IF(AND(AA154=1,AB154=1),IF(COUNTIFS($J$17:J154,J154,$K$17:K154,K154,$AA$17:AA154,1,$AB$17:AB154,1)=1,1,0),0)</f>
        <v>1</v>
      </c>
      <c r="AI154" s="56" t="n">
        <f aca="false">IF(V154=1,MAX(F154,0),0)</f>
        <v>349440</v>
      </c>
      <c r="AJ154" s="56" t="n">
        <f aca="false">IF(V154=1,MIN(F154,0),0)</f>
        <v>0</v>
      </c>
    </row>
    <row r="155" customFormat="false" ht="40" hidden="false" customHeight="true" outlineLevel="0" collapsed="false">
      <c r="A155" s="66" t="n">
        <v>45663</v>
      </c>
      <c r="B155" s="54" t="str">
        <f aca="false">IF(M155="","",IF(P155="",M155,HYPERLINK(P155,M155)))</f>
        <v>47QTCK18D0004-49100424F0001</v>
      </c>
      <c r="C155" s="54" t="str">
        <f aca="false">IF(N155="","",IF(Q155="",N155,HYPERLINK(Q155,N155)))</f>
        <v>Booz Allen Hamilton Inc.</v>
      </c>
      <c r="D155" s="60" t="s">
        <v>111</v>
      </c>
      <c r="E155" s="54" t="str">
        <f aca="false">IF(O155="","",IF(R155="",O155,HYPERLINK(R155,O155)))</f>
        <v>NSF — office not specified</v>
      </c>
      <c r="F155" s="62" t="n">
        <v>5000000</v>
      </c>
      <c r="G155" s="61" t="s">
        <v>464</v>
      </c>
      <c r="H155" s="58"/>
      <c r="I155" s="58" t="s">
        <v>606</v>
      </c>
      <c r="J155" s="58" t="s">
        <v>297</v>
      </c>
      <c r="K155" s="58" t="s">
        <v>109</v>
      </c>
      <c r="L155" s="58" t="s">
        <v>213</v>
      </c>
      <c r="M155" s="58" t="s">
        <v>298</v>
      </c>
      <c r="N155" s="58" t="s">
        <v>110</v>
      </c>
      <c r="O155" s="58" t="s">
        <v>214</v>
      </c>
      <c r="P155" s="58" t="s">
        <v>299</v>
      </c>
      <c r="Q155" s="58" t="s">
        <v>112</v>
      </c>
      <c r="R155" s="58" t="s">
        <v>215</v>
      </c>
      <c r="S155" s="57" t="n">
        <f aca="false">IF(ISNUMBER(A155),YEAR(A155)+IF(MONTH(A155)&gt;=10,1,0),"")</f>
        <v>2025</v>
      </c>
      <c r="T155" s="57" t="n">
        <f aca="false">IF(ISNUMBER(A155),INT(MOD(MONTH(A155)-10,12)/3)+1,"")</f>
        <v>2</v>
      </c>
      <c r="U155" s="57" t="str">
        <f aca="false">IF(AND(I155&lt;&gt;"",D155&lt;&gt;"",OR(COUNTIFS(TransactionsData[Vendor ID],K155,TransactionsData[UEI],"&lt;&gt;"&amp;D155,TransactionsData[UEI],"?*")&gt;0,COUNTIFS(VendorGroups[Record ID],K155,VendorGroups[Source UEI],"&lt;&gt;"&amp;D155,VendorGroups[Source UEI],"?*")&gt;0)),"Conflicting vendor UEIs",IF(I155="",IF(COUNTA(A155,D155,F155:R155)&gt;0,"Missing transaction ID",""),IF(COUNTIFS(TransactionsData[Transaction ID],I155)&lt;&gt;1,"Duplicate transaction ID",IF(OR(NOT(ISNUMBER(A155)),A155&lt;1,A155&gt;DATE(2099,1,1)),"Use a valid date",IF(OR(A155&lt;$B$4,A155&gt;$D$4),"Outside coverage",IF(NOT(ISNUMBER(F155)),"Missing or invalid amount",IF(OR(K155="",L155="",N155=""),"Add vendor and office identities",IF(G155="Exclude",IF(OR(F155&lt;&gt;0,H155=""),"Review nonzero or unexplained exclusion",""),IF(G155&lt;&gt;"Include","Choose Include or Exclude",IF(COUNTIFS(AwardsData[Award ID],J155)&lt;&gt;1,"Award link needs review",IF(INDEX(AwardsData[Input check],MATCH(J155,AwardsData[Award ID],0))&lt;&gt;"","Check award inputs","")))))))))))</f>
        <v/>
      </c>
      <c r="V155" s="57" t="n">
        <f aca="false">IF(AND(I155&lt;&gt;"",U155="",G155="Include"),1,0)</f>
        <v>1</v>
      </c>
      <c r="W155" s="57" t="str">
        <f aca="false">IF(I155="","",IF(COUNTIFS(AwardsData[Award ID],J155)=1,INDEX(AwardsData[Current award type],MATCH(J155,AwardsData[Award ID],0)),"Unlinked"))</f>
        <v>Delivery Order</v>
      </c>
      <c r="X155" s="57" t="str">
        <f aca="false">IF(I155="","",IF(COUNTIFS(AwardsData[Award ID],J155)=1,INDEX(AwardsData[Current set-aside],MATCH(J155,AwardsData[Award ID],0)),"Unlinked"))</f>
        <v>No Set-Aside Used</v>
      </c>
      <c r="Y155" s="57" t="str">
        <f aca="false">IF(I155="","",IF(COUNTIFS(AwardsData[Award ID],J155)=1,INDEX(AwardsData[Performance state],MATCH(J155,AwardsData[Award ID],0)),"Unlinked"))</f>
        <v>Virginia</v>
      </c>
      <c r="Z155" s="57" t="n">
        <f aca="false">IF(AND(V155=1,OR(Dashboard!$AB$2="All",K155=Dashboard!$AB$2),OR(Dashboard!$AB$3="All",L155=Dashboard!$AB$3),OR(Dashboard!$N$10="All",W155=Dashboard!$N$10)),1,0)</f>
        <v>1</v>
      </c>
      <c r="AA155" s="57" t="n">
        <f aca="false">IF(AND(Z155=1,OR(Dashboard!$B$7="All",S155=Dashboard!$B$7)),1,0)</f>
        <v>1</v>
      </c>
      <c r="AB155" s="57" t="n">
        <f aca="false">IF(AND(V155=1,F155&lt;&gt;0),1,0)</f>
        <v>1</v>
      </c>
      <c r="AC155" s="57" t="n">
        <f aca="false">IF(AND(AA155=1,AB155=1),IF(COUNTIFS($J$17:J155,J155,$AA$17:AA155,1,$AB$17:AB155,1)=1,1,0),0)</f>
        <v>0</v>
      </c>
      <c r="AD155" s="57" t="n">
        <f aca="false">IF(AND(AA155=1,AB155=1),IF(COUNTIFS($K$17:K155,K155,$AA$17:AA155,1,$AB$17:AB155,1)=1,1,0),0)</f>
        <v>0</v>
      </c>
      <c r="AE155" s="57" t="n">
        <f aca="false">IF(AND(Z155=1,AB155=1),IF(COUNTIFS($J$17:J155,J155,$S$17:S155,S155,$Z$17:Z155,1,$AB$17:AB155,1)=1,1,0),0)</f>
        <v>0</v>
      </c>
      <c r="AF155" s="57" t="n">
        <f aca="false">IF(AND(Z155=1,AB155=1),IF(COUNTIFS($K$17:K155,K155,$S$17:S155,S155,$Z$17:Z155,1,$AB$17:AB155,1)=1,1,0),0)</f>
        <v>0</v>
      </c>
      <c r="AG155" s="57" t="n">
        <f aca="false">IF(AND(AA155=1,AB155=1),IF(COUNTIFS($J$17:J155,J155,$L$17:L155,L155,$AA$17:AA155,1,$AB$17:AB155,1)=1,1,0),0)</f>
        <v>0</v>
      </c>
      <c r="AH155" s="57" t="n">
        <f aca="false">IF(AND(AA155=1,AB155=1),IF(COUNTIFS($J$17:J155,J155,$K$17:K155,K155,$AA$17:AA155,1,$AB$17:AB155,1)=1,1,0),0)</f>
        <v>0</v>
      </c>
      <c r="AI155" s="56" t="n">
        <f aca="false">IF(V155=1,MAX(F155,0),0)</f>
        <v>5000000</v>
      </c>
      <c r="AJ155" s="56" t="n">
        <f aca="false">IF(V155=1,MIN(F155,0),0)</f>
        <v>0</v>
      </c>
    </row>
    <row r="156" customFormat="false" ht="40" hidden="false" customHeight="true" outlineLevel="0" collapsed="false">
      <c r="A156" s="66" t="n">
        <v>45670</v>
      </c>
      <c r="B156" s="54" t="str">
        <f aca="false">IF(M156="","",IF(P156="",M156,HYPERLINK(P156,M156)))</f>
        <v>49100422A0002-49100424F0182</v>
      </c>
      <c r="C156" s="54" t="str">
        <f aca="false">IF(N156="","",IF(Q156="",N156,HYPERLINK(Q156,N156)))</f>
        <v>Directviz Solutions, LLC</v>
      </c>
      <c r="D156" s="60" t="s">
        <v>123</v>
      </c>
      <c r="E156" s="54" t="str">
        <f aca="false">IF(O156="","",IF(R156="",O156,HYPERLINK(R156,O156)))</f>
        <v>Division of Information Systems</v>
      </c>
      <c r="F156" s="62" t="n">
        <v>0</v>
      </c>
      <c r="G156" s="61" t="s">
        <v>464</v>
      </c>
      <c r="H156" s="58"/>
      <c r="I156" s="58" t="s">
        <v>607</v>
      </c>
      <c r="J156" s="58" t="s">
        <v>313</v>
      </c>
      <c r="K156" s="58" t="s">
        <v>121</v>
      </c>
      <c r="L156" s="58" t="s">
        <v>197</v>
      </c>
      <c r="M156" s="58" t="s">
        <v>314</v>
      </c>
      <c r="N156" s="58" t="s">
        <v>122</v>
      </c>
      <c r="O156" s="58" t="s">
        <v>198</v>
      </c>
      <c r="P156" s="58" t="s">
        <v>315</v>
      </c>
      <c r="Q156" s="58" t="s">
        <v>124</v>
      </c>
      <c r="R156" s="58" t="s">
        <v>200</v>
      </c>
      <c r="S156" s="57" t="n">
        <f aca="false">IF(ISNUMBER(A156),YEAR(A156)+IF(MONTH(A156)&gt;=10,1,0),"")</f>
        <v>2025</v>
      </c>
      <c r="T156" s="57" t="n">
        <f aca="false">IF(ISNUMBER(A156),INT(MOD(MONTH(A156)-10,12)/3)+1,"")</f>
        <v>2</v>
      </c>
      <c r="U156" s="57" t="str">
        <f aca="false">IF(AND(I156&lt;&gt;"",D156&lt;&gt;"",OR(COUNTIFS(TransactionsData[Vendor ID],K156,TransactionsData[UEI],"&lt;&gt;"&amp;D156,TransactionsData[UEI],"?*")&gt;0,COUNTIFS(VendorGroups[Record ID],K156,VendorGroups[Source UEI],"&lt;&gt;"&amp;D156,VendorGroups[Source UEI],"?*")&gt;0)),"Conflicting vendor UEIs",IF(I156="",IF(COUNTA(A156,D156,F156:R156)&gt;0,"Missing transaction ID",""),IF(COUNTIFS(TransactionsData[Transaction ID],I156)&lt;&gt;1,"Duplicate transaction ID",IF(OR(NOT(ISNUMBER(A156)),A156&lt;1,A156&gt;DATE(2099,1,1)),"Use a valid date",IF(OR(A156&lt;$B$4,A156&gt;$D$4),"Outside coverage",IF(NOT(ISNUMBER(F156)),"Missing or invalid amount",IF(OR(K156="",L156="",N156=""),"Add vendor and office identities",IF(G156="Exclude",IF(OR(F156&lt;&gt;0,H156=""),"Review nonzero or unexplained exclusion",""),IF(G156&lt;&gt;"Include","Choose Include or Exclude",IF(COUNTIFS(AwardsData[Award ID],J156)&lt;&gt;1,"Award link needs review",IF(INDEX(AwardsData[Input check],MATCH(J156,AwardsData[Award ID],0))&lt;&gt;"","Check award inputs","")))))))))))</f>
        <v/>
      </c>
      <c r="V156" s="57" t="n">
        <f aca="false">IF(AND(I156&lt;&gt;"",U156="",G156="Include"),1,0)</f>
        <v>1</v>
      </c>
      <c r="W156" s="57" t="str">
        <f aca="false">IF(I156="","",IF(COUNTIFS(AwardsData[Award ID],J156)=1,INDEX(AwardsData[Current award type],MATCH(J156,AwardsData[Award ID],0)),"Unlinked"))</f>
        <v>BPA Call</v>
      </c>
      <c r="X156" s="57" t="str">
        <f aca="false">IF(I156="","",IF(COUNTIFS(AwardsData[Award ID],J156)=1,INDEX(AwardsData[Current set-aside],MATCH(J156,AwardsData[Award ID],0)),"Unlinked"))</f>
        <v>Total Small Business</v>
      </c>
      <c r="Y156" s="57" t="str">
        <f aca="false">IF(I156="","",IF(COUNTIFS(AwardsData[Award ID],J156)=1,INDEX(AwardsData[Performance state],MATCH(J156,AwardsData[Award ID],0)),"Unlinked"))</f>
        <v>Virginia</v>
      </c>
      <c r="Z156" s="57" t="n">
        <f aca="false">IF(AND(V156=1,OR(Dashboard!$AB$2="All",K156=Dashboard!$AB$2),OR(Dashboard!$AB$3="All",L156=Dashboard!$AB$3),OR(Dashboard!$N$10="All",W156=Dashboard!$N$10)),1,0)</f>
        <v>1</v>
      </c>
      <c r="AA156" s="57" t="n">
        <f aca="false">IF(AND(Z156=1,OR(Dashboard!$B$7="All",S156=Dashboard!$B$7)),1,0)</f>
        <v>1</v>
      </c>
      <c r="AB156" s="57" t="n">
        <f aca="false">IF(AND(V156=1,F156&lt;&gt;0),1,0)</f>
        <v>0</v>
      </c>
      <c r="AC156" s="57" t="n">
        <f aca="false">IF(AND(AA156=1,AB156=1),IF(COUNTIFS($J$17:J156,J156,$AA$17:AA156,1,$AB$17:AB156,1)=1,1,0),0)</f>
        <v>0</v>
      </c>
      <c r="AD156" s="57" t="n">
        <f aca="false">IF(AND(AA156=1,AB156=1),IF(COUNTIFS($K$17:K156,K156,$AA$17:AA156,1,$AB$17:AB156,1)=1,1,0),0)</f>
        <v>0</v>
      </c>
      <c r="AE156" s="57" t="n">
        <f aca="false">IF(AND(Z156=1,AB156=1),IF(COUNTIFS($J$17:J156,J156,$S$17:S156,S156,$Z$17:Z156,1,$AB$17:AB156,1)=1,1,0),0)</f>
        <v>0</v>
      </c>
      <c r="AF156" s="57" t="n">
        <f aca="false">IF(AND(Z156=1,AB156=1),IF(COUNTIFS($K$17:K156,K156,$S$17:S156,S156,$Z$17:Z156,1,$AB$17:AB156,1)=1,1,0),0)</f>
        <v>0</v>
      </c>
      <c r="AG156" s="57" t="n">
        <f aca="false">IF(AND(AA156=1,AB156=1),IF(COUNTIFS($J$17:J156,J156,$L$17:L156,L156,$AA$17:AA156,1,$AB$17:AB156,1)=1,1,0),0)</f>
        <v>0</v>
      </c>
      <c r="AH156" s="57" t="n">
        <f aca="false">IF(AND(AA156=1,AB156=1),IF(COUNTIFS($J$17:J156,J156,$K$17:K156,K156,$AA$17:AA156,1,$AB$17:AB156,1)=1,1,0),0)</f>
        <v>0</v>
      </c>
      <c r="AI156" s="56" t="n">
        <f aca="false">IF(V156=1,MAX(F156,0),0)</f>
        <v>0</v>
      </c>
      <c r="AJ156" s="56" t="n">
        <f aca="false">IF(V156=1,MIN(F156,0),0)</f>
        <v>0</v>
      </c>
    </row>
    <row r="157" customFormat="false" ht="40" hidden="false" customHeight="true" outlineLevel="0" collapsed="false">
      <c r="A157" s="66" t="n">
        <v>45671</v>
      </c>
      <c r="B157" s="54" t="str">
        <f aca="false">IF(M157="","",IF(P157="",M157,HYPERLINK(P157,M157)))</f>
        <v>Unlinked</v>
      </c>
      <c r="C157" s="54" t="str">
        <f aca="false">IF(N157="","",IF(Q157="",N157,HYPERLINK(Q157,N157)))</f>
        <v>Directviz Solutions, LLC</v>
      </c>
      <c r="D157" s="60" t="s">
        <v>123</v>
      </c>
      <c r="E157" s="54" t="str">
        <f aca="false">IF(O157="","",IF(R157="",O157,HYPERLINK(R157,O157)))</f>
        <v>NSF — office not specified</v>
      </c>
      <c r="F157" s="62" t="n">
        <v>0</v>
      </c>
      <c r="G157" s="61" t="s">
        <v>492</v>
      </c>
      <c r="H157" s="58" t="s">
        <v>493</v>
      </c>
      <c r="I157" s="58" t="s">
        <v>608</v>
      </c>
      <c r="J157" s="58"/>
      <c r="K157" s="58" t="s">
        <v>121</v>
      </c>
      <c r="L157" s="58" t="s">
        <v>213</v>
      </c>
      <c r="M157" s="58" t="s">
        <v>495</v>
      </c>
      <c r="N157" s="58" t="s">
        <v>122</v>
      </c>
      <c r="O157" s="58" t="s">
        <v>214</v>
      </c>
      <c r="P157" s="58"/>
      <c r="Q157" s="58" t="s">
        <v>124</v>
      </c>
      <c r="R157" s="58" t="s">
        <v>215</v>
      </c>
      <c r="S157" s="57" t="n">
        <f aca="false">IF(ISNUMBER(A157),YEAR(A157)+IF(MONTH(A157)&gt;=10,1,0),"")</f>
        <v>2025</v>
      </c>
      <c r="T157" s="57" t="n">
        <f aca="false">IF(ISNUMBER(A157),INT(MOD(MONTH(A157)-10,12)/3)+1,"")</f>
        <v>2</v>
      </c>
      <c r="U157" s="57" t="str">
        <f aca="false">IF(AND(I157&lt;&gt;"",D157&lt;&gt;"",OR(COUNTIFS(TransactionsData[Vendor ID],K157,TransactionsData[UEI],"&lt;&gt;"&amp;D157,TransactionsData[UEI],"?*")&gt;0,COUNTIFS(VendorGroups[Record ID],K157,VendorGroups[Source UEI],"&lt;&gt;"&amp;D157,VendorGroups[Source UEI],"?*")&gt;0)),"Conflicting vendor UEIs",IF(I157="",IF(COUNTA(A157,D157,F157:R157)&gt;0,"Missing transaction ID",""),IF(COUNTIFS(TransactionsData[Transaction ID],I157)&lt;&gt;1,"Duplicate transaction ID",IF(OR(NOT(ISNUMBER(A157)),A157&lt;1,A157&gt;DATE(2099,1,1)),"Use a valid date",IF(OR(A157&lt;$B$4,A157&gt;$D$4),"Outside coverage",IF(NOT(ISNUMBER(F157)),"Missing or invalid amount",IF(OR(K157="",L157="",N157=""),"Add vendor and office identities",IF(G157="Exclude",IF(OR(F157&lt;&gt;0,H157=""),"Review nonzero or unexplained exclusion",""),IF(G157&lt;&gt;"Include","Choose Include or Exclude",IF(COUNTIFS(AwardsData[Award ID],J157)&lt;&gt;1,"Award link needs review",IF(INDEX(AwardsData[Input check],MATCH(J157,AwardsData[Award ID],0))&lt;&gt;"","Check award inputs","")))))))))))</f>
        <v/>
      </c>
      <c r="V157" s="57" t="n">
        <f aca="false">IF(AND(I157&lt;&gt;"",U157="",G157="Include"),1,0)</f>
        <v>0</v>
      </c>
      <c r="W157" s="57" t="str">
        <f aca="false">IF(I157="","",IF(COUNTIFS(AwardsData[Award ID],J157)=1,INDEX(AwardsData[Current award type],MATCH(J157,AwardsData[Award ID],0)),"Unlinked"))</f>
        <v>Unlinked</v>
      </c>
      <c r="X157" s="57" t="str">
        <f aca="false">IF(I157="","",IF(COUNTIFS(AwardsData[Award ID],J157)=1,INDEX(AwardsData[Current set-aside],MATCH(J157,AwardsData[Award ID],0)),"Unlinked"))</f>
        <v>Unlinked</v>
      </c>
      <c r="Y157" s="57" t="str">
        <f aca="false">IF(I157="","",IF(COUNTIFS(AwardsData[Award ID],J157)=1,INDEX(AwardsData[Performance state],MATCH(J157,AwardsData[Award ID],0)),"Unlinked"))</f>
        <v>Unlinked</v>
      </c>
      <c r="Z157" s="57" t="n">
        <f aca="false">IF(AND(V157=1,OR(Dashboard!$AB$2="All",K157=Dashboard!$AB$2),OR(Dashboard!$AB$3="All",L157=Dashboard!$AB$3),OR(Dashboard!$N$10="All",W157=Dashboard!$N$10)),1,0)</f>
        <v>0</v>
      </c>
      <c r="AA157" s="57" t="n">
        <f aca="false">IF(AND(Z157=1,OR(Dashboard!$B$7="All",S157=Dashboard!$B$7)),1,0)</f>
        <v>0</v>
      </c>
      <c r="AB157" s="57" t="n">
        <f aca="false">IF(AND(V157=1,F157&lt;&gt;0),1,0)</f>
        <v>0</v>
      </c>
      <c r="AC157" s="57" t="n">
        <f aca="false">IF(AND(AA157=1,AB157=1),IF(COUNTIFS($J$17:J157,J157,$AA$17:AA157,1,$AB$17:AB157,1)=1,1,0),0)</f>
        <v>0</v>
      </c>
      <c r="AD157" s="57" t="n">
        <f aca="false">IF(AND(AA157=1,AB157=1),IF(COUNTIFS($K$17:K157,K157,$AA$17:AA157,1,$AB$17:AB157,1)=1,1,0),0)</f>
        <v>0</v>
      </c>
      <c r="AE157" s="57" t="n">
        <f aca="false">IF(AND(Z157=1,AB157=1),IF(COUNTIFS($J$17:J157,J157,$S$17:S157,S157,$Z$17:Z157,1,$AB$17:AB157,1)=1,1,0),0)</f>
        <v>0</v>
      </c>
      <c r="AF157" s="57" t="n">
        <f aca="false">IF(AND(Z157=1,AB157=1),IF(COUNTIFS($K$17:K157,K157,$S$17:S157,S157,$Z$17:Z157,1,$AB$17:AB157,1)=1,1,0),0)</f>
        <v>0</v>
      </c>
      <c r="AG157" s="57" t="n">
        <f aca="false">IF(AND(AA157=1,AB157=1),IF(COUNTIFS($J$17:J157,J157,$L$17:L157,L157,$AA$17:AA157,1,$AB$17:AB157,1)=1,1,0),0)</f>
        <v>0</v>
      </c>
      <c r="AH157" s="57" t="n">
        <f aca="false">IF(AND(AA157=1,AB157=1),IF(COUNTIFS($J$17:J157,J157,$K$17:K157,K157,$AA$17:AA157,1,$AB$17:AB157,1)=1,1,0),0)</f>
        <v>0</v>
      </c>
      <c r="AI157" s="56" t="n">
        <f aca="false">IF(V157=1,MAX(F157,0),0)</f>
        <v>0</v>
      </c>
      <c r="AJ157" s="56" t="n">
        <f aca="false">IF(V157=1,MIN(F157,0),0)</f>
        <v>0</v>
      </c>
    </row>
    <row r="158" customFormat="false" ht="40" hidden="false" customHeight="true" outlineLevel="0" collapsed="false">
      <c r="A158" s="66" t="n">
        <v>45672</v>
      </c>
      <c r="B158" s="54" t="str">
        <f aca="false">IF(M158="","",IF(P158="",M158,HYPERLINK(P158,M158)))</f>
        <v>49100424C0027</v>
      </c>
      <c r="C158" s="54" t="str">
        <f aca="false">IF(N158="","",IF(Q158="",N158,HYPERLINK(Q158,N158)))</f>
        <v>Montage + Magnum, LLC</v>
      </c>
      <c r="D158" s="60" t="s">
        <v>149</v>
      </c>
      <c r="E158" s="54" t="str">
        <f aca="false">IF(O158="","",IF(R158="",O158,HYPERLINK(R158,O158)))</f>
        <v>National Center for Science and Engineering Statistics</v>
      </c>
      <c r="F158" s="62" t="n">
        <v>0</v>
      </c>
      <c r="G158" s="61" t="s">
        <v>464</v>
      </c>
      <c r="H158" s="58"/>
      <c r="I158" s="58" t="s">
        <v>609</v>
      </c>
      <c r="J158" s="58" t="s">
        <v>398</v>
      </c>
      <c r="K158" s="58" t="s">
        <v>149</v>
      </c>
      <c r="L158" s="58" t="s">
        <v>205</v>
      </c>
      <c r="M158" s="58" t="s">
        <v>398</v>
      </c>
      <c r="N158" s="58" t="s">
        <v>150</v>
      </c>
      <c r="O158" s="58" t="s">
        <v>206</v>
      </c>
      <c r="P158" s="58" t="s">
        <v>399</v>
      </c>
      <c r="Q158" s="58" t="s">
        <v>151</v>
      </c>
      <c r="R158" s="58" t="s">
        <v>208</v>
      </c>
      <c r="S158" s="57" t="n">
        <f aca="false">IF(ISNUMBER(A158),YEAR(A158)+IF(MONTH(A158)&gt;=10,1,0),"")</f>
        <v>2025</v>
      </c>
      <c r="T158" s="57" t="n">
        <f aca="false">IF(ISNUMBER(A158),INT(MOD(MONTH(A158)-10,12)/3)+1,"")</f>
        <v>2</v>
      </c>
      <c r="U158" s="57" t="str">
        <f aca="false">IF(AND(I158&lt;&gt;"",D158&lt;&gt;"",OR(COUNTIFS(TransactionsData[Vendor ID],K158,TransactionsData[UEI],"&lt;&gt;"&amp;D158,TransactionsData[UEI],"?*")&gt;0,COUNTIFS(VendorGroups[Record ID],K158,VendorGroups[Source UEI],"&lt;&gt;"&amp;D158,VendorGroups[Source UEI],"?*")&gt;0)),"Conflicting vendor UEIs",IF(I158="",IF(COUNTA(A158,D158,F158:R158)&gt;0,"Missing transaction ID",""),IF(COUNTIFS(TransactionsData[Transaction ID],I158)&lt;&gt;1,"Duplicate transaction ID",IF(OR(NOT(ISNUMBER(A158)),A158&lt;1,A158&gt;DATE(2099,1,1)),"Use a valid date",IF(OR(A158&lt;$B$4,A158&gt;$D$4),"Outside coverage",IF(NOT(ISNUMBER(F158)),"Missing or invalid amount",IF(OR(K158="",L158="",N158=""),"Add vendor and office identities",IF(G158="Exclude",IF(OR(F158&lt;&gt;0,H158=""),"Review nonzero or unexplained exclusion",""),IF(G158&lt;&gt;"Include","Choose Include or Exclude",IF(COUNTIFS(AwardsData[Award ID],J158)&lt;&gt;1,"Award link needs review",IF(INDEX(AwardsData[Input check],MATCH(J158,AwardsData[Award ID],0))&lt;&gt;"","Check award inputs","")))))))))))</f>
        <v/>
      </c>
      <c r="V158" s="57" t="n">
        <f aca="false">IF(AND(I158&lt;&gt;"",U158="",G158="Include"),1,0)</f>
        <v>1</v>
      </c>
      <c r="W158" s="57" t="str">
        <f aca="false">IF(I158="","",IF(COUNTIFS(AwardsData[Award ID],J158)=1,INDEX(AwardsData[Current award type],MATCH(J158,AwardsData[Award ID],0)),"Unlinked"))</f>
        <v>Definitive Contract</v>
      </c>
      <c r="X158" s="57" t="str">
        <f aca="false">IF(I158="","",IF(COUNTIFS(AwardsData[Award ID],J158)=1,INDEX(AwardsData[Current set-aside],MATCH(J158,AwardsData[Award ID],0)),"Unlinked"))</f>
        <v>No Set-Aside Used</v>
      </c>
      <c r="Y158" s="57" t="str">
        <f aca="false">IF(I158="","",IF(COUNTIFS(AwardsData[Award ID],J158)=1,INDEX(AwardsData[Performance state],MATCH(J158,AwardsData[Award ID],0)),"Unlinked"))</f>
        <v>Virginia</v>
      </c>
      <c r="Z158" s="57" t="n">
        <f aca="false">IF(AND(V158=1,OR(Dashboard!$AB$2="All",K158=Dashboard!$AB$2),OR(Dashboard!$AB$3="All",L158=Dashboard!$AB$3),OR(Dashboard!$N$10="All",W158=Dashboard!$N$10)),1,0)</f>
        <v>1</v>
      </c>
      <c r="AA158" s="57" t="n">
        <f aca="false">IF(AND(Z158=1,OR(Dashboard!$B$7="All",S158=Dashboard!$B$7)),1,0)</f>
        <v>1</v>
      </c>
      <c r="AB158" s="57" t="n">
        <f aca="false">IF(AND(V158=1,F158&lt;&gt;0),1,0)</f>
        <v>0</v>
      </c>
      <c r="AC158" s="57" t="n">
        <f aca="false">IF(AND(AA158=1,AB158=1),IF(COUNTIFS($J$17:J158,J158,$AA$17:AA158,1,$AB$17:AB158,1)=1,1,0),0)</f>
        <v>0</v>
      </c>
      <c r="AD158" s="57" t="n">
        <f aca="false">IF(AND(AA158=1,AB158=1),IF(COUNTIFS($K$17:K158,K158,$AA$17:AA158,1,$AB$17:AB158,1)=1,1,0),0)</f>
        <v>0</v>
      </c>
      <c r="AE158" s="57" t="n">
        <f aca="false">IF(AND(Z158=1,AB158=1),IF(COUNTIFS($J$17:J158,J158,$S$17:S158,S158,$Z$17:Z158,1,$AB$17:AB158,1)=1,1,0),0)</f>
        <v>0</v>
      </c>
      <c r="AF158" s="57" t="n">
        <f aca="false">IF(AND(Z158=1,AB158=1),IF(COUNTIFS($K$17:K158,K158,$S$17:S158,S158,$Z$17:Z158,1,$AB$17:AB158,1)=1,1,0),0)</f>
        <v>0</v>
      </c>
      <c r="AG158" s="57" t="n">
        <f aca="false">IF(AND(AA158=1,AB158=1),IF(COUNTIFS($J$17:J158,J158,$L$17:L158,L158,$AA$17:AA158,1,$AB$17:AB158,1)=1,1,0),0)</f>
        <v>0</v>
      </c>
      <c r="AH158" s="57" t="n">
        <f aca="false">IF(AND(AA158=1,AB158=1),IF(COUNTIFS($J$17:J158,J158,$K$17:K158,K158,$AA$17:AA158,1,$AB$17:AB158,1)=1,1,0),0)</f>
        <v>0</v>
      </c>
      <c r="AI158" s="56" t="n">
        <f aca="false">IF(V158=1,MAX(F158,0),0)</f>
        <v>0</v>
      </c>
      <c r="AJ158" s="56" t="n">
        <f aca="false">IF(V158=1,MIN(F158,0),0)</f>
        <v>0</v>
      </c>
    </row>
    <row r="159" customFormat="false" ht="40" hidden="false" customHeight="true" outlineLevel="0" collapsed="false">
      <c r="A159" s="66" t="n">
        <v>45684</v>
      </c>
      <c r="B159" s="54" t="str">
        <f aca="false">IF(M159="","",IF(P159="",M159,HYPERLINK(P159,M159)))</f>
        <v>47QTCB21D0005-49100422F0014</v>
      </c>
      <c r="C159" s="54" t="str">
        <f aca="false">IF(N159="","",IF(Q159="",N159,HYPERLINK(Q159,N159)))</f>
        <v>GBS Dakota IT, LLC</v>
      </c>
      <c r="D159" s="60" t="s">
        <v>135</v>
      </c>
      <c r="E159" s="54" t="str">
        <f aca="false">IF(O159="","",IF(R159="",O159,HYPERLINK(R159,O159)))</f>
        <v>National Science Board</v>
      </c>
      <c r="F159" s="62" t="n">
        <v>16430.4</v>
      </c>
      <c r="G159" s="61" t="s">
        <v>464</v>
      </c>
      <c r="H159" s="58"/>
      <c r="I159" s="58" t="s">
        <v>610</v>
      </c>
      <c r="J159" s="58" t="s">
        <v>272</v>
      </c>
      <c r="K159" s="58" t="s">
        <v>133</v>
      </c>
      <c r="L159" s="58" t="s">
        <v>209</v>
      </c>
      <c r="M159" s="58" t="s">
        <v>273</v>
      </c>
      <c r="N159" s="58" t="s">
        <v>134</v>
      </c>
      <c r="O159" s="58" t="s">
        <v>210</v>
      </c>
      <c r="P159" s="58" t="s">
        <v>274</v>
      </c>
      <c r="Q159" s="58" t="s">
        <v>136</v>
      </c>
      <c r="R159" s="58" t="s">
        <v>212</v>
      </c>
      <c r="S159" s="57" t="n">
        <f aca="false">IF(ISNUMBER(A159),YEAR(A159)+IF(MONTH(A159)&gt;=10,1,0),"")</f>
        <v>2025</v>
      </c>
      <c r="T159" s="57" t="n">
        <f aca="false">IF(ISNUMBER(A159),INT(MOD(MONTH(A159)-10,12)/3)+1,"")</f>
        <v>2</v>
      </c>
      <c r="U159" s="57" t="str">
        <f aca="false">IF(AND(I159&lt;&gt;"",D159&lt;&gt;"",OR(COUNTIFS(TransactionsData[Vendor ID],K159,TransactionsData[UEI],"&lt;&gt;"&amp;D159,TransactionsData[UEI],"?*")&gt;0,COUNTIFS(VendorGroups[Record ID],K159,VendorGroups[Source UEI],"&lt;&gt;"&amp;D159,VendorGroups[Source UEI],"?*")&gt;0)),"Conflicting vendor UEIs",IF(I159="",IF(COUNTA(A159,D159,F159:R159)&gt;0,"Missing transaction ID",""),IF(COUNTIFS(TransactionsData[Transaction ID],I159)&lt;&gt;1,"Duplicate transaction ID",IF(OR(NOT(ISNUMBER(A159)),A159&lt;1,A159&gt;DATE(2099,1,1)),"Use a valid date",IF(OR(A159&lt;$B$4,A159&gt;$D$4),"Outside coverage",IF(NOT(ISNUMBER(F159)),"Missing or invalid amount",IF(OR(K159="",L159="",N159=""),"Add vendor and office identities",IF(G159="Exclude",IF(OR(F159&lt;&gt;0,H159=""),"Review nonzero or unexplained exclusion",""),IF(G159&lt;&gt;"Include","Choose Include or Exclude",IF(COUNTIFS(AwardsData[Award ID],J159)&lt;&gt;1,"Award link needs review",IF(INDEX(AwardsData[Input check],MATCH(J159,AwardsData[Award ID],0))&lt;&gt;"","Check award inputs","")))))))))))</f>
        <v/>
      </c>
      <c r="V159" s="57" t="n">
        <f aca="false">IF(AND(I159&lt;&gt;"",U159="",G159="Include"),1,0)</f>
        <v>1</v>
      </c>
      <c r="W159" s="57" t="str">
        <f aca="false">IF(I159="","",IF(COUNTIFS(AwardsData[Award ID],J159)=1,INDEX(AwardsData[Current award type],MATCH(J159,AwardsData[Award ID],0)),"Unlinked"))</f>
        <v>Delivery Order</v>
      </c>
      <c r="X159" s="57" t="str">
        <f aca="false">IF(I159="","",IF(COUNTIFS(AwardsData[Award ID],J159)=1,INDEX(AwardsData[Current set-aside],MATCH(J159,AwardsData[Award ID],0)),"Unlinked"))</f>
        <v>No Set-Aside Used</v>
      </c>
      <c r="Y159" s="57" t="str">
        <f aca="false">IF(I159="","",IF(COUNTIFS(AwardsData[Award ID],J159)=1,INDEX(AwardsData[Performance state],MATCH(J159,AwardsData[Award ID],0)),"Unlinked"))</f>
        <v>Virginia</v>
      </c>
      <c r="Z159" s="57" t="n">
        <f aca="false">IF(AND(V159=1,OR(Dashboard!$AB$2="All",K159=Dashboard!$AB$2),OR(Dashboard!$AB$3="All",L159=Dashboard!$AB$3),OR(Dashboard!$N$10="All",W159=Dashboard!$N$10)),1,0)</f>
        <v>1</v>
      </c>
      <c r="AA159" s="57" t="n">
        <f aca="false">IF(AND(Z159=1,OR(Dashboard!$B$7="All",S159=Dashboard!$B$7)),1,0)</f>
        <v>1</v>
      </c>
      <c r="AB159" s="57" t="n">
        <f aca="false">IF(AND(V159=1,F159&lt;&gt;0),1,0)</f>
        <v>1</v>
      </c>
      <c r="AC159" s="57" t="n">
        <f aca="false">IF(AND(AA159=1,AB159=1),IF(COUNTIFS($J$17:J159,J159,$AA$17:AA159,1,$AB$17:AB159,1)=1,1,0),0)</f>
        <v>1</v>
      </c>
      <c r="AD159" s="57" t="n">
        <f aca="false">IF(AND(AA159=1,AB159=1),IF(COUNTIFS($K$17:K159,K159,$AA$17:AA159,1,$AB$17:AB159,1)=1,1,0),0)</f>
        <v>1</v>
      </c>
      <c r="AE159" s="57" t="n">
        <f aca="false">IF(AND(Z159=1,AB159=1),IF(COUNTIFS($J$17:J159,J159,$S$17:S159,S159,$Z$17:Z159,1,$AB$17:AB159,1)=1,1,0),0)</f>
        <v>1</v>
      </c>
      <c r="AF159" s="57" t="n">
        <f aca="false">IF(AND(Z159=1,AB159=1),IF(COUNTIFS($K$17:K159,K159,$S$17:S159,S159,$Z$17:Z159,1,$AB$17:AB159,1)=1,1,0),0)</f>
        <v>1</v>
      </c>
      <c r="AG159" s="57" t="n">
        <f aca="false">IF(AND(AA159=1,AB159=1),IF(COUNTIFS($J$17:J159,J159,$L$17:L159,L159,$AA$17:AA159,1,$AB$17:AB159,1)=1,1,0),0)</f>
        <v>1</v>
      </c>
      <c r="AH159" s="57" t="n">
        <f aca="false">IF(AND(AA159=1,AB159=1),IF(COUNTIFS($J$17:J159,J159,$K$17:K159,K159,$AA$17:AA159,1,$AB$17:AB159,1)=1,1,0),0)</f>
        <v>1</v>
      </c>
      <c r="AI159" s="56" t="n">
        <f aca="false">IF(V159=1,MAX(F159,0),0)</f>
        <v>16430.4</v>
      </c>
      <c r="AJ159" s="56" t="n">
        <f aca="false">IF(V159=1,MIN(F159,0),0)</f>
        <v>0</v>
      </c>
    </row>
    <row r="160" customFormat="false" ht="40" hidden="false" customHeight="true" outlineLevel="0" collapsed="false">
      <c r="A160" s="66" t="n">
        <v>45685</v>
      </c>
      <c r="B160" s="54" t="str">
        <f aca="false">IF(M160="","",IF(P160="",M160,HYPERLINK(P160,M160)))</f>
        <v>47QTCK18D0004-49100424F0001</v>
      </c>
      <c r="C160" s="54" t="str">
        <f aca="false">IF(N160="","",IF(Q160="",N160,HYPERLINK(Q160,N160)))</f>
        <v>Booz Allen Hamilton Inc.</v>
      </c>
      <c r="D160" s="60" t="s">
        <v>111</v>
      </c>
      <c r="E160" s="54" t="str">
        <f aca="false">IF(O160="","",IF(R160="",O160,HYPERLINK(R160,O160)))</f>
        <v>NSF — office not specified</v>
      </c>
      <c r="F160" s="62" t="n">
        <v>10000000</v>
      </c>
      <c r="G160" s="61" t="s">
        <v>464</v>
      </c>
      <c r="H160" s="58"/>
      <c r="I160" s="58" t="s">
        <v>611</v>
      </c>
      <c r="J160" s="58" t="s">
        <v>297</v>
      </c>
      <c r="K160" s="58" t="s">
        <v>109</v>
      </c>
      <c r="L160" s="58" t="s">
        <v>213</v>
      </c>
      <c r="M160" s="58" t="s">
        <v>298</v>
      </c>
      <c r="N160" s="58" t="s">
        <v>110</v>
      </c>
      <c r="O160" s="58" t="s">
        <v>214</v>
      </c>
      <c r="P160" s="58" t="s">
        <v>299</v>
      </c>
      <c r="Q160" s="58" t="s">
        <v>112</v>
      </c>
      <c r="R160" s="58" t="s">
        <v>215</v>
      </c>
      <c r="S160" s="57" t="n">
        <f aca="false">IF(ISNUMBER(A160),YEAR(A160)+IF(MONTH(A160)&gt;=10,1,0),"")</f>
        <v>2025</v>
      </c>
      <c r="T160" s="57" t="n">
        <f aca="false">IF(ISNUMBER(A160),INT(MOD(MONTH(A160)-10,12)/3)+1,"")</f>
        <v>2</v>
      </c>
      <c r="U160" s="57" t="str">
        <f aca="false">IF(AND(I160&lt;&gt;"",D160&lt;&gt;"",OR(COUNTIFS(TransactionsData[Vendor ID],K160,TransactionsData[UEI],"&lt;&gt;"&amp;D160,TransactionsData[UEI],"?*")&gt;0,COUNTIFS(VendorGroups[Record ID],K160,VendorGroups[Source UEI],"&lt;&gt;"&amp;D160,VendorGroups[Source UEI],"?*")&gt;0)),"Conflicting vendor UEIs",IF(I160="",IF(COUNTA(A160,D160,F160:R160)&gt;0,"Missing transaction ID",""),IF(COUNTIFS(TransactionsData[Transaction ID],I160)&lt;&gt;1,"Duplicate transaction ID",IF(OR(NOT(ISNUMBER(A160)),A160&lt;1,A160&gt;DATE(2099,1,1)),"Use a valid date",IF(OR(A160&lt;$B$4,A160&gt;$D$4),"Outside coverage",IF(NOT(ISNUMBER(F160)),"Missing or invalid amount",IF(OR(K160="",L160="",N160=""),"Add vendor and office identities",IF(G160="Exclude",IF(OR(F160&lt;&gt;0,H160=""),"Review nonzero or unexplained exclusion",""),IF(G160&lt;&gt;"Include","Choose Include or Exclude",IF(COUNTIFS(AwardsData[Award ID],J160)&lt;&gt;1,"Award link needs review",IF(INDEX(AwardsData[Input check],MATCH(J160,AwardsData[Award ID],0))&lt;&gt;"","Check award inputs","")))))))))))</f>
        <v/>
      </c>
      <c r="V160" s="57" t="n">
        <f aca="false">IF(AND(I160&lt;&gt;"",U160="",G160="Include"),1,0)</f>
        <v>1</v>
      </c>
      <c r="W160" s="57" t="str">
        <f aca="false">IF(I160="","",IF(COUNTIFS(AwardsData[Award ID],J160)=1,INDEX(AwardsData[Current award type],MATCH(J160,AwardsData[Award ID],0)),"Unlinked"))</f>
        <v>Delivery Order</v>
      </c>
      <c r="X160" s="57" t="str">
        <f aca="false">IF(I160="","",IF(COUNTIFS(AwardsData[Award ID],J160)=1,INDEX(AwardsData[Current set-aside],MATCH(J160,AwardsData[Award ID],0)),"Unlinked"))</f>
        <v>No Set-Aside Used</v>
      </c>
      <c r="Y160" s="57" t="str">
        <f aca="false">IF(I160="","",IF(COUNTIFS(AwardsData[Award ID],J160)=1,INDEX(AwardsData[Performance state],MATCH(J160,AwardsData[Award ID],0)),"Unlinked"))</f>
        <v>Virginia</v>
      </c>
      <c r="Z160" s="57" t="n">
        <f aca="false">IF(AND(V160=1,OR(Dashboard!$AB$2="All",K160=Dashboard!$AB$2),OR(Dashboard!$AB$3="All",L160=Dashboard!$AB$3),OR(Dashboard!$N$10="All",W160=Dashboard!$N$10)),1,0)</f>
        <v>1</v>
      </c>
      <c r="AA160" s="57" t="n">
        <f aca="false">IF(AND(Z160=1,OR(Dashboard!$B$7="All",S160=Dashboard!$B$7)),1,0)</f>
        <v>1</v>
      </c>
      <c r="AB160" s="57" t="n">
        <f aca="false">IF(AND(V160=1,F160&lt;&gt;0),1,0)</f>
        <v>1</v>
      </c>
      <c r="AC160" s="57" t="n">
        <f aca="false">IF(AND(AA160=1,AB160=1),IF(COUNTIFS($J$17:J160,J160,$AA$17:AA160,1,$AB$17:AB160,1)=1,1,0),0)</f>
        <v>0</v>
      </c>
      <c r="AD160" s="57" t="n">
        <f aca="false">IF(AND(AA160=1,AB160=1),IF(COUNTIFS($K$17:K160,K160,$AA$17:AA160,1,$AB$17:AB160,1)=1,1,0),0)</f>
        <v>0</v>
      </c>
      <c r="AE160" s="57" t="n">
        <f aca="false">IF(AND(Z160=1,AB160=1),IF(COUNTIFS($J$17:J160,J160,$S$17:S160,S160,$Z$17:Z160,1,$AB$17:AB160,1)=1,1,0),0)</f>
        <v>0</v>
      </c>
      <c r="AF160" s="57" t="n">
        <f aca="false">IF(AND(Z160=1,AB160=1),IF(COUNTIFS($K$17:K160,K160,$S$17:S160,S160,$Z$17:Z160,1,$AB$17:AB160,1)=1,1,0),0)</f>
        <v>0</v>
      </c>
      <c r="AG160" s="57" t="n">
        <f aca="false">IF(AND(AA160=1,AB160=1),IF(COUNTIFS($J$17:J160,J160,$L$17:L160,L160,$AA$17:AA160,1,$AB$17:AB160,1)=1,1,0),0)</f>
        <v>0</v>
      </c>
      <c r="AH160" s="57" t="n">
        <f aca="false">IF(AND(AA160=1,AB160=1),IF(COUNTIFS($J$17:J160,J160,$K$17:K160,K160,$AA$17:AA160,1,$AB$17:AB160,1)=1,1,0),0)</f>
        <v>0</v>
      </c>
      <c r="AI160" s="56" t="n">
        <f aca="false">IF(V160=1,MAX(F160,0),0)</f>
        <v>10000000</v>
      </c>
      <c r="AJ160" s="56" t="n">
        <f aca="false">IF(V160=1,MIN(F160,0),0)</f>
        <v>0</v>
      </c>
    </row>
    <row r="161" customFormat="false" ht="40" hidden="false" customHeight="true" outlineLevel="0" collapsed="false">
      <c r="A161" s="66" t="n">
        <v>45692</v>
      </c>
      <c r="B161" s="54" t="str">
        <f aca="false">IF(M161="","",IF(P161="",M161,HYPERLINK(P161,M161)))</f>
        <v>49100424A0001-49100424F0053</v>
      </c>
      <c r="C161" s="54" t="str">
        <f aca="false">IF(N161="","",IF(Q161="",N161,HYPERLINK(Q161,N161)))</f>
        <v>Spatial Front Inc.</v>
      </c>
      <c r="D161" s="60" t="s">
        <v>166</v>
      </c>
      <c r="E161" s="54" t="str">
        <f aca="false">IF(O161="","",IF(R161="",O161,HYPERLINK(R161,O161)))</f>
        <v>Division of Information Systems</v>
      </c>
      <c r="F161" s="62" t="n">
        <v>300981.4</v>
      </c>
      <c r="G161" s="61" t="s">
        <v>464</v>
      </c>
      <c r="H161" s="58"/>
      <c r="I161" s="58" t="s">
        <v>612</v>
      </c>
      <c r="J161" s="58" t="s">
        <v>373</v>
      </c>
      <c r="K161" s="58" t="s">
        <v>164</v>
      </c>
      <c r="L161" s="58" t="s">
        <v>197</v>
      </c>
      <c r="M161" s="58" t="s">
        <v>374</v>
      </c>
      <c r="N161" s="58" t="s">
        <v>165</v>
      </c>
      <c r="O161" s="58" t="s">
        <v>198</v>
      </c>
      <c r="P161" s="58" t="s">
        <v>375</v>
      </c>
      <c r="Q161" s="58" t="s">
        <v>167</v>
      </c>
      <c r="R161" s="58" t="s">
        <v>200</v>
      </c>
      <c r="S161" s="57" t="n">
        <f aca="false">IF(ISNUMBER(A161),YEAR(A161)+IF(MONTH(A161)&gt;=10,1,0),"")</f>
        <v>2025</v>
      </c>
      <c r="T161" s="57" t="n">
        <f aca="false">IF(ISNUMBER(A161),INT(MOD(MONTH(A161)-10,12)/3)+1,"")</f>
        <v>2</v>
      </c>
      <c r="U161" s="57" t="str">
        <f aca="false">IF(AND(I161&lt;&gt;"",D161&lt;&gt;"",OR(COUNTIFS(TransactionsData[Vendor ID],K161,TransactionsData[UEI],"&lt;&gt;"&amp;D161,TransactionsData[UEI],"?*")&gt;0,COUNTIFS(VendorGroups[Record ID],K161,VendorGroups[Source UEI],"&lt;&gt;"&amp;D161,VendorGroups[Source UEI],"?*")&gt;0)),"Conflicting vendor UEIs",IF(I161="",IF(COUNTA(A161,D161,F161:R161)&gt;0,"Missing transaction ID",""),IF(COUNTIFS(TransactionsData[Transaction ID],I161)&lt;&gt;1,"Duplicate transaction ID",IF(OR(NOT(ISNUMBER(A161)),A161&lt;1,A161&gt;DATE(2099,1,1)),"Use a valid date",IF(OR(A161&lt;$B$4,A161&gt;$D$4),"Outside coverage",IF(NOT(ISNUMBER(F161)),"Missing or invalid amount",IF(OR(K161="",L161="",N161=""),"Add vendor and office identities",IF(G161="Exclude",IF(OR(F161&lt;&gt;0,H161=""),"Review nonzero or unexplained exclusion",""),IF(G161&lt;&gt;"Include","Choose Include or Exclude",IF(COUNTIFS(AwardsData[Award ID],J161)&lt;&gt;1,"Award link needs review",IF(INDEX(AwardsData[Input check],MATCH(J161,AwardsData[Award ID],0))&lt;&gt;"","Check award inputs","")))))))))))</f>
        <v/>
      </c>
      <c r="V161" s="57" t="n">
        <f aca="false">IF(AND(I161&lt;&gt;"",U161="",G161="Include"),1,0)</f>
        <v>1</v>
      </c>
      <c r="W161" s="57" t="str">
        <f aca="false">IF(I161="","",IF(COUNTIFS(AwardsData[Award ID],J161)=1,INDEX(AwardsData[Current award type],MATCH(J161,AwardsData[Award ID],0)),"Unlinked"))</f>
        <v>BPA Call</v>
      </c>
      <c r="X161" s="57" t="str">
        <f aca="false">IF(I161="","",IF(COUNTIFS(AwardsData[Award ID],J161)=1,INDEX(AwardsData[Current set-aside],MATCH(J161,AwardsData[Award ID],0)),"Unlinked"))</f>
        <v>Total Small Business</v>
      </c>
      <c r="Y161" s="57" t="str">
        <f aca="false">IF(I161="","",IF(COUNTIFS(AwardsData[Award ID],J161)=1,INDEX(AwardsData[Performance state],MATCH(J161,AwardsData[Award ID],0)),"Unlinked"))</f>
        <v>Virginia</v>
      </c>
      <c r="Z161" s="57" t="n">
        <f aca="false">IF(AND(V161=1,OR(Dashboard!$AB$2="All",K161=Dashboard!$AB$2),OR(Dashboard!$AB$3="All",L161=Dashboard!$AB$3),OR(Dashboard!$N$10="All",W161=Dashboard!$N$10)),1,0)</f>
        <v>1</v>
      </c>
      <c r="AA161" s="57" t="n">
        <f aca="false">IF(AND(Z161=1,OR(Dashboard!$B$7="All",S161=Dashboard!$B$7)),1,0)</f>
        <v>1</v>
      </c>
      <c r="AB161" s="57" t="n">
        <f aca="false">IF(AND(V161=1,F161&lt;&gt;0),1,0)</f>
        <v>1</v>
      </c>
      <c r="AC161" s="57" t="n">
        <f aca="false">IF(AND(AA161=1,AB161=1),IF(COUNTIFS($J$17:J161,J161,$AA$17:AA161,1,$AB$17:AB161,1)=1,1,0),0)</f>
        <v>1</v>
      </c>
      <c r="AD161" s="57" t="n">
        <f aca="false">IF(AND(AA161=1,AB161=1),IF(COUNTIFS($K$17:K161,K161,$AA$17:AA161,1,$AB$17:AB161,1)=1,1,0),0)</f>
        <v>0</v>
      </c>
      <c r="AE161" s="57" t="n">
        <f aca="false">IF(AND(Z161=1,AB161=1),IF(COUNTIFS($J$17:J161,J161,$S$17:S161,S161,$Z$17:Z161,1,$AB$17:AB161,1)=1,1,0),0)</f>
        <v>1</v>
      </c>
      <c r="AF161" s="57" t="n">
        <f aca="false">IF(AND(Z161=1,AB161=1),IF(COUNTIFS($K$17:K161,K161,$S$17:S161,S161,$Z$17:Z161,1,$AB$17:AB161,1)=1,1,0),0)</f>
        <v>0</v>
      </c>
      <c r="AG161" s="57" t="n">
        <f aca="false">IF(AND(AA161=1,AB161=1),IF(COUNTIFS($J$17:J161,J161,$L$17:L161,L161,$AA$17:AA161,1,$AB$17:AB161,1)=1,1,0),0)</f>
        <v>1</v>
      </c>
      <c r="AH161" s="57" t="n">
        <f aca="false">IF(AND(AA161=1,AB161=1),IF(COUNTIFS($J$17:J161,J161,$K$17:K161,K161,$AA$17:AA161,1,$AB$17:AB161,1)=1,1,0),0)</f>
        <v>1</v>
      </c>
      <c r="AI161" s="56" t="n">
        <f aca="false">IF(V161=1,MAX(F161,0),0)</f>
        <v>300981.4</v>
      </c>
      <c r="AJ161" s="56" t="n">
        <f aca="false">IF(V161=1,MIN(F161,0),0)</f>
        <v>0</v>
      </c>
    </row>
    <row r="162" customFormat="false" ht="40" hidden="false" customHeight="true" outlineLevel="0" collapsed="false">
      <c r="A162" s="66" t="n">
        <v>45694</v>
      </c>
      <c r="B162" s="54" t="str">
        <f aca="false">IF(M162="","",IF(P162="",M162,HYPERLINK(P162,M162)))</f>
        <v>49100424A0001-49100424F0052</v>
      </c>
      <c r="C162" s="54" t="str">
        <f aca="false">IF(N162="","",IF(Q162="",N162,HYPERLINK(Q162,N162)))</f>
        <v>Spatial Front Inc.</v>
      </c>
      <c r="D162" s="60" t="s">
        <v>166</v>
      </c>
      <c r="E162" s="54" t="str">
        <f aca="false">IF(O162="","",IF(R162="",O162,HYPERLINK(R162,O162)))</f>
        <v>Division of Information Systems</v>
      </c>
      <c r="F162" s="62" t="n">
        <v>212932.27</v>
      </c>
      <c r="G162" s="61" t="s">
        <v>464</v>
      </c>
      <c r="H162" s="58"/>
      <c r="I162" s="58" t="s">
        <v>613</v>
      </c>
      <c r="J162" s="58" t="s">
        <v>370</v>
      </c>
      <c r="K162" s="58" t="s">
        <v>164</v>
      </c>
      <c r="L162" s="58" t="s">
        <v>197</v>
      </c>
      <c r="M162" s="58" t="s">
        <v>371</v>
      </c>
      <c r="N162" s="58" t="s">
        <v>165</v>
      </c>
      <c r="O162" s="58" t="s">
        <v>198</v>
      </c>
      <c r="P162" s="58" t="s">
        <v>372</v>
      </c>
      <c r="Q162" s="58" t="s">
        <v>167</v>
      </c>
      <c r="R162" s="58" t="s">
        <v>200</v>
      </c>
      <c r="S162" s="57" t="n">
        <f aca="false">IF(ISNUMBER(A162),YEAR(A162)+IF(MONTH(A162)&gt;=10,1,0),"")</f>
        <v>2025</v>
      </c>
      <c r="T162" s="57" t="n">
        <f aca="false">IF(ISNUMBER(A162),INT(MOD(MONTH(A162)-10,12)/3)+1,"")</f>
        <v>2</v>
      </c>
      <c r="U162" s="57" t="str">
        <f aca="false">IF(AND(I162&lt;&gt;"",D162&lt;&gt;"",OR(COUNTIFS(TransactionsData[Vendor ID],K162,TransactionsData[UEI],"&lt;&gt;"&amp;D162,TransactionsData[UEI],"?*")&gt;0,COUNTIFS(VendorGroups[Record ID],K162,VendorGroups[Source UEI],"&lt;&gt;"&amp;D162,VendorGroups[Source UEI],"?*")&gt;0)),"Conflicting vendor UEIs",IF(I162="",IF(COUNTA(A162,D162,F162:R162)&gt;0,"Missing transaction ID",""),IF(COUNTIFS(TransactionsData[Transaction ID],I162)&lt;&gt;1,"Duplicate transaction ID",IF(OR(NOT(ISNUMBER(A162)),A162&lt;1,A162&gt;DATE(2099,1,1)),"Use a valid date",IF(OR(A162&lt;$B$4,A162&gt;$D$4),"Outside coverage",IF(NOT(ISNUMBER(F162)),"Missing or invalid amount",IF(OR(K162="",L162="",N162=""),"Add vendor and office identities",IF(G162="Exclude",IF(OR(F162&lt;&gt;0,H162=""),"Review nonzero or unexplained exclusion",""),IF(G162&lt;&gt;"Include","Choose Include or Exclude",IF(COUNTIFS(AwardsData[Award ID],J162)&lt;&gt;1,"Award link needs review",IF(INDEX(AwardsData[Input check],MATCH(J162,AwardsData[Award ID],0))&lt;&gt;"","Check award inputs","")))))))))))</f>
        <v/>
      </c>
      <c r="V162" s="57" t="n">
        <f aca="false">IF(AND(I162&lt;&gt;"",U162="",G162="Include"),1,0)</f>
        <v>1</v>
      </c>
      <c r="W162" s="57" t="str">
        <f aca="false">IF(I162="","",IF(COUNTIFS(AwardsData[Award ID],J162)=1,INDEX(AwardsData[Current award type],MATCH(J162,AwardsData[Award ID],0)),"Unlinked"))</f>
        <v>BPA Call</v>
      </c>
      <c r="X162" s="57" t="str">
        <f aca="false">IF(I162="","",IF(COUNTIFS(AwardsData[Award ID],J162)=1,INDEX(AwardsData[Current set-aside],MATCH(J162,AwardsData[Award ID],0)),"Unlinked"))</f>
        <v>No Set-Aside Used</v>
      </c>
      <c r="Y162" s="57" t="str">
        <f aca="false">IF(I162="","",IF(COUNTIFS(AwardsData[Award ID],J162)=1,INDEX(AwardsData[Performance state],MATCH(J162,AwardsData[Award ID],0)),"Unlinked"))</f>
        <v>Virginia</v>
      </c>
      <c r="Z162" s="57" t="n">
        <f aca="false">IF(AND(V162=1,OR(Dashboard!$AB$2="All",K162=Dashboard!$AB$2),OR(Dashboard!$AB$3="All",L162=Dashboard!$AB$3),OR(Dashboard!$N$10="All",W162=Dashboard!$N$10)),1,0)</f>
        <v>1</v>
      </c>
      <c r="AA162" s="57" t="n">
        <f aca="false">IF(AND(Z162=1,OR(Dashboard!$B$7="All",S162=Dashboard!$B$7)),1,0)</f>
        <v>1</v>
      </c>
      <c r="AB162" s="57" t="n">
        <f aca="false">IF(AND(V162=1,F162&lt;&gt;0),1,0)</f>
        <v>1</v>
      </c>
      <c r="AC162" s="57" t="n">
        <f aca="false">IF(AND(AA162=1,AB162=1),IF(COUNTIFS($J$17:J162,J162,$AA$17:AA162,1,$AB$17:AB162,1)=1,1,0),0)</f>
        <v>0</v>
      </c>
      <c r="AD162" s="57" t="n">
        <f aca="false">IF(AND(AA162=1,AB162=1),IF(COUNTIFS($K$17:K162,K162,$AA$17:AA162,1,$AB$17:AB162,1)=1,1,0),0)</f>
        <v>0</v>
      </c>
      <c r="AE162" s="57" t="n">
        <f aca="false">IF(AND(Z162=1,AB162=1),IF(COUNTIFS($J$17:J162,J162,$S$17:S162,S162,$Z$17:Z162,1,$AB$17:AB162,1)=1,1,0),0)</f>
        <v>0</v>
      </c>
      <c r="AF162" s="57" t="n">
        <f aca="false">IF(AND(Z162=1,AB162=1),IF(COUNTIFS($K$17:K162,K162,$S$17:S162,S162,$Z$17:Z162,1,$AB$17:AB162,1)=1,1,0),0)</f>
        <v>0</v>
      </c>
      <c r="AG162" s="57" t="n">
        <f aca="false">IF(AND(AA162=1,AB162=1),IF(COUNTIFS($J$17:J162,J162,$L$17:L162,L162,$AA$17:AA162,1,$AB$17:AB162,1)=1,1,0),0)</f>
        <v>0</v>
      </c>
      <c r="AH162" s="57" t="n">
        <f aca="false">IF(AND(AA162=1,AB162=1),IF(COUNTIFS($J$17:J162,J162,$K$17:K162,K162,$AA$17:AA162,1,$AB$17:AB162,1)=1,1,0),0)</f>
        <v>0</v>
      </c>
      <c r="AI162" s="56" t="n">
        <f aca="false">IF(V162=1,MAX(F162,0),0)</f>
        <v>212932.27</v>
      </c>
      <c r="AJ162" s="56" t="n">
        <f aca="false">IF(V162=1,MIN(F162,0),0)</f>
        <v>0</v>
      </c>
    </row>
    <row r="163" customFormat="false" ht="40" hidden="false" customHeight="true" outlineLevel="0" collapsed="false">
      <c r="A163" s="66" t="n">
        <v>45694</v>
      </c>
      <c r="B163" s="54" t="str">
        <f aca="false">IF(M163="","",IF(P163="",M163,HYPERLINK(P163,M163)))</f>
        <v>49100424A0001-49100424F0054</v>
      </c>
      <c r="C163" s="54" t="str">
        <f aca="false">IF(N163="","",IF(Q163="",N163,HYPERLINK(Q163,N163)))</f>
        <v>Spatial Front Inc.</v>
      </c>
      <c r="D163" s="60" t="s">
        <v>166</v>
      </c>
      <c r="E163" s="54" t="str">
        <f aca="false">IF(O163="","",IF(R163="",O163,HYPERLINK(R163,O163)))</f>
        <v>NSF — office not specified</v>
      </c>
      <c r="F163" s="62" t="n">
        <v>288138.4</v>
      </c>
      <c r="G163" s="61" t="s">
        <v>464</v>
      </c>
      <c r="H163" s="58"/>
      <c r="I163" s="58" t="s">
        <v>614</v>
      </c>
      <c r="J163" s="58" t="s">
        <v>376</v>
      </c>
      <c r="K163" s="58" t="s">
        <v>164</v>
      </c>
      <c r="L163" s="58" t="s">
        <v>213</v>
      </c>
      <c r="M163" s="58" t="s">
        <v>377</v>
      </c>
      <c r="N163" s="58" t="s">
        <v>165</v>
      </c>
      <c r="O163" s="58" t="s">
        <v>214</v>
      </c>
      <c r="P163" s="58" t="s">
        <v>378</v>
      </c>
      <c r="Q163" s="58" t="s">
        <v>167</v>
      </c>
      <c r="R163" s="58" t="s">
        <v>215</v>
      </c>
      <c r="S163" s="57" t="n">
        <f aca="false">IF(ISNUMBER(A163),YEAR(A163)+IF(MONTH(A163)&gt;=10,1,0),"")</f>
        <v>2025</v>
      </c>
      <c r="T163" s="57" t="n">
        <f aca="false">IF(ISNUMBER(A163),INT(MOD(MONTH(A163)-10,12)/3)+1,"")</f>
        <v>2</v>
      </c>
      <c r="U163" s="57" t="str">
        <f aca="false">IF(AND(I163&lt;&gt;"",D163&lt;&gt;"",OR(COUNTIFS(TransactionsData[Vendor ID],K163,TransactionsData[UEI],"&lt;&gt;"&amp;D163,TransactionsData[UEI],"?*")&gt;0,COUNTIFS(VendorGroups[Record ID],K163,VendorGroups[Source UEI],"&lt;&gt;"&amp;D163,VendorGroups[Source UEI],"?*")&gt;0)),"Conflicting vendor UEIs",IF(I163="",IF(COUNTA(A163,D163,F163:R163)&gt;0,"Missing transaction ID",""),IF(COUNTIFS(TransactionsData[Transaction ID],I163)&lt;&gt;1,"Duplicate transaction ID",IF(OR(NOT(ISNUMBER(A163)),A163&lt;1,A163&gt;DATE(2099,1,1)),"Use a valid date",IF(OR(A163&lt;$B$4,A163&gt;$D$4),"Outside coverage",IF(NOT(ISNUMBER(F163)),"Missing or invalid amount",IF(OR(K163="",L163="",N163=""),"Add vendor and office identities",IF(G163="Exclude",IF(OR(F163&lt;&gt;0,H163=""),"Review nonzero or unexplained exclusion",""),IF(G163&lt;&gt;"Include","Choose Include or Exclude",IF(COUNTIFS(AwardsData[Award ID],J163)&lt;&gt;1,"Award link needs review",IF(INDEX(AwardsData[Input check],MATCH(J163,AwardsData[Award ID],0))&lt;&gt;"","Check award inputs","")))))))))))</f>
        <v/>
      </c>
      <c r="V163" s="57" t="n">
        <f aca="false">IF(AND(I163&lt;&gt;"",U163="",G163="Include"),1,0)</f>
        <v>1</v>
      </c>
      <c r="W163" s="57" t="str">
        <f aca="false">IF(I163="","",IF(COUNTIFS(AwardsData[Award ID],J163)=1,INDEX(AwardsData[Current award type],MATCH(J163,AwardsData[Award ID],0)),"Unlinked"))</f>
        <v>BPA Call</v>
      </c>
      <c r="X163" s="57" t="str">
        <f aca="false">IF(I163="","",IF(COUNTIFS(AwardsData[Award ID],J163)=1,INDEX(AwardsData[Current set-aside],MATCH(J163,AwardsData[Award ID],0)),"Unlinked"))</f>
        <v>Total Small Business</v>
      </c>
      <c r="Y163" s="57" t="str">
        <f aca="false">IF(I163="","",IF(COUNTIFS(AwardsData[Award ID],J163)=1,INDEX(AwardsData[Performance state],MATCH(J163,AwardsData[Award ID],0)),"Unlinked"))</f>
        <v>Virginia</v>
      </c>
      <c r="Z163" s="57" t="n">
        <f aca="false">IF(AND(V163=1,OR(Dashboard!$AB$2="All",K163=Dashboard!$AB$2),OR(Dashboard!$AB$3="All",L163=Dashboard!$AB$3),OR(Dashboard!$N$10="All",W163=Dashboard!$N$10)),1,0)</f>
        <v>1</v>
      </c>
      <c r="AA163" s="57" t="n">
        <f aca="false">IF(AND(Z163=1,OR(Dashboard!$B$7="All",S163=Dashboard!$B$7)),1,0)</f>
        <v>1</v>
      </c>
      <c r="AB163" s="57" t="n">
        <f aca="false">IF(AND(V163=1,F163&lt;&gt;0),1,0)</f>
        <v>1</v>
      </c>
      <c r="AC163" s="57" t="n">
        <f aca="false">IF(AND(AA163=1,AB163=1),IF(COUNTIFS($J$17:J163,J163,$AA$17:AA163,1,$AB$17:AB163,1)=1,1,0),0)</f>
        <v>1</v>
      </c>
      <c r="AD163" s="57" t="n">
        <f aca="false">IF(AND(AA163=1,AB163=1),IF(COUNTIFS($K$17:K163,K163,$AA$17:AA163,1,$AB$17:AB163,1)=1,1,0),0)</f>
        <v>0</v>
      </c>
      <c r="AE163" s="57" t="n">
        <f aca="false">IF(AND(Z163=1,AB163=1),IF(COUNTIFS($J$17:J163,J163,$S$17:S163,S163,$Z$17:Z163,1,$AB$17:AB163,1)=1,1,0),0)</f>
        <v>1</v>
      </c>
      <c r="AF163" s="57" t="n">
        <f aca="false">IF(AND(Z163=1,AB163=1),IF(COUNTIFS($K$17:K163,K163,$S$17:S163,S163,$Z$17:Z163,1,$AB$17:AB163,1)=1,1,0),0)</f>
        <v>0</v>
      </c>
      <c r="AG163" s="57" t="n">
        <f aca="false">IF(AND(AA163=1,AB163=1),IF(COUNTIFS($J$17:J163,J163,$L$17:L163,L163,$AA$17:AA163,1,$AB$17:AB163,1)=1,1,0),0)</f>
        <v>1</v>
      </c>
      <c r="AH163" s="57" t="n">
        <f aca="false">IF(AND(AA163=1,AB163=1),IF(COUNTIFS($J$17:J163,J163,$K$17:K163,K163,$AA$17:AA163,1,$AB$17:AB163,1)=1,1,0),0)</f>
        <v>1</v>
      </c>
      <c r="AI163" s="56" t="n">
        <f aca="false">IF(V163=1,MAX(F163,0),0)</f>
        <v>288138.4</v>
      </c>
      <c r="AJ163" s="56" t="n">
        <f aca="false">IF(V163=1,MIN(F163,0),0)</f>
        <v>0</v>
      </c>
    </row>
    <row r="164" customFormat="false" ht="40" hidden="false" customHeight="true" outlineLevel="0" collapsed="false">
      <c r="A164" s="66" t="n">
        <v>45698</v>
      </c>
      <c r="B164" s="54" t="str">
        <f aca="false">IF(M164="","",IF(P164="",M164,HYPERLINK(P164,M164)))</f>
        <v>49100424A0001-49100424F0030</v>
      </c>
      <c r="C164" s="54" t="str">
        <f aca="false">IF(N164="","",IF(Q164="",N164,HYPERLINK(Q164,N164)))</f>
        <v>Spatial Front Inc.</v>
      </c>
      <c r="D164" s="60" t="s">
        <v>166</v>
      </c>
      <c r="E164" s="54" t="str">
        <f aca="false">IF(O164="","",IF(R164="",O164,HYPERLINK(R164,O164)))</f>
        <v>NSF — office not specified</v>
      </c>
      <c r="F164" s="62" t="n">
        <v>903101.92</v>
      </c>
      <c r="G164" s="61" t="s">
        <v>464</v>
      </c>
      <c r="H164" s="58"/>
      <c r="I164" s="58" t="s">
        <v>615</v>
      </c>
      <c r="J164" s="58" t="s">
        <v>364</v>
      </c>
      <c r="K164" s="58" t="s">
        <v>164</v>
      </c>
      <c r="L164" s="58" t="s">
        <v>213</v>
      </c>
      <c r="M164" s="58" t="s">
        <v>365</v>
      </c>
      <c r="N164" s="58" t="s">
        <v>165</v>
      </c>
      <c r="O164" s="58" t="s">
        <v>214</v>
      </c>
      <c r="P164" s="58" t="s">
        <v>366</v>
      </c>
      <c r="Q164" s="58" t="s">
        <v>167</v>
      </c>
      <c r="R164" s="58" t="s">
        <v>215</v>
      </c>
      <c r="S164" s="57" t="n">
        <f aca="false">IF(ISNUMBER(A164),YEAR(A164)+IF(MONTH(A164)&gt;=10,1,0),"")</f>
        <v>2025</v>
      </c>
      <c r="T164" s="57" t="n">
        <f aca="false">IF(ISNUMBER(A164),INT(MOD(MONTH(A164)-10,12)/3)+1,"")</f>
        <v>2</v>
      </c>
      <c r="U164" s="57" t="str">
        <f aca="false">IF(AND(I164&lt;&gt;"",D164&lt;&gt;"",OR(COUNTIFS(TransactionsData[Vendor ID],K164,TransactionsData[UEI],"&lt;&gt;"&amp;D164,TransactionsData[UEI],"?*")&gt;0,COUNTIFS(VendorGroups[Record ID],K164,VendorGroups[Source UEI],"&lt;&gt;"&amp;D164,VendorGroups[Source UEI],"?*")&gt;0)),"Conflicting vendor UEIs",IF(I164="",IF(COUNTA(A164,D164,F164:R164)&gt;0,"Missing transaction ID",""),IF(COUNTIFS(TransactionsData[Transaction ID],I164)&lt;&gt;1,"Duplicate transaction ID",IF(OR(NOT(ISNUMBER(A164)),A164&lt;1,A164&gt;DATE(2099,1,1)),"Use a valid date",IF(OR(A164&lt;$B$4,A164&gt;$D$4),"Outside coverage",IF(NOT(ISNUMBER(F164)),"Missing or invalid amount",IF(OR(K164="",L164="",N164=""),"Add vendor and office identities",IF(G164="Exclude",IF(OR(F164&lt;&gt;0,H164=""),"Review nonzero or unexplained exclusion",""),IF(G164&lt;&gt;"Include","Choose Include or Exclude",IF(COUNTIFS(AwardsData[Award ID],J164)&lt;&gt;1,"Award link needs review",IF(INDEX(AwardsData[Input check],MATCH(J164,AwardsData[Award ID],0))&lt;&gt;"","Check award inputs","")))))))))))</f>
        <v/>
      </c>
      <c r="V164" s="57" t="n">
        <f aca="false">IF(AND(I164&lt;&gt;"",U164="",G164="Include"),1,0)</f>
        <v>1</v>
      </c>
      <c r="W164" s="57" t="str">
        <f aca="false">IF(I164="","",IF(COUNTIFS(AwardsData[Award ID],J164)=1,INDEX(AwardsData[Current award type],MATCH(J164,AwardsData[Award ID],0)),"Unlinked"))</f>
        <v>BPA Call</v>
      </c>
      <c r="X164" s="57" t="str">
        <f aca="false">IF(I164="","",IF(COUNTIFS(AwardsData[Award ID],J164)=1,INDEX(AwardsData[Current set-aside],MATCH(J164,AwardsData[Award ID],0)),"Unlinked"))</f>
        <v>No Set-Aside Used</v>
      </c>
      <c r="Y164" s="57" t="str">
        <f aca="false">IF(I164="","",IF(COUNTIFS(AwardsData[Award ID],J164)=1,INDEX(AwardsData[Performance state],MATCH(J164,AwardsData[Award ID],0)),"Unlinked"))</f>
        <v>Virginia</v>
      </c>
      <c r="Z164" s="57" t="n">
        <f aca="false">IF(AND(V164=1,OR(Dashboard!$AB$2="All",K164=Dashboard!$AB$2),OR(Dashboard!$AB$3="All",L164=Dashboard!$AB$3),OR(Dashboard!$N$10="All",W164=Dashboard!$N$10)),1,0)</f>
        <v>1</v>
      </c>
      <c r="AA164" s="57" t="n">
        <f aca="false">IF(AND(Z164=1,OR(Dashboard!$B$7="All",S164=Dashboard!$B$7)),1,0)</f>
        <v>1</v>
      </c>
      <c r="AB164" s="57" t="n">
        <f aca="false">IF(AND(V164=1,F164&lt;&gt;0),1,0)</f>
        <v>1</v>
      </c>
      <c r="AC164" s="57" t="n">
        <f aca="false">IF(AND(AA164=1,AB164=1),IF(COUNTIFS($J$17:J164,J164,$AA$17:AA164,1,$AB$17:AB164,1)=1,1,0),0)</f>
        <v>0</v>
      </c>
      <c r="AD164" s="57" t="n">
        <f aca="false">IF(AND(AA164=1,AB164=1),IF(COUNTIFS($K$17:K164,K164,$AA$17:AA164,1,$AB$17:AB164,1)=1,1,0),0)</f>
        <v>0</v>
      </c>
      <c r="AE164" s="57" t="n">
        <f aca="false">IF(AND(Z164=1,AB164=1),IF(COUNTIFS($J$17:J164,J164,$S$17:S164,S164,$Z$17:Z164,1,$AB$17:AB164,1)=1,1,0),0)</f>
        <v>0</v>
      </c>
      <c r="AF164" s="57" t="n">
        <f aca="false">IF(AND(Z164=1,AB164=1),IF(COUNTIFS($K$17:K164,K164,$S$17:S164,S164,$Z$17:Z164,1,$AB$17:AB164,1)=1,1,0),0)</f>
        <v>0</v>
      </c>
      <c r="AG164" s="57" t="n">
        <f aca="false">IF(AND(AA164=1,AB164=1),IF(COUNTIFS($J$17:J164,J164,$L$17:L164,L164,$AA$17:AA164,1,$AB$17:AB164,1)=1,1,0),0)</f>
        <v>0</v>
      </c>
      <c r="AH164" s="57" t="n">
        <f aca="false">IF(AND(AA164=1,AB164=1),IF(COUNTIFS($J$17:J164,J164,$K$17:K164,K164,$AA$17:AA164,1,$AB$17:AB164,1)=1,1,0),0)</f>
        <v>0</v>
      </c>
      <c r="AI164" s="56" t="n">
        <f aca="false">IF(V164=1,MAX(F164,0),0)</f>
        <v>903101.92</v>
      </c>
      <c r="AJ164" s="56" t="n">
        <f aca="false">IF(V164=1,MIN(F164,0),0)</f>
        <v>0</v>
      </c>
    </row>
    <row r="165" customFormat="false" ht="40" hidden="false" customHeight="true" outlineLevel="0" collapsed="false">
      <c r="A165" s="66" t="n">
        <v>45707</v>
      </c>
      <c r="B165" s="54" t="str">
        <f aca="false">IF(M165="","",IF(P165="",M165,HYPERLINK(P165,M165)))</f>
        <v>47QTCA23D0037-49100424F0196</v>
      </c>
      <c r="C165" s="54" t="str">
        <f aca="false">IF(N165="","",IF(Q165="",N165,HYPERLINK(Q165,N165)))</f>
        <v>Criterion Systems, L.L.C.</v>
      </c>
      <c r="D165" s="60" t="s">
        <v>119</v>
      </c>
      <c r="E165" s="54" t="str">
        <f aca="false">IF(O165="","",IF(R165="",O165,HYPERLINK(R165,O165)))</f>
        <v>NSF — office not specified</v>
      </c>
      <c r="F165" s="62" t="n">
        <v>1400000</v>
      </c>
      <c r="G165" s="61" t="s">
        <v>464</v>
      </c>
      <c r="H165" s="58"/>
      <c r="I165" s="58" t="s">
        <v>616</v>
      </c>
      <c r="J165" s="58" t="s">
        <v>264</v>
      </c>
      <c r="K165" s="58" t="s">
        <v>117</v>
      </c>
      <c r="L165" s="58" t="s">
        <v>213</v>
      </c>
      <c r="M165" s="58" t="s">
        <v>265</v>
      </c>
      <c r="N165" s="58" t="s">
        <v>118</v>
      </c>
      <c r="O165" s="58" t="s">
        <v>214</v>
      </c>
      <c r="P165" s="58" t="s">
        <v>266</v>
      </c>
      <c r="Q165" s="58" t="s">
        <v>120</v>
      </c>
      <c r="R165" s="58" t="s">
        <v>215</v>
      </c>
      <c r="S165" s="57" t="n">
        <f aca="false">IF(ISNUMBER(A165),YEAR(A165)+IF(MONTH(A165)&gt;=10,1,0),"")</f>
        <v>2025</v>
      </c>
      <c r="T165" s="57" t="n">
        <f aca="false">IF(ISNUMBER(A165),INT(MOD(MONTH(A165)-10,12)/3)+1,"")</f>
        <v>2</v>
      </c>
      <c r="U165" s="57" t="str">
        <f aca="false">IF(AND(I165&lt;&gt;"",D165&lt;&gt;"",OR(COUNTIFS(TransactionsData[Vendor ID],K165,TransactionsData[UEI],"&lt;&gt;"&amp;D165,TransactionsData[UEI],"?*")&gt;0,COUNTIFS(VendorGroups[Record ID],K165,VendorGroups[Source UEI],"&lt;&gt;"&amp;D165,VendorGroups[Source UEI],"?*")&gt;0)),"Conflicting vendor UEIs",IF(I165="",IF(COUNTA(A165,D165,F165:R165)&gt;0,"Missing transaction ID",""),IF(COUNTIFS(TransactionsData[Transaction ID],I165)&lt;&gt;1,"Duplicate transaction ID",IF(OR(NOT(ISNUMBER(A165)),A165&lt;1,A165&gt;DATE(2099,1,1)),"Use a valid date",IF(OR(A165&lt;$B$4,A165&gt;$D$4),"Outside coverage",IF(NOT(ISNUMBER(F165)),"Missing or invalid amount",IF(OR(K165="",L165="",N165=""),"Add vendor and office identities",IF(G165="Exclude",IF(OR(F165&lt;&gt;0,H165=""),"Review nonzero or unexplained exclusion",""),IF(G165&lt;&gt;"Include","Choose Include or Exclude",IF(COUNTIFS(AwardsData[Award ID],J165)&lt;&gt;1,"Award link needs review",IF(INDEX(AwardsData[Input check],MATCH(J165,AwardsData[Award ID],0))&lt;&gt;"","Check award inputs","")))))))))))</f>
        <v/>
      </c>
      <c r="V165" s="57" t="n">
        <f aca="false">IF(AND(I165&lt;&gt;"",U165="",G165="Include"),1,0)</f>
        <v>1</v>
      </c>
      <c r="W165" s="57" t="str">
        <f aca="false">IF(I165="","",IF(COUNTIFS(AwardsData[Award ID],J165)=1,INDEX(AwardsData[Current award type],MATCH(J165,AwardsData[Award ID],0)),"Unlinked"))</f>
        <v>Delivery Order</v>
      </c>
      <c r="X165" s="57" t="str">
        <f aca="false">IF(I165="","",IF(COUNTIFS(AwardsData[Award ID],J165)=1,INDEX(AwardsData[Current set-aside],MATCH(J165,AwardsData[Award ID],0)),"Unlinked"))</f>
        <v>No Set-Aside Used</v>
      </c>
      <c r="Y165" s="57" t="str">
        <f aca="false">IF(I165="","",IF(COUNTIFS(AwardsData[Award ID],J165)=1,INDEX(AwardsData[Performance state],MATCH(J165,AwardsData[Award ID],0)),"Unlinked"))</f>
        <v>Virginia</v>
      </c>
      <c r="Z165" s="57" t="n">
        <f aca="false">IF(AND(V165=1,OR(Dashboard!$AB$2="All",K165=Dashboard!$AB$2),OR(Dashboard!$AB$3="All",L165=Dashboard!$AB$3),OR(Dashboard!$N$10="All",W165=Dashboard!$N$10)),1,0)</f>
        <v>1</v>
      </c>
      <c r="AA165" s="57" t="n">
        <f aca="false">IF(AND(Z165=1,OR(Dashboard!$B$7="All",S165=Dashboard!$B$7)),1,0)</f>
        <v>1</v>
      </c>
      <c r="AB165" s="57" t="n">
        <f aca="false">IF(AND(V165=1,F165&lt;&gt;0),1,0)</f>
        <v>1</v>
      </c>
      <c r="AC165" s="57" t="n">
        <f aca="false">IF(AND(AA165=1,AB165=1),IF(COUNTIFS($J$17:J165,J165,$AA$17:AA165,1,$AB$17:AB165,1)=1,1,0),0)</f>
        <v>0</v>
      </c>
      <c r="AD165" s="57" t="n">
        <f aca="false">IF(AND(AA165=1,AB165=1),IF(COUNTIFS($K$17:K165,K165,$AA$17:AA165,1,$AB$17:AB165,1)=1,1,0),0)</f>
        <v>0</v>
      </c>
      <c r="AE165" s="57" t="n">
        <f aca="false">IF(AND(Z165=1,AB165=1),IF(COUNTIFS($J$17:J165,J165,$S$17:S165,S165,$Z$17:Z165,1,$AB$17:AB165,1)=1,1,0),0)</f>
        <v>0</v>
      </c>
      <c r="AF165" s="57" t="n">
        <f aca="false">IF(AND(Z165=1,AB165=1),IF(COUNTIFS($K$17:K165,K165,$S$17:S165,S165,$Z$17:Z165,1,$AB$17:AB165,1)=1,1,0),0)</f>
        <v>0</v>
      </c>
      <c r="AG165" s="57" t="n">
        <f aca="false">IF(AND(AA165=1,AB165=1),IF(COUNTIFS($J$17:J165,J165,$L$17:L165,L165,$AA$17:AA165,1,$AB$17:AB165,1)=1,1,0),0)</f>
        <v>0</v>
      </c>
      <c r="AH165" s="57" t="n">
        <f aca="false">IF(AND(AA165=1,AB165=1),IF(COUNTIFS($J$17:J165,J165,$K$17:K165,K165,$AA$17:AA165,1,$AB$17:AB165,1)=1,1,0),0)</f>
        <v>0</v>
      </c>
      <c r="AI165" s="56" t="n">
        <f aca="false">IF(V165=1,MAX(F165,0),0)</f>
        <v>1400000</v>
      </c>
      <c r="AJ165" s="56" t="n">
        <f aca="false">IF(V165=1,MIN(F165,0),0)</f>
        <v>0</v>
      </c>
    </row>
    <row r="166" customFormat="false" ht="40" hidden="false" customHeight="true" outlineLevel="0" collapsed="false">
      <c r="A166" s="66" t="n">
        <v>45707</v>
      </c>
      <c r="B166" s="54" t="str">
        <f aca="false">IF(M166="","",IF(P166="",M166,HYPERLINK(P166,M166)))</f>
        <v>49100424A0001-49100424F0055</v>
      </c>
      <c r="C166" s="54" t="str">
        <f aca="false">IF(N166="","",IF(Q166="",N166,HYPERLINK(Q166,N166)))</f>
        <v>Spatial Front Inc.</v>
      </c>
      <c r="D166" s="60" t="s">
        <v>166</v>
      </c>
      <c r="E166" s="54" t="str">
        <f aca="false">IF(O166="","",IF(R166="",O166,HYPERLINK(R166,O166)))</f>
        <v>NSF — office not specified</v>
      </c>
      <c r="F166" s="62" t="n">
        <v>79764.66</v>
      </c>
      <c r="G166" s="61" t="s">
        <v>464</v>
      </c>
      <c r="H166" s="58"/>
      <c r="I166" s="58" t="s">
        <v>617</v>
      </c>
      <c r="J166" s="58" t="s">
        <v>379</v>
      </c>
      <c r="K166" s="58" t="s">
        <v>164</v>
      </c>
      <c r="L166" s="58" t="s">
        <v>213</v>
      </c>
      <c r="M166" s="58" t="s">
        <v>380</v>
      </c>
      <c r="N166" s="58" t="s">
        <v>165</v>
      </c>
      <c r="O166" s="58" t="s">
        <v>214</v>
      </c>
      <c r="P166" s="58" t="s">
        <v>381</v>
      </c>
      <c r="Q166" s="58" t="s">
        <v>167</v>
      </c>
      <c r="R166" s="58" t="s">
        <v>215</v>
      </c>
      <c r="S166" s="57" t="n">
        <f aca="false">IF(ISNUMBER(A166),YEAR(A166)+IF(MONTH(A166)&gt;=10,1,0),"")</f>
        <v>2025</v>
      </c>
      <c r="T166" s="57" t="n">
        <f aca="false">IF(ISNUMBER(A166),INT(MOD(MONTH(A166)-10,12)/3)+1,"")</f>
        <v>2</v>
      </c>
      <c r="U166" s="57" t="str">
        <f aca="false">IF(AND(I166&lt;&gt;"",D166&lt;&gt;"",OR(COUNTIFS(TransactionsData[Vendor ID],K166,TransactionsData[UEI],"&lt;&gt;"&amp;D166,TransactionsData[UEI],"?*")&gt;0,COUNTIFS(VendorGroups[Record ID],K166,VendorGroups[Source UEI],"&lt;&gt;"&amp;D166,VendorGroups[Source UEI],"?*")&gt;0)),"Conflicting vendor UEIs",IF(I166="",IF(COUNTA(A166,D166,F166:R166)&gt;0,"Missing transaction ID",""),IF(COUNTIFS(TransactionsData[Transaction ID],I166)&lt;&gt;1,"Duplicate transaction ID",IF(OR(NOT(ISNUMBER(A166)),A166&lt;1,A166&gt;DATE(2099,1,1)),"Use a valid date",IF(OR(A166&lt;$B$4,A166&gt;$D$4),"Outside coverage",IF(NOT(ISNUMBER(F166)),"Missing or invalid amount",IF(OR(K166="",L166="",N166=""),"Add vendor and office identities",IF(G166="Exclude",IF(OR(F166&lt;&gt;0,H166=""),"Review nonzero or unexplained exclusion",""),IF(G166&lt;&gt;"Include","Choose Include or Exclude",IF(COUNTIFS(AwardsData[Award ID],J166)&lt;&gt;1,"Award link needs review",IF(INDEX(AwardsData[Input check],MATCH(J166,AwardsData[Award ID],0))&lt;&gt;"","Check award inputs","")))))))))))</f>
        <v/>
      </c>
      <c r="V166" s="57" t="n">
        <f aca="false">IF(AND(I166&lt;&gt;"",U166="",G166="Include"),1,0)</f>
        <v>1</v>
      </c>
      <c r="W166" s="57" t="str">
        <f aca="false">IF(I166="","",IF(COUNTIFS(AwardsData[Award ID],J166)=1,INDEX(AwardsData[Current award type],MATCH(J166,AwardsData[Award ID],0)),"Unlinked"))</f>
        <v>BPA Call</v>
      </c>
      <c r="X166" s="57" t="str">
        <f aca="false">IF(I166="","",IF(COUNTIFS(AwardsData[Award ID],J166)=1,INDEX(AwardsData[Current set-aside],MATCH(J166,AwardsData[Award ID],0)),"Unlinked"))</f>
        <v>Total Small Business</v>
      </c>
      <c r="Y166" s="57" t="str">
        <f aca="false">IF(I166="","",IF(COUNTIFS(AwardsData[Award ID],J166)=1,INDEX(AwardsData[Performance state],MATCH(J166,AwardsData[Award ID],0)),"Unlinked"))</f>
        <v>Virginia</v>
      </c>
      <c r="Z166" s="57" t="n">
        <f aca="false">IF(AND(V166=1,OR(Dashboard!$AB$2="All",K166=Dashboard!$AB$2),OR(Dashboard!$AB$3="All",L166=Dashboard!$AB$3),OR(Dashboard!$N$10="All",W166=Dashboard!$N$10)),1,0)</f>
        <v>1</v>
      </c>
      <c r="AA166" s="57" t="n">
        <f aca="false">IF(AND(Z166=1,OR(Dashboard!$B$7="All",S166=Dashboard!$B$7)),1,0)</f>
        <v>1</v>
      </c>
      <c r="AB166" s="57" t="n">
        <f aca="false">IF(AND(V166=1,F166&lt;&gt;0),1,0)</f>
        <v>1</v>
      </c>
      <c r="AC166" s="57" t="n">
        <f aca="false">IF(AND(AA166=1,AB166=1),IF(COUNTIFS($J$17:J166,J166,$AA$17:AA166,1,$AB$17:AB166,1)=1,1,0),0)</f>
        <v>0</v>
      </c>
      <c r="AD166" s="57" t="n">
        <f aca="false">IF(AND(AA166=1,AB166=1),IF(COUNTIFS($K$17:K166,K166,$AA$17:AA166,1,$AB$17:AB166,1)=1,1,0),0)</f>
        <v>0</v>
      </c>
      <c r="AE166" s="57" t="n">
        <f aca="false">IF(AND(Z166=1,AB166=1),IF(COUNTIFS($J$17:J166,J166,$S$17:S166,S166,$Z$17:Z166,1,$AB$17:AB166,1)=1,1,0),0)</f>
        <v>0</v>
      </c>
      <c r="AF166" s="57" t="n">
        <f aca="false">IF(AND(Z166=1,AB166=1),IF(COUNTIFS($K$17:K166,K166,$S$17:S166,S166,$Z$17:Z166,1,$AB$17:AB166,1)=1,1,0),0)</f>
        <v>0</v>
      </c>
      <c r="AG166" s="57" t="n">
        <f aca="false">IF(AND(AA166=1,AB166=1),IF(COUNTIFS($J$17:J166,J166,$L$17:L166,L166,$AA$17:AA166,1,$AB$17:AB166,1)=1,1,0),0)</f>
        <v>1</v>
      </c>
      <c r="AH166" s="57" t="n">
        <f aca="false">IF(AND(AA166=1,AB166=1),IF(COUNTIFS($J$17:J166,J166,$K$17:K166,K166,$AA$17:AA166,1,$AB$17:AB166,1)=1,1,0),0)</f>
        <v>0</v>
      </c>
      <c r="AI166" s="56" t="n">
        <f aca="false">IF(V166=1,MAX(F166,0),0)</f>
        <v>79764.66</v>
      </c>
      <c r="AJ166" s="56" t="n">
        <f aca="false">IF(V166=1,MIN(F166,0),0)</f>
        <v>0</v>
      </c>
    </row>
    <row r="167" customFormat="false" ht="40" hidden="false" customHeight="true" outlineLevel="0" collapsed="false">
      <c r="A167" s="66" t="n">
        <v>45713</v>
      </c>
      <c r="B167" s="54" t="str">
        <f aca="false">IF(M167="","",IF(P167="",M167,HYPERLINK(P167,M167)))</f>
        <v>49100424A0001-49100425F0037</v>
      </c>
      <c r="C167" s="54" t="str">
        <f aca="false">IF(N167="","",IF(Q167="",N167,HYPERLINK(Q167,N167)))</f>
        <v>Spatial Front Inc.</v>
      </c>
      <c r="D167" s="60" t="s">
        <v>166</v>
      </c>
      <c r="E167" s="54" t="str">
        <f aca="false">IF(O167="","",IF(R167="",O167,HYPERLINK(R167,O167)))</f>
        <v>NSF — office not specified</v>
      </c>
      <c r="F167" s="62" t="n">
        <v>1343508.6</v>
      </c>
      <c r="G167" s="61" t="s">
        <v>464</v>
      </c>
      <c r="H167" s="58"/>
      <c r="I167" s="58" t="s">
        <v>618</v>
      </c>
      <c r="J167" s="58" t="s">
        <v>389</v>
      </c>
      <c r="K167" s="58" t="s">
        <v>164</v>
      </c>
      <c r="L167" s="58" t="s">
        <v>213</v>
      </c>
      <c r="M167" s="58" t="s">
        <v>390</v>
      </c>
      <c r="N167" s="58" t="s">
        <v>165</v>
      </c>
      <c r="O167" s="58" t="s">
        <v>214</v>
      </c>
      <c r="P167" s="58" t="s">
        <v>391</v>
      </c>
      <c r="Q167" s="58" t="s">
        <v>167</v>
      </c>
      <c r="R167" s="58" t="s">
        <v>215</v>
      </c>
      <c r="S167" s="57" t="n">
        <f aca="false">IF(ISNUMBER(A167),YEAR(A167)+IF(MONTH(A167)&gt;=10,1,0),"")</f>
        <v>2025</v>
      </c>
      <c r="T167" s="57" t="n">
        <f aca="false">IF(ISNUMBER(A167),INT(MOD(MONTH(A167)-10,12)/3)+1,"")</f>
        <v>2</v>
      </c>
      <c r="U167" s="57" t="str">
        <f aca="false">IF(AND(I167&lt;&gt;"",D167&lt;&gt;"",OR(COUNTIFS(TransactionsData[Vendor ID],K167,TransactionsData[UEI],"&lt;&gt;"&amp;D167,TransactionsData[UEI],"?*")&gt;0,COUNTIFS(VendorGroups[Record ID],K167,VendorGroups[Source UEI],"&lt;&gt;"&amp;D167,VendorGroups[Source UEI],"?*")&gt;0)),"Conflicting vendor UEIs",IF(I167="",IF(COUNTA(A167,D167,F167:R167)&gt;0,"Missing transaction ID",""),IF(COUNTIFS(TransactionsData[Transaction ID],I167)&lt;&gt;1,"Duplicate transaction ID",IF(OR(NOT(ISNUMBER(A167)),A167&lt;1,A167&gt;DATE(2099,1,1)),"Use a valid date",IF(OR(A167&lt;$B$4,A167&gt;$D$4),"Outside coverage",IF(NOT(ISNUMBER(F167)),"Missing or invalid amount",IF(OR(K167="",L167="",N167=""),"Add vendor and office identities",IF(G167="Exclude",IF(OR(F167&lt;&gt;0,H167=""),"Review nonzero or unexplained exclusion",""),IF(G167&lt;&gt;"Include","Choose Include or Exclude",IF(COUNTIFS(AwardsData[Award ID],J167)&lt;&gt;1,"Award link needs review",IF(INDEX(AwardsData[Input check],MATCH(J167,AwardsData[Award ID],0))&lt;&gt;"","Check award inputs","")))))))))))</f>
        <v/>
      </c>
      <c r="V167" s="57" t="n">
        <f aca="false">IF(AND(I167&lt;&gt;"",U167="",G167="Include"),1,0)</f>
        <v>1</v>
      </c>
      <c r="W167" s="57" t="str">
        <f aca="false">IF(I167="","",IF(COUNTIFS(AwardsData[Award ID],J167)=1,INDEX(AwardsData[Current award type],MATCH(J167,AwardsData[Award ID],0)),"Unlinked"))</f>
        <v>BPA Call</v>
      </c>
      <c r="X167" s="57" t="str">
        <f aca="false">IF(I167="","",IF(COUNTIFS(AwardsData[Award ID],J167)=1,INDEX(AwardsData[Current set-aside],MATCH(J167,AwardsData[Award ID],0)),"Unlinked"))</f>
        <v>No Set-Aside Used</v>
      </c>
      <c r="Y167" s="57" t="str">
        <f aca="false">IF(I167="","",IF(COUNTIFS(AwardsData[Award ID],J167)=1,INDEX(AwardsData[Performance state],MATCH(J167,AwardsData[Award ID],0)),"Unlinked"))</f>
        <v>Virginia</v>
      </c>
      <c r="Z167" s="57" t="n">
        <f aca="false">IF(AND(V167=1,OR(Dashboard!$AB$2="All",K167=Dashboard!$AB$2),OR(Dashboard!$AB$3="All",L167=Dashboard!$AB$3),OR(Dashboard!$N$10="All",W167=Dashboard!$N$10)),1,0)</f>
        <v>1</v>
      </c>
      <c r="AA167" s="57" t="n">
        <f aca="false">IF(AND(Z167=1,OR(Dashboard!$B$7="All",S167=Dashboard!$B$7)),1,0)</f>
        <v>1</v>
      </c>
      <c r="AB167" s="57" t="n">
        <f aca="false">IF(AND(V167=1,F167&lt;&gt;0),1,0)</f>
        <v>1</v>
      </c>
      <c r="AC167" s="57" t="n">
        <f aca="false">IF(AND(AA167=1,AB167=1),IF(COUNTIFS($J$17:J167,J167,$AA$17:AA167,1,$AB$17:AB167,1)=1,1,0),0)</f>
        <v>1</v>
      </c>
      <c r="AD167" s="57" t="n">
        <f aca="false">IF(AND(AA167=1,AB167=1),IF(COUNTIFS($K$17:K167,K167,$AA$17:AA167,1,$AB$17:AB167,1)=1,1,0),0)</f>
        <v>0</v>
      </c>
      <c r="AE167" s="57" t="n">
        <f aca="false">IF(AND(Z167=1,AB167=1),IF(COUNTIFS($J$17:J167,J167,$S$17:S167,S167,$Z$17:Z167,1,$AB$17:AB167,1)=1,1,0),0)</f>
        <v>1</v>
      </c>
      <c r="AF167" s="57" t="n">
        <f aca="false">IF(AND(Z167=1,AB167=1),IF(COUNTIFS($K$17:K167,K167,$S$17:S167,S167,$Z$17:Z167,1,$AB$17:AB167,1)=1,1,0),0)</f>
        <v>0</v>
      </c>
      <c r="AG167" s="57" t="n">
        <f aca="false">IF(AND(AA167=1,AB167=1),IF(COUNTIFS($J$17:J167,J167,$L$17:L167,L167,$AA$17:AA167,1,$AB$17:AB167,1)=1,1,0),0)</f>
        <v>1</v>
      </c>
      <c r="AH167" s="57" t="n">
        <f aca="false">IF(AND(AA167=1,AB167=1),IF(COUNTIFS($J$17:J167,J167,$K$17:K167,K167,$AA$17:AA167,1,$AB$17:AB167,1)=1,1,0),0)</f>
        <v>1</v>
      </c>
      <c r="AI167" s="56" t="n">
        <f aca="false">IF(V167=1,MAX(F167,0),0)</f>
        <v>1343508.6</v>
      </c>
      <c r="AJ167" s="56" t="n">
        <f aca="false">IF(V167=1,MIN(F167,0),0)</f>
        <v>0</v>
      </c>
    </row>
    <row r="168" customFormat="false" ht="40" hidden="false" customHeight="true" outlineLevel="0" collapsed="false">
      <c r="A168" s="66" t="n">
        <v>45719</v>
      </c>
      <c r="B168" s="54" t="str">
        <f aca="false">IF(M168="","",IF(P168="",M168,HYPERLINK(P168,M168)))</f>
        <v>49100422A0002-49100424F0245</v>
      </c>
      <c r="C168" s="54" t="str">
        <f aca="false">IF(N168="","",IF(Q168="",N168,HYPERLINK(Q168,N168)))</f>
        <v>Directviz Solutions, LLC</v>
      </c>
      <c r="D168" s="60" t="s">
        <v>123</v>
      </c>
      <c r="E168" s="54" t="str">
        <f aca="false">IF(O168="","",IF(R168="",O168,HYPERLINK(R168,O168)))</f>
        <v>Division of Information Systems</v>
      </c>
      <c r="F168" s="62" t="n">
        <v>0</v>
      </c>
      <c r="G168" s="61" t="s">
        <v>464</v>
      </c>
      <c r="H168" s="58"/>
      <c r="I168" s="58" t="s">
        <v>619</v>
      </c>
      <c r="J168" s="58" t="s">
        <v>317</v>
      </c>
      <c r="K168" s="58" t="s">
        <v>121</v>
      </c>
      <c r="L168" s="58" t="s">
        <v>197</v>
      </c>
      <c r="M168" s="58" t="s">
        <v>318</v>
      </c>
      <c r="N168" s="58" t="s">
        <v>122</v>
      </c>
      <c r="O168" s="58" t="s">
        <v>198</v>
      </c>
      <c r="P168" s="58" t="s">
        <v>319</v>
      </c>
      <c r="Q168" s="58" t="s">
        <v>124</v>
      </c>
      <c r="R168" s="58" t="s">
        <v>200</v>
      </c>
      <c r="S168" s="57" t="n">
        <f aca="false">IF(ISNUMBER(A168),YEAR(A168)+IF(MONTH(A168)&gt;=10,1,0),"")</f>
        <v>2025</v>
      </c>
      <c r="T168" s="57" t="n">
        <f aca="false">IF(ISNUMBER(A168),INT(MOD(MONTH(A168)-10,12)/3)+1,"")</f>
        <v>2</v>
      </c>
      <c r="U168" s="57" t="str">
        <f aca="false">IF(AND(I168&lt;&gt;"",D168&lt;&gt;"",OR(COUNTIFS(TransactionsData[Vendor ID],K168,TransactionsData[UEI],"&lt;&gt;"&amp;D168,TransactionsData[UEI],"?*")&gt;0,COUNTIFS(VendorGroups[Record ID],K168,VendorGroups[Source UEI],"&lt;&gt;"&amp;D168,VendorGroups[Source UEI],"?*")&gt;0)),"Conflicting vendor UEIs",IF(I168="",IF(COUNTA(A168,D168,F168:R168)&gt;0,"Missing transaction ID",""),IF(COUNTIFS(TransactionsData[Transaction ID],I168)&lt;&gt;1,"Duplicate transaction ID",IF(OR(NOT(ISNUMBER(A168)),A168&lt;1,A168&gt;DATE(2099,1,1)),"Use a valid date",IF(OR(A168&lt;$B$4,A168&gt;$D$4),"Outside coverage",IF(NOT(ISNUMBER(F168)),"Missing or invalid amount",IF(OR(K168="",L168="",N168=""),"Add vendor and office identities",IF(G168="Exclude",IF(OR(F168&lt;&gt;0,H168=""),"Review nonzero or unexplained exclusion",""),IF(G168&lt;&gt;"Include","Choose Include or Exclude",IF(COUNTIFS(AwardsData[Award ID],J168)&lt;&gt;1,"Award link needs review",IF(INDEX(AwardsData[Input check],MATCH(J168,AwardsData[Award ID],0))&lt;&gt;"","Check award inputs","")))))))))))</f>
        <v/>
      </c>
      <c r="V168" s="57" t="n">
        <f aca="false">IF(AND(I168&lt;&gt;"",U168="",G168="Include"),1,0)</f>
        <v>1</v>
      </c>
      <c r="W168" s="57" t="str">
        <f aca="false">IF(I168="","",IF(COUNTIFS(AwardsData[Award ID],J168)=1,INDEX(AwardsData[Current award type],MATCH(J168,AwardsData[Award ID],0)),"Unlinked"))</f>
        <v>BPA Call</v>
      </c>
      <c r="X168" s="57" t="str">
        <f aca="false">IF(I168="","",IF(COUNTIFS(AwardsData[Award ID],J168)=1,INDEX(AwardsData[Current set-aside],MATCH(J168,AwardsData[Award ID],0)),"Unlinked"))</f>
        <v>Total Small Business</v>
      </c>
      <c r="Y168" s="57" t="str">
        <f aca="false">IF(I168="","",IF(COUNTIFS(AwardsData[Award ID],J168)=1,INDEX(AwardsData[Performance state],MATCH(J168,AwardsData[Award ID],0)),"Unlinked"))</f>
        <v>Virginia</v>
      </c>
      <c r="Z168" s="57" t="n">
        <f aca="false">IF(AND(V168=1,OR(Dashboard!$AB$2="All",K168=Dashboard!$AB$2),OR(Dashboard!$AB$3="All",L168=Dashboard!$AB$3),OR(Dashboard!$N$10="All",W168=Dashboard!$N$10)),1,0)</f>
        <v>1</v>
      </c>
      <c r="AA168" s="57" t="n">
        <f aca="false">IF(AND(Z168=1,OR(Dashboard!$B$7="All",S168=Dashboard!$B$7)),1,0)</f>
        <v>1</v>
      </c>
      <c r="AB168" s="57" t="n">
        <f aca="false">IF(AND(V168=1,F168&lt;&gt;0),1,0)</f>
        <v>0</v>
      </c>
      <c r="AC168" s="57" t="n">
        <f aca="false">IF(AND(AA168=1,AB168=1),IF(COUNTIFS($J$17:J168,J168,$AA$17:AA168,1,$AB$17:AB168,1)=1,1,0),0)</f>
        <v>0</v>
      </c>
      <c r="AD168" s="57" t="n">
        <f aca="false">IF(AND(AA168=1,AB168=1),IF(COUNTIFS($K$17:K168,K168,$AA$17:AA168,1,$AB$17:AB168,1)=1,1,0),0)</f>
        <v>0</v>
      </c>
      <c r="AE168" s="57" t="n">
        <f aca="false">IF(AND(Z168=1,AB168=1),IF(COUNTIFS($J$17:J168,J168,$S$17:S168,S168,$Z$17:Z168,1,$AB$17:AB168,1)=1,1,0),0)</f>
        <v>0</v>
      </c>
      <c r="AF168" s="57" t="n">
        <f aca="false">IF(AND(Z168=1,AB168=1),IF(COUNTIFS($K$17:K168,K168,$S$17:S168,S168,$Z$17:Z168,1,$AB$17:AB168,1)=1,1,0),0)</f>
        <v>0</v>
      </c>
      <c r="AG168" s="57" t="n">
        <f aca="false">IF(AND(AA168=1,AB168=1),IF(COUNTIFS($J$17:J168,J168,$L$17:L168,L168,$AA$17:AA168,1,$AB$17:AB168,1)=1,1,0),0)</f>
        <v>0</v>
      </c>
      <c r="AH168" s="57" t="n">
        <f aca="false">IF(AND(AA168=1,AB168=1),IF(COUNTIFS($J$17:J168,J168,$K$17:K168,K168,$AA$17:AA168,1,$AB$17:AB168,1)=1,1,0),0)</f>
        <v>0</v>
      </c>
      <c r="AI168" s="56" t="n">
        <f aca="false">IF(V168=1,MAX(F168,0),0)</f>
        <v>0</v>
      </c>
      <c r="AJ168" s="56" t="n">
        <f aca="false">IF(V168=1,MIN(F168,0),0)</f>
        <v>0</v>
      </c>
    </row>
    <row r="169" customFormat="false" ht="40" hidden="false" customHeight="true" outlineLevel="0" collapsed="false">
      <c r="A169" s="66" t="n">
        <v>45726</v>
      </c>
      <c r="B169" s="54" t="str">
        <f aca="false">IF(M169="","",IF(P169="",M169,HYPERLINK(P169,M169)))</f>
        <v>47QTCB21D0016-49100424F0029</v>
      </c>
      <c r="C169" s="54" t="str">
        <f aca="false">IF(N169="","",IF(Q169="",N169,HYPERLINK(Q169,N169)))</f>
        <v>Professional Management Consulting Services LLC</v>
      </c>
      <c r="D169" s="60" t="s">
        <v>154</v>
      </c>
      <c r="E169" s="54" t="str">
        <f aca="false">IF(O169="","",IF(R169="",O169,HYPERLINK(R169,O169)))</f>
        <v>Directorate of Geosciences</v>
      </c>
      <c r="F169" s="62" t="n">
        <v>508820.4</v>
      </c>
      <c r="G169" s="61" t="s">
        <v>464</v>
      </c>
      <c r="H169" s="58"/>
      <c r="I169" s="58" t="s">
        <v>620</v>
      </c>
      <c r="J169" s="58" t="s">
        <v>284</v>
      </c>
      <c r="K169" s="58" t="s">
        <v>152</v>
      </c>
      <c r="L169" s="58" t="s">
        <v>185</v>
      </c>
      <c r="M169" s="58" t="s">
        <v>285</v>
      </c>
      <c r="N169" s="58" t="s">
        <v>153</v>
      </c>
      <c r="O169" s="58" t="s">
        <v>186</v>
      </c>
      <c r="P169" s="58" t="s">
        <v>286</v>
      </c>
      <c r="Q169" s="58" t="s">
        <v>155</v>
      </c>
      <c r="R169" s="58" t="s">
        <v>188</v>
      </c>
      <c r="S169" s="57" t="n">
        <f aca="false">IF(ISNUMBER(A169),YEAR(A169)+IF(MONTH(A169)&gt;=10,1,0),"")</f>
        <v>2025</v>
      </c>
      <c r="T169" s="57" t="n">
        <f aca="false">IF(ISNUMBER(A169),INT(MOD(MONTH(A169)-10,12)/3)+1,"")</f>
        <v>2</v>
      </c>
      <c r="U169" s="57" t="str">
        <f aca="false">IF(AND(I169&lt;&gt;"",D169&lt;&gt;"",OR(COUNTIFS(TransactionsData[Vendor ID],K169,TransactionsData[UEI],"&lt;&gt;"&amp;D169,TransactionsData[UEI],"?*")&gt;0,COUNTIFS(VendorGroups[Record ID],K169,VendorGroups[Source UEI],"&lt;&gt;"&amp;D169,VendorGroups[Source UEI],"?*")&gt;0)),"Conflicting vendor UEIs",IF(I169="",IF(COUNTA(A169,D169,F169:R169)&gt;0,"Missing transaction ID",""),IF(COUNTIFS(TransactionsData[Transaction ID],I169)&lt;&gt;1,"Duplicate transaction ID",IF(OR(NOT(ISNUMBER(A169)),A169&lt;1,A169&gt;DATE(2099,1,1)),"Use a valid date",IF(OR(A169&lt;$B$4,A169&gt;$D$4),"Outside coverage",IF(NOT(ISNUMBER(F169)),"Missing or invalid amount",IF(OR(K169="",L169="",N169=""),"Add vendor and office identities",IF(G169="Exclude",IF(OR(F169&lt;&gt;0,H169=""),"Review nonzero or unexplained exclusion",""),IF(G169&lt;&gt;"Include","Choose Include or Exclude",IF(COUNTIFS(AwardsData[Award ID],J169)&lt;&gt;1,"Award link needs review",IF(INDEX(AwardsData[Input check],MATCH(J169,AwardsData[Award ID],0))&lt;&gt;"","Check award inputs","")))))))))))</f>
        <v/>
      </c>
      <c r="V169" s="57" t="n">
        <f aca="false">IF(AND(I169&lt;&gt;"",U169="",G169="Include"),1,0)</f>
        <v>1</v>
      </c>
      <c r="W169" s="57" t="str">
        <f aca="false">IF(I169="","",IF(COUNTIFS(AwardsData[Award ID],J169)=1,INDEX(AwardsData[Current award type],MATCH(J169,AwardsData[Award ID],0)),"Unlinked"))</f>
        <v>Delivery Order</v>
      </c>
      <c r="X169" s="57" t="str">
        <f aca="false">IF(I169="","",IF(COUNTIFS(AwardsData[Award ID],J169)=1,INDEX(AwardsData[Current set-aside],MATCH(J169,AwardsData[Award ID],0)),"Unlinked"))</f>
        <v>8(a) Sole Source</v>
      </c>
      <c r="Y169" s="57" t="str">
        <f aca="false">IF(I169="","",IF(COUNTIFS(AwardsData[Award ID],J169)=1,INDEX(AwardsData[Performance state],MATCH(J169,AwardsData[Award ID],0)),"Unlinked"))</f>
        <v>District of Columbia</v>
      </c>
      <c r="Z169" s="57" t="n">
        <f aca="false">IF(AND(V169=1,OR(Dashboard!$AB$2="All",K169=Dashboard!$AB$2),OR(Dashboard!$AB$3="All",L169=Dashboard!$AB$3),OR(Dashboard!$N$10="All",W169=Dashboard!$N$10)),1,0)</f>
        <v>1</v>
      </c>
      <c r="AA169" s="57" t="n">
        <f aca="false">IF(AND(Z169=1,OR(Dashboard!$B$7="All",S169=Dashboard!$B$7)),1,0)</f>
        <v>1</v>
      </c>
      <c r="AB169" s="57" t="n">
        <f aca="false">IF(AND(V169=1,F169&lt;&gt;0),1,0)</f>
        <v>1</v>
      </c>
      <c r="AC169" s="57" t="n">
        <f aca="false">IF(AND(AA169=1,AB169=1),IF(COUNTIFS($J$17:J169,J169,$AA$17:AA169,1,$AB$17:AB169,1)=1,1,0),0)</f>
        <v>1</v>
      </c>
      <c r="AD169" s="57" t="n">
        <f aca="false">IF(AND(AA169=1,AB169=1),IF(COUNTIFS($K$17:K169,K169,$AA$17:AA169,1,$AB$17:AB169,1)=1,1,0),0)</f>
        <v>1</v>
      </c>
      <c r="AE169" s="57" t="n">
        <f aca="false">IF(AND(Z169=1,AB169=1),IF(COUNTIFS($J$17:J169,J169,$S$17:S169,S169,$Z$17:Z169,1,$AB$17:AB169,1)=1,1,0),0)</f>
        <v>1</v>
      </c>
      <c r="AF169" s="57" t="n">
        <f aca="false">IF(AND(Z169=1,AB169=1),IF(COUNTIFS($K$17:K169,K169,$S$17:S169,S169,$Z$17:Z169,1,$AB$17:AB169,1)=1,1,0),0)</f>
        <v>1</v>
      </c>
      <c r="AG169" s="57" t="n">
        <f aca="false">IF(AND(AA169=1,AB169=1),IF(COUNTIFS($J$17:J169,J169,$L$17:L169,L169,$AA$17:AA169,1,$AB$17:AB169,1)=1,1,0),0)</f>
        <v>1</v>
      </c>
      <c r="AH169" s="57" t="n">
        <f aca="false">IF(AND(AA169=1,AB169=1),IF(COUNTIFS($J$17:J169,J169,$K$17:K169,K169,$AA$17:AA169,1,$AB$17:AB169,1)=1,1,0),0)</f>
        <v>1</v>
      </c>
      <c r="AI169" s="56" t="n">
        <f aca="false">IF(V169=1,MAX(F169,0),0)</f>
        <v>508820.4</v>
      </c>
      <c r="AJ169" s="56" t="n">
        <f aca="false">IF(V169=1,MIN(F169,0),0)</f>
        <v>0</v>
      </c>
    </row>
    <row r="170" customFormat="false" ht="40" hidden="false" customHeight="true" outlineLevel="0" collapsed="false">
      <c r="A170" s="66" t="n">
        <v>45726</v>
      </c>
      <c r="B170" s="54" t="str">
        <f aca="false">IF(M170="","",IF(P170="",M170,HYPERLINK(P170,M170)))</f>
        <v>NSFDACS17C1380-49100421F0198</v>
      </c>
      <c r="C170" s="54" t="str">
        <f aca="false">IF(N170="","",IF(Q170="",N170,HYPERLINK(Q170,N170)))</f>
        <v>Agility Technologies Inc.</v>
      </c>
      <c r="D170" s="60" t="s">
        <v>103</v>
      </c>
      <c r="E170" s="54" t="str">
        <f aca="false">IF(O170="","",IF(R170="",O170,HYPERLINK(R170,O170)))</f>
        <v>Division of Industrial Innovation</v>
      </c>
      <c r="F170" s="62" t="n">
        <v>-90.35</v>
      </c>
      <c r="G170" s="61" t="s">
        <v>464</v>
      </c>
      <c r="H170" s="58"/>
      <c r="I170" s="58" t="s">
        <v>621</v>
      </c>
      <c r="J170" s="58" t="s">
        <v>426</v>
      </c>
      <c r="K170" s="58" t="s">
        <v>101</v>
      </c>
      <c r="L170" s="58" t="s">
        <v>193</v>
      </c>
      <c r="M170" s="58" t="s">
        <v>427</v>
      </c>
      <c r="N170" s="58" t="s">
        <v>102</v>
      </c>
      <c r="O170" s="58" t="s">
        <v>194</v>
      </c>
      <c r="P170" s="58" t="s">
        <v>428</v>
      </c>
      <c r="Q170" s="58" t="s">
        <v>104</v>
      </c>
      <c r="R170" s="58" t="s">
        <v>196</v>
      </c>
      <c r="S170" s="57" t="n">
        <f aca="false">IF(ISNUMBER(A170),YEAR(A170)+IF(MONTH(A170)&gt;=10,1,0),"")</f>
        <v>2025</v>
      </c>
      <c r="T170" s="57" t="n">
        <f aca="false">IF(ISNUMBER(A170),INT(MOD(MONTH(A170)-10,12)/3)+1,"")</f>
        <v>2</v>
      </c>
      <c r="U170" s="57" t="str">
        <f aca="false">IF(AND(I170&lt;&gt;"",D170&lt;&gt;"",OR(COUNTIFS(TransactionsData[Vendor ID],K170,TransactionsData[UEI],"&lt;&gt;"&amp;D170,TransactionsData[UEI],"?*")&gt;0,COUNTIFS(VendorGroups[Record ID],K170,VendorGroups[Source UEI],"&lt;&gt;"&amp;D170,VendorGroups[Source UEI],"?*")&gt;0)),"Conflicting vendor UEIs",IF(I170="",IF(COUNTA(A170,D170,F170:R170)&gt;0,"Missing transaction ID",""),IF(COUNTIFS(TransactionsData[Transaction ID],I170)&lt;&gt;1,"Duplicate transaction ID",IF(OR(NOT(ISNUMBER(A170)),A170&lt;1,A170&gt;DATE(2099,1,1)),"Use a valid date",IF(OR(A170&lt;$B$4,A170&gt;$D$4),"Outside coverage",IF(NOT(ISNUMBER(F170)),"Missing or invalid amount",IF(OR(K170="",L170="",N170=""),"Add vendor and office identities",IF(G170="Exclude",IF(OR(F170&lt;&gt;0,H170=""),"Review nonzero or unexplained exclusion",""),IF(G170&lt;&gt;"Include","Choose Include or Exclude",IF(COUNTIFS(AwardsData[Award ID],J170)&lt;&gt;1,"Award link needs review",IF(INDEX(AwardsData[Input check],MATCH(J170,AwardsData[Award ID],0))&lt;&gt;"","Check award inputs","")))))))))))</f>
        <v/>
      </c>
      <c r="V170" s="57" t="n">
        <f aca="false">IF(AND(I170&lt;&gt;"",U170="",G170="Include"),1,0)</f>
        <v>1</v>
      </c>
      <c r="W170" s="57" t="str">
        <f aca="false">IF(I170="","",IF(COUNTIFS(AwardsData[Award ID],J170)=1,INDEX(AwardsData[Current award type],MATCH(J170,AwardsData[Award ID],0)),"Unlinked"))</f>
        <v>Delivery Order</v>
      </c>
      <c r="X170" s="57" t="str">
        <f aca="false">IF(I170="","",IF(COUNTIFS(AwardsData[Award ID],J170)=1,INDEX(AwardsData[Current set-aside],MATCH(J170,AwardsData[Award ID],0)),"Unlinked"))</f>
        <v>No Set-Aside Used</v>
      </c>
      <c r="Y170" s="57" t="str">
        <f aca="false">IF(I170="","",IF(COUNTIFS(AwardsData[Award ID],J170)=1,INDEX(AwardsData[Performance state],MATCH(J170,AwardsData[Award ID],0)),"Unlinked"))</f>
        <v>Virginia</v>
      </c>
      <c r="Z170" s="57" t="n">
        <f aca="false">IF(AND(V170=1,OR(Dashboard!$AB$2="All",K170=Dashboard!$AB$2),OR(Dashboard!$AB$3="All",L170=Dashboard!$AB$3),OR(Dashboard!$N$10="All",W170=Dashboard!$N$10)),1,0)</f>
        <v>1</v>
      </c>
      <c r="AA170" s="57" t="n">
        <f aca="false">IF(AND(Z170=1,OR(Dashboard!$B$7="All",S170=Dashboard!$B$7)),1,0)</f>
        <v>1</v>
      </c>
      <c r="AB170" s="57" t="n">
        <f aca="false">IF(AND(V170=1,F170&lt;&gt;0),1,0)</f>
        <v>1</v>
      </c>
      <c r="AC170" s="57" t="n">
        <f aca="false">IF(AND(AA170=1,AB170=1),IF(COUNTIFS($J$17:J170,J170,$AA$17:AA170,1,$AB$17:AB170,1)=1,1,0),0)</f>
        <v>1</v>
      </c>
      <c r="AD170" s="57" t="n">
        <f aca="false">IF(AND(AA170=1,AB170=1),IF(COUNTIFS($K$17:K170,K170,$AA$17:AA170,1,$AB$17:AB170,1)=1,1,0),0)</f>
        <v>1</v>
      </c>
      <c r="AE170" s="57" t="n">
        <f aca="false">IF(AND(Z170=1,AB170=1),IF(COUNTIFS($J$17:J170,J170,$S$17:S170,S170,$Z$17:Z170,1,$AB$17:AB170,1)=1,1,0),0)</f>
        <v>1</v>
      </c>
      <c r="AF170" s="57" t="n">
        <f aca="false">IF(AND(Z170=1,AB170=1),IF(COUNTIFS($K$17:K170,K170,$S$17:S170,S170,$Z$17:Z170,1,$AB$17:AB170,1)=1,1,0),0)</f>
        <v>1</v>
      </c>
      <c r="AG170" s="57" t="n">
        <f aca="false">IF(AND(AA170=1,AB170=1),IF(COUNTIFS($J$17:J170,J170,$L$17:L170,L170,$AA$17:AA170,1,$AB$17:AB170,1)=1,1,0),0)</f>
        <v>1</v>
      </c>
      <c r="AH170" s="57" t="n">
        <f aca="false">IF(AND(AA170=1,AB170=1),IF(COUNTIFS($J$17:J170,J170,$K$17:K170,K170,$AA$17:AA170,1,$AB$17:AB170,1)=1,1,0),0)</f>
        <v>1</v>
      </c>
      <c r="AI170" s="56" t="n">
        <f aca="false">IF(V170=1,MAX(F170,0),0)</f>
        <v>0</v>
      </c>
      <c r="AJ170" s="56" t="n">
        <f aca="false">IF(V170=1,MIN(F170,0),0)</f>
        <v>-90.35</v>
      </c>
    </row>
    <row r="171" customFormat="false" ht="40" hidden="false" customHeight="true" outlineLevel="0" collapsed="false">
      <c r="A171" s="66" t="n">
        <v>45728</v>
      </c>
      <c r="B171" s="54" t="str">
        <f aca="false">IF(M171="","",IF(P171="",M171,HYPERLINK(P171,M171)))</f>
        <v>49100424A0001-49100424F0051</v>
      </c>
      <c r="C171" s="54" t="str">
        <f aca="false">IF(N171="","",IF(Q171="",N171,HYPERLINK(Q171,N171)))</f>
        <v>Spatial Front Inc.</v>
      </c>
      <c r="D171" s="60" t="s">
        <v>166</v>
      </c>
      <c r="E171" s="54" t="str">
        <f aca="false">IF(O171="","",IF(R171="",O171,HYPERLINK(R171,O171)))</f>
        <v>NSF — office not specified</v>
      </c>
      <c r="F171" s="62" t="n">
        <v>203185.9</v>
      </c>
      <c r="G171" s="61" t="s">
        <v>464</v>
      </c>
      <c r="H171" s="58"/>
      <c r="I171" s="58" t="s">
        <v>622</v>
      </c>
      <c r="J171" s="58" t="s">
        <v>367</v>
      </c>
      <c r="K171" s="58" t="s">
        <v>164</v>
      </c>
      <c r="L171" s="58" t="s">
        <v>213</v>
      </c>
      <c r="M171" s="58" t="s">
        <v>368</v>
      </c>
      <c r="N171" s="58" t="s">
        <v>165</v>
      </c>
      <c r="O171" s="58" t="s">
        <v>214</v>
      </c>
      <c r="P171" s="58" t="s">
        <v>369</v>
      </c>
      <c r="Q171" s="58" t="s">
        <v>167</v>
      </c>
      <c r="R171" s="58" t="s">
        <v>215</v>
      </c>
      <c r="S171" s="57" t="n">
        <f aca="false">IF(ISNUMBER(A171),YEAR(A171)+IF(MONTH(A171)&gt;=10,1,0),"")</f>
        <v>2025</v>
      </c>
      <c r="T171" s="57" t="n">
        <f aca="false">IF(ISNUMBER(A171),INT(MOD(MONTH(A171)-10,12)/3)+1,"")</f>
        <v>2</v>
      </c>
      <c r="U171" s="57" t="str">
        <f aca="false">IF(AND(I171&lt;&gt;"",D171&lt;&gt;"",OR(COUNTIFS(TransactionsData[Vendor ID],K171,TransactionsData[UEI],"&lt;&gt;"&amp;D171,TransactionsData[UEI],"?*")&gt;0,COUNTIFS(VendorGroups[Record ID],K171,VendorGroups[Source UEI],"&lt;&gt;"&amp;D171,VendorGroups[Source UEI],"?*")&gt;0)),"Conflicting vendor UEIs",IF(I171="",IF(COUNTA(A171,D171,F171:R171)&gt;0,"Missing transaction ID",""),IF(COUNTIFS(TransactionsData[Transaction ID],I171)&lt;&gt;1,"Duplicate transaction ID",IF(OR(NOT(ISNUMBER(A171)),A171&lt;1,A171&gt;DATE(2099,1,1)),"Use a valid date",IF(OR(A171&lt;$B$4,A171&gt;$D$4),"Outside coverage",IF(NOT(ISNUMBER(F171)),"Missing or invalid amount",IF(OR(K171="",L171="",N171=""),"Add vendor and office identities",IF(G171="Exclude",IF(OR(F171&lt;&gt;0,H171=""),"Review nonzero or unexplained exclusion",""),IF(G171&lt;&gt;"Include","Choose Include or Exclude",IF(COUNTIFS(AwardsData[Award ID],J171)&lt;&gt;1,"Award link needs review",IF(INDEX(AwardsData[Input check],MATCH(J171,AwardsData[Award ID],0))&lt;&gt;"","Check award inputs","")))))))))))</f>
        <v/>
      </c>
      <c r="V171" s="57" t="n">
        <f aca="false">IF(AND(I171&lt;&gt;"",U171="",G171="Include"),1,0)</f>
        <v>1</v>
      </c>
      <c r="W171" s="57" t="str">
        <f aca="false">IF(I171="","",IF(COUNTIFS(AwardsData[Award ID],J171)=1,INDEX(AwardsData[Current award type],MATCH(J171,AwardsData[Award ID],0)),"Unlinked"))</f>
        <v>BPA Call</v>
      </c>
      <c r="X171" s="57" t="str">
        <f aca="false">IF(I171="","",IF(COUNTIFS(AwardsData[Award ID],J171)=1,INDEX(AwardsData[Current set-aside],MATCH(J171,AwardsData[Award ID],0)),"Unlinked"))</f>
        <v>Total Small Business</v>
      </c>
      <c r="Y171" s="57" t="str">
        <f aca="false">IF(I171="","",IF(COUNTIFS(AwardsData[Award ID],J171)=1,INDEX(AwardsData[Performance state],MATCH(J171,AwardsData[Award ID],0)),"Unlinked"))</f>
        <v>Virginia</v>
      </c>
      <c r="Z171" s="57" t="n">
        <f aca="false">IF(AND(V171=1,OR(Dashboard!$AB$2="All",K171=Dashboard!$AB$2),OR(Dashboard!$AB$3="All",L171=Dashboard!$AB$3),OR(Dashboard!$N$10="All",W171=Dashboard!$N$10)),1,0)</f>
        <v>1</v>
      </c>
      <c r="AA171" s="57" t="n">
        <f aca="false">IF(AND(Z171=1,OR(Dashboard!$B$7="All",S171=Dashboard!$B$7)),1,0)</f>
        <v>1</v>
      </c>
      <c r="AB171" s="57" t="n">
        <f aca="false">IF(AND(V171=1,F171&lt;&gt;0),1,0)</f>
        <v>1</v>
      </c>
      <c r="AC171" s="57" t="n">
        <f aca="false">IF(AND(AA171=1,AB171=1),IF(COUNTIFS($J$17:J171,J171,$AA$17:AA171,1,$AB$17:AB171,1)=1,1,0),0)</f>
        <v>0</v>
      </c>
      <c r="AD171" s="57" t="n">
        <f aca="false">IF(AND(AA171=1,AB171=1),IF(COUNTIFS($K$17:K171,K171,$AA$17:AA171,1,$AB$17:AB171,1)=1,1,0),0)</f>
        <v>0</v>
      </c>
      <c r="AE171" s="57" t="n">
        <f aca="false">IF(AND(Z171=1,AB171=1),IF(COUNTIFS($J$17:J171,J171,$S$17:S171,S171,$Z$17:Z171,1,$AB$17:AB171,1)=1,1,0),0)</f>
        <v>0</v>
      </c>
      <c r="AF171" s="57" t="n">
        <f aca="false">IF(AND(Z171=1,AB171=1),IF(COUNTIFS($K$17:K171,K171,$S$17:S171,S171,$Z$17:Z171,1,$AB$17:AB171,1)=1,1,0),0)</f>
        <v>0</v>
      </c>
      <c r="AG171" s="57" t="n">
        <f aca="false">IF(AND(AA171=1,AB171=1),IF(COUNTIFS($J$17:J171,J171,$L$17:L171,L171,$AA$17:AA171,1,$AB$17:AB171,1)=1,1,0),0)</f>
        <v>0</v>
      </c>
      <c r="AH171" s="57" t="n">
        <f aca="false">IF(AND(AA171=1,AB171=1),IF(COUNTIFS($J$17:J171,J171,$K$17:K171,K171,$AA$17:AA171,1,$AB$17:AB171,1)=1,1,0),0)</f>
        <v>0</v>
      </c>
      <c r="AI171" s="56" t="n">
        <f aca="false">IF(V171=1,MAX(F171,0),0)</f>
        <v>203185.9</v>
      </c>
      <c r="AJ171" s="56" t="n">
        <f aca="false">IF(V171=1,MIN(F171,0),0)</f>
        <v>0</v>
      </c>
    </row>
    <row r="172" customFormat="false" ht="40" hidden="false" customHeight="true" outlineLevel="0" collapsed="false">
      <c r="A172" s="66" t="n">
        <v>45729</v>
      </c>
      <c r="B172" s="54" t="str">
        <f aca="false">IF(M172="","",IF(P172="",M172,HYPERLINK(P172,M172)))</f>
        <v>49100422A0002-49100424F0245</v>
      </c>
      <c r="C172" s="54" t="str">
        <f aca="false">IF(N172="","",IF(Q172="",N172,HYPERLINK(Q172,N172)))</f>
        <v>Directviz Solutions, LLC</v>
      </c>
      <c r="D172" s="60" t="s">
        <v>123</v>
      </c>
      <c r="E172" s="54" t="str">
        <f aca="false">IF(O172="","",IF(R172="",O172,HYPERLINK(R172,O172)))</f>
        <v>Division of Information Systems</v>
      </c>
      <c r="F172" s="62" t="n">
        <v>2597528.48</v>
      </c>
      <c r="G172" s="61" t="s">
        <v>464</v>
      </c>
      <c r="H172" s="58"/>
      <c r="I172" s="58" t="s">
        <v>623</v>
      </c>
      <c r="J172" s="58" t="s">
        <v>317</v>
      </c>
      <c r="K172" s="58" t="s">
        <v>121</v>
      </c>
      <c r="L172" s="58" t="s">
        <v>197</v>
      </c>
      <c r="M172" s="58" t="s">
        <v>318</v>
      </c>
      <c r="N172" s="58" t="s">
        <v>122</v>
      </c>
      <c r="O172" s="58" t="s">
        <v>198</v>
      </c>
      <c r="P172" s="58" t="s">
        <v>319</v>
      </c>
      <c r="Q172" s="58" t="s">
        <v>124</v>
      </c>
      <c r="R172" s="58" t="s">
        <v>200</v>
      </c>
      <c r="S172" s="57" t="n">
        <f aca="false">IF(ISNUMBER(A172),YEAR(A172)+IF(MONTH(A172)&gt;=10,1,0),"")</f>
        <v>2025</v>
      </c>
      <c r="T172" s="57" t="n">
        <f aca="false">IF(ISNUMBER(A172),INT(MOD(MONTH(A172)-10,12)/3)+1,"")</f>
        <v>2</v>
      </c>
      <c r="U172" s="57" t="str">
        <f aca="false">IF(AND(I172&lt;&gt;"",D172&lt;&gt;"",OR(COUNTIFS(TransactionsData[Vendor ID],K172,TransactionsData[UEI],"&lt;&gt;"&amp;D172,TransactionsData[UEI],"?*")&gt;0,COUNTIFS(VendorGroups[Record ID],K172,VendorGroups[Source UEI],"&lt;&gt;"&amp;D172,VendorGroups[Source UEI],"?*")&gt;0)),"Conflicting vendor UEIs",IF(I172="",IF(COUNTA(A172,D172,F172:R172)&gt;0,"Missing transaction ID",""),IF(COUNTIFS(TransactionsData[Transaction ID],I172)&lt;&gt;1,"Duplicate transaction ID",IF(OR(NOT(ISNUMBER(A172)),A172&lt;1,A172&gt;DATE(2099,1,1)),"Use a valid date",IF(OR(A172&lt;$B$4,A172&gt;$D$4),"Outside coverage",IF(NOT(ISNUMBER(F172)),"Missing or invalid amount",IF(OR(K172="",L172="",N172=""),"Add vendor and office identities",IF(G172="Exclude",IF(OR(F172&lt;&gt;0,H172=""),"Review nonzero or unexplained exclusion",""),IF(G172&lt;&gt;"Include","Choose Include or Exclude",IF(COUNTIFS(AwardsData[Award ID],J172)&lt;&gt;1,"Award link needs review",IF(INDEX(AwardsData[Input check],MATCH(J172,AwardsData[Award ID],0))&lt;&gt;"","Check award inputs","")))))))))))</f>
        <v/>
      </c>
      <c r="V172" s="57" t="n">
        <f aca="false">IF(AND(I172&lt;&gt;"",U172="",G172="Include"),1,0)</f>
        <v>1</v>
      </c>
      <c r="W172" s="57" t="str">
        <f aca="false">IF(I172="","",IF(COUNTIFS(AwardsData[Award ID],J172)=1,INDEX(AwardsData[Current award type],MATCH(J172,AwardsData[Award ID],0)),"Unlinked"))</f>
        <v>BPA Call</v>
      </c>
      <c r="X172" s="57" t="str">
        <f aca="false">IF(I172="","",IF(COUNTIFS(AwardsData[Award ID],J172)=1,INDEX(AwardsData[Current set-aside],MATCH(J172,AwardsData[Award ID],0)),"Unlinked"))</f>
        <v>Total Small Business</v>
      </c>
      <c r="Y172" s="57" t="str">
        <f aca="false">IF(I172="","",IF(COUNTIFS(AwardsData[Award ID],J172)=1,INDEX(AwardsData[Performance state],MATCH(J172,AwardsData[Award ID],0)),"Unlinked"))</f>
        <v>Virginia</v>
      </c>
      <c r="Z172" s="57" t="n">
        <f aca="false">IF(AND(V172=1,OR(Dashboard!$AB$2="All",K172=Dashboard!$AB$2),OR(Dashboard!$AB$3="All",L172=Dashboard!$AB$3),OR(Dashboard!$N$10="All",W172=Dashboard!$N$10)),1,0)</f>
        <v>1</v>
      </c>
      <c r="AA172" s="57" t="n">
        <f aca="false">IF(AND(Z172=1,OR(Dashboard!$B$7="All",S172=Dashboard!$B$7)),1,0)</f>
        <v>1</v>
      </c>
      <c r="AB172" s="57" t="n">
        <f aca="false">IF(AND(V172=1,F172&lt;&gt;0),1,0)</f>
        <v>1</v>
      </c>
      <c r="AC172" s="57" t="n">
        <f aca="false">IF(AND(AA172=1,AB172=1),IF(COUNTIFS($J$17:J172,J172,$AA$17:AA172,1,$AB$17:AB172,1)=1,1,0),0)</f>
        <v>1</v>
      </c>
      <c r="AD172" s="57" t="n">
        <f aca="false">IF(AND(AA172=1,AB172=1),IF(COUNTIFS($K$17:K172,K172,$AA$17:AA172,1,$AB$17:AB172,1)=1,1,0),0)</f>
        <v>0</v>
      </c>
      <c r="AE172" s="57" t="n">
        <f aca="false">IF(AND(Z172=1,AB172=1),IF(COUNTIFS($J$17:J172,J172,$S$17:S172,S172,$Z$17:Z172,1,$AB$17:AB172,1)=1,1,0),0)</f>
        <v>1</v>
      </c>
      <c r="AF172" s="57" t="n">
        <f aca="false">IF(AND(Z172=1,AB172=1),IF(COUNTIFS($K$17:K172,K172,$S$17:S172,S172,$Z$17:Z172,1,$AB$17:AB172,1)=1,1,0),0)</f>
        <v>0</v>
      </c>
      <c r="AG172" s="57" t="n">
        <f aca="false">IF(AND(AA172=1,AB172=1),IF(COUNTIFS($J$17:J172,J172,$L$17:L172,L172,$AA$17:AA172,1,$AB$17:AB172,1)=1,1,0),0)</f>
        <v>1</v>
      </c>
      <c r="AH172" s="57" t="n">
        <f aca="false">IF(AND(AA172=1,AB172=1),IF(COUNTIFS($J$17:J172,J172,$K$17:K172,K172,$AA$17:AA172,1,$AB$17:AB172,1)=1,1,0),0)</f>
        <v>1</v>
      </c>
      <c r="AI172" s="56" t="n">
        <f aca="false">IF(V172=1,MAX(F172,0),0)</f>
        <v>2597528.48</v>
      </c>
      <c r="AJ172" s="56" t="n">
        <f aca="false">IF(V172=1,MIN(F172,0),0)</f>
        <v>0</v>
      </c>
    </row>
    <row r="173" customFormat="false" ht="40" hidden="false" customHeight="true" outlineLevel="0" collapsed="false">
      <c r="A173" s="66" t="n">
        <v>45729</v>
      </c>
      <c r="B173" s="54" t="str">
        <f aca="false">IF(M173="","",IF(P173="",M173,HYPERLINK(P173,M173)))</f>
        <v>49100422A0002-49100425F0017</v>
      </c>
      <c r="C173" s="54" t="str">
        <f aca="false">IF(N173="","",IF(Q173="",N173,HYPERLINK(Q173,N173)))</f>
        <v>Directviz Solutions, LLC</v>
      </c>
      <c r="D173" s="60" t="s">
        <v>123</v>
      </c>
      <c r="E173" s="54" t="str">
        <f aca="false">IF(O173="","",IF(R173="",O173,HYPERLINK(R173,O173)))</f>
        <v>Division of Information Systems</v>
      </c>
      <c r="F173" s="62" t="n">
        <v>5366851.2</v>
      </c>
      <c r="G173" s="61" t="s">
        <v>464</v>
      </c>
      <c r="H173" s="58"/>
      <c r="I173" s="58" t="s">
        <v>624</v>
      </c>
      <c r="J173" s="58" t="s">
        <v>323</v>
      </c>
      <c r="K173" s="58" t="s">
        <v>121</v>
      </c>
      <c r="L173" s="58" t="s">
        <v>197</v>
      </c>
      <c r="M173" s="58" t="s">
        <v>324</v>
      </c>
      <c r="N173" s="58" t="s">
        <v>122</v>
      </c>
      <c r="O173" s="58" t="s">
        <v>198</v>
      </c>
      <c r="P173" s="58" t="s">
        <v>325</v>
      </c>
      <c r="Q173" s="58" t="s">
        <v>124</v>
      </c>
      <c r="R173" s="58" t="s">
        <v>200</v>
      </c>
      <c r="S173" s="57" t="n">
        <f aca="false">IF(ISNUMBER(A173),YEAR(A173)+IF(MONTH(A173)&gt;=10,1,0),"")</f>
        <v>2025</v>
      </c>
      <c r="T173" s="57" t="n">
        <f aca="false">IF(ISNUMBER(A173),INT(MOD(MONTH(A173)-10,12)/3)+1,"")</f>
        <v>2</v>
      </c>
      <c r="U173" s="57" t="str">
        <f aca="false">IF(AND(I173&lt;&gt;"",D173&lt;&gt;"",OR(COUNTIFS(TransactionsData[Vendor ID],K173,TransactionsData[UEI],"&lt;&gt;"&amp;D173,TransactionsData[UEI],"?*")&gt;0,COUNTIFS(VendorGroups[Record ID],K173,VendorGroups[Source UEI],"&lt;&gt;"&amp;D173,VendorGroups[Source UEI],"?*")&gt;0)),"Conflicting vendor UEIs",IF(I173="",IF(COUNTA(A173,D173,F173:R173)&gt;0,"Missing transaction ID",""),IF(COUNTIFS(TransactionsData[Transaction ID],I173)&lt;&gt;1,"Duplicate transaction ID",IF(OR(NOT(ISNUMBER(A173)),A173&lt;1,A173&gt;DATE(2099,1,1)),"Use a valid date",IF(OR(A173&lt;$B$4,A173&gt;$D$4),"Outside coverage",IF(NOT(ISNUMBER(F173)),"Missing or invalid amount",IF(OR(K173="",L173="",N173=""),"Add vendor and office identities",IF(G173="Exclude",IF(OR(F173&lt;&gt;0,H173=""),"Review nonzero or unexplained exclusion",""),IF(G173&lt;&gt;"Include","Choose Include or Exclude",IF(COUNTIFS(AwardsData[Award ID],J173)&lt;&gt;1,"Award link needs review",IF(INDEX(AwardsData[Input check],MATCH(J173,AwardsData[Award ID],0))&lt;&gt;"","Check award inputs","")))))))))))</f>
        <v/>
      </c>
      <c r="V173" s="57" t="n">
        <f aca="false">IF(AND(I173&lt;&gt;"",U173="",G173="Include"),1,0)</f>
        <v>1</v>
      </c>
      <c r="W173" s="57" t="str">
        <f aca="false">IF(I173="","",IF(COUNTIFS(AwardsData[Award ID],J173)=1,INDEX(AwardsData[Current award type],MATCH(J173,AwardsData[Award ID],0)),"Unlinked"))</f>
        <v>BPA Call</v>
      </c>
      <c r="X173" s="57" t="str">
        <f aca="false">IF(I173="","",IF(COUNTIFS(AwardsData[Award ID],J173)=1,INDEX(AwardsData[Current set-aside],MATCH(J173,AwardsData[Award ID],0)),"Unlinked"))</f>
        <v>Total Small Business</v>
      </c>
      <c r="Y173" s="57" t="str">
        <f aca="false">IF(I173="","",IF(COUNTIFS(AwardsData[Award ID],J173)=1,INDEX(AwardsData[Performance state],MATCH(J173,AwardsData[Award ID],0)),"Unlinked"))</f>
        <v>Virginia</v>
      </c>
      <c r="Z173" s="57" t="n">
        <f aca="false">IF(AND(V173=1,OR(Dashboard!$AB$2="All",K173=Dashboard!$AB$2),OR(Dashboard!$AB$3="All",L173=Dashboard!$AB$3),OR(Dashboard!$N$10="All",W173=Dashboard!$N$10)),1,0)</f>
        <v>1</v>
      </c>
      <c r="AA173" s="57" t="n">
        <f aca="false">IF(AND(Z173=1,OR(Dashboard!$B$7="All",S173=Dashboard!$B$7)),1,0)</f>
        <v>1</v>
      </c>
      <c r="AB173" s="57" t="n">
        <f aca="false">IF(AND(V173=1,F173&lt;&gt;0),1,0)</f>
        <v>1</v>
      </c>
      <c r="AC173" s="57" t="n">
        <f aca="false">IF(AND(AA173=1,AB173=1),IF(COUNTIFS($J$17:J173,J173,$AA$17:AA173,1,$AB$17:AB173,1)=1,1,0),0)</f>
        <v>0</v>
      </c>
      <c r="AD173" s="57" t="n">
        <f aca="false">IF(AND(AA173=1,AB173=1),IF(COUNTIFS($K$17:K173,K173,$AA$17:AA173,1,$AB$17:AB173,1)=1,1,0),0)</f>
        <v>0</v>
      </c>
      <c r="AE173" s="57" t="n">
        <f aca="false">IF(AND(Z173=1,AB173=1),IF(COUNTIFS($J$17:J173,J173,$S$17:S173,S173,$Z$17:Z173,1,$AB$17:AB173,1)=1,1,0),0)</f>
        <v>0</v>
      </c>
      <c r="AF173" s="57" t="n">
        <f aca="false">IF(AND(Z173=1,AB173=1),IF(COUNTIFS($K$17:K173,K173,$S$17:S173,S173,$Z$17:Z173,1,$AB$17:AB173,1)=1,1,0),0)</f>
        <v>0</v>
      </c>
      <c r="AG173" s="57" t="n">
        <f aca="false">IF(AND(AA173=1,AB173=1),IF(COUNTIFS($J$17:J173,J173,$L$17:L173,L173,$AA$17:AA173,1,$AB$17:AB173,1)=1,1,0),0)</f>
        <v>0</v>
      </c>
      <c r="AH173" s="57" t="n">
        <f aca="false">IF(AND(AA173=1,AB173=1),IF(COUNTIFS($J$17:J173,J173,$K$17:K173,K173,$AA$17:AA173,1,$AB$17:AB173,1)=1,1,0),0)</f>
        <v>0</v>
      </c>
      <c r="AI173" s="56" t="n">
        <f aca="false">IF(V173=1,MAX(F173,0),0)</f>
        <v>5366851.2</v>
      </c>
      <c r="AJ173" s="56" t="n">
        <f aca="false">IF(V173=1,MIN(F173,0),0)</f>
        <v>0</v>
      </c>
    </row>
    <row r="174" customFormat="false" ht="40" hidden="false" customHeight="true" outlineLevel="0" collapsed="false">
      <c r="A174" s="66" t="n">
        <v>45730</v>
      </c>
      <c r="B174" s="54" t="str">
        <f aca="false">IF(M174="","",IF(P174="",M174,HYPERLINK(P174,M174)))</f>
        <v>47QTCK18D0004-49100424F0001</v>
      </c>
      <c r="C174" s="54" t="str">
        <f aca="false">IF(N174="","",IF(Q174="",N174,HYPERLINK(Q174,N174)))</f>
        <v>Booz Allen Hamilton Inc.</v>
      </c>
      <c r="D174" s="60" t="s">
        <v>111</v>
      </c>
      <c r="E174" s="54" t="str">
        <f aca="false">IF(O174="","",IF(R174="",O174,HYPERLINK(R174,O174)))</f>
        <v>NSF — office not specified</v>
      </c>
      <c r="F174" s="62" t="n">
        <v>0</v>
      </c>
      <c r="G174" s="61" t="s">
        <v>464</v>
      </c>
      <c r="H174" s="58"/>
      <c r="I174" s="58" t="s">
        <v>625</v>
      </c>
      <c r="J174" s="58" t="s">
        <v>297</v>
      </c>
      <c r="K174" s="58" t="s">
        <v>109</v>
      </c>
      <c r="L174" s="58" t="s">
        <v>213</v>
      </c>
      <c r="M174" s="58" t="s">
        <v>298</v>
      </c>
      <c r="N174" s="58" t="s">
        <v>110</v>
      </c>
      <c r="O174" s="58" t="s">
        <v>214</v>
      </c>
      <c r="P174" s="58" t="s">
        <v>299</v>
      </c>
      <c r="Q174" s="58" t="s">
        <v>112</v>
      </c>
      <c r="R174" s="58" t="s">
        <v>215</v>
      </c>
      <c r="S174" s="57" t="n">
        <f aca="false">IF(ISNUMBER(A174),YEAR(A174)+IF(MONTH(A174)&gt;=10,1,0),"")</f>
        <v>2025</v>
      </c>
      <c r="T174" s="57" t="n">
        <f aca="false">IF(ISNUMBER(A174),INT(MOD(MONTH(A174)-10,12)/3)+1,"")</f>
        <v>2</v>
      </c>
      <c r="U174" s="57" t="str">
        <f aca="false">IF(AND(I174&lt;&gt;"",D174&lt;&gt;"",OR(COUNTIFS(TransactionsData[Vendor ID],K174,TransactionsData[UEI],"&lt;&gt;"&amp;D174,TransactionsData[UEI],"?*")&gt;0,COUNTIFS(VendorGroups[Record ID],K174,VendorGroups[Source UEI],"&lt;&gt;"&amp;D174,VendorGroups[Source UEI],"?*")&gt;0)),"Conflicting vendor UEIs",IF(I174="",IF(COUNTA(A174,D174,F174:R174)&gt;0,"Missing transaction ID",""),IF(COUNTIFS(TransactionsData[Transaction ID],I174)&lt;&gt;1,"Duplicate transaction ID",IF(OR(NOT(ISNUMBER(A174)),A174&lt;1,A174&gt;DATE(2099,1,1)),"Use a valid date",IF(OR(A174&lt;$B$4,A174&gt;$D$4),"Outside coverage",IF(NOT(ISNUMBER(F174)),"Missing or invalid amount",IF(OR(K174="",L174="",N174=""),"Add vendor and office identities",IF(G174="Exclude",IF(OR(F174&lt;&gt;0,H174=""),"Review nonzero or unexplained exclusion",""),IF(G174&lt;&gt;"Include","Choose Include or Exclude",IF(COUNTIFS(AwardsData[Award ID],J174)&lt;&gt;1,"Award link needs review",IF(INDEX(AwardsData[Input check],MATCH(J174,AwardsData[Award ID],0))&lt;&gt;"","Check award inputs","")))))))))))</f>
        <v/>
      </c>
      <c r="V174" s="57" t="n">
        <f aca="false">IF(AND(I174&lt;&gt;"",U174="",G174="Include"),1,0)</f>
        <v>1</v>
      </c>
      <c r="W174" s="57" t="str">
        <f aca="false">IF(I174="","",IF(COUNTIFS(AwardsData[Award ID],J174)=1,INDEX(AwardsData[Current award type],MATCH(J174,AwardsData[Award ID],0)),"Unlinked"))</f>
        <v>Delivery Order</v>
      </c>
      <c r="X174" s="57" t="str">
        <f aca="false">IF(I174="","",IF(COUNTIFS(AwardsData[Award ID],J174)=1,INDEX(AwardsData[Current set-aside],MATCH(J174,AwardsData[Award ID],0)),"Unlinked"))</f>
        <v>No Set-Aside Used</v>
      </c>
      <c r="Y174" s="57" t="str">
        <f aca="false">IF(I174="","",IF(COUNTIFS(AwardsData[Award ID],J174)=1,INDEX(AwardsData[Performance state],MATCH(J174,AwardsData[Award ID],0)),"Unlinked"))</f>
        <v>Virginia</v>
      </c>
      <c r="Z174" s="57" t="n">
        <f aca="false">IF(AND(V174=1,OR(Dashboard!$AB$2="All",K174=Dashboard!$AB$2),OR(Dashboard!$AB$3="All",L174=Dashboard!$AB$3),OR(Dashboard!$N$10="All",W174=Dashboard!$N$10)),1,0)</f>
        <v>1</v>
      </c>
      <c r="AA174" s="57" t="n">
        <f aca="false">IF(AND(Z174=1,OR(Dashboard!$B$7="All",S174=Dashboard!$B$7)),1,0)</f>
        <v>1</v>
      </c>
      <c r="AB174" s="57" t="n">
        <f aca="false">IF(AND(V174=1,F174&lt;&gt;0),1,0)</f>
        <v>0</v>
      </c>
      <c r="AC174" s="57" t="n">
        <f aca="false">IF(AND(AA174=1,AB174=1),IF(COUNTIFS($J$17:J174,J174,$AA$17:AA174,1,$AB$17:AB174,1)=1,1,0),0)</f>
        <v>0</v>
      </c>
      <c r="AD174" s="57" t="n">
        <f aca="false">IF(AND(AA174=1,AB174=1),IF(COUNTIFS($K$17:K174,K174,$AA$17:AA174,1,$AB$17:AB174,1)=1,1,0),0)</f>
        <v>0</v>
      </c>
      <c r="AE174" s="57" t="n">
        <f aca="false">IF(AND(Z174=1,AB174=1),IF(COUNTIFS($J$17:J174,J174,$S$17:S174,S174,$Z$17:Z174,1,$AB$17:AB174,1)=1,1,0),0)</f>
        <v>0</v>
      </c>
      <c r="AF174" s="57" t="n">
        <f aca="false">IF(AND(Z174=1,AB174=1),IF(COUNTIFS($K$17:K174,K174,$S$17:S174,S174,$Z$17:Z174,1,$AB$17:AB174,1)=1,1,0),0)</f>
        <v>0</v>
      </c>
      <c r="AG174" s="57" t="n">
        <f aca="false">IF(AND(AA174=1,AB174=1),IF(COUNTIFS($J$17:J174,J174,$L$17:L174,L174,$AA$17:AA174,1,$AB$17:AB174,1)=1,1,0),0)</f>
        <v>0</v>
      </c>
      <c r="AH174" s="57" t="n">
        <f aca="false">IF(AND(AA174=1,AB174=1),IF(COUNTIFS($J$17:J174,J174,$K$17:K174,K174,$AA$17:AA174,1,$AB$17:AB174,1)=1,1,0),0)</f>
        <v>0</v>
      </c>
      <c r="AI174" s="56" t="n">
        <f aca="false">IF(V174=1,MAX(F174,0),0)</f>
        <v>0</v>
      </c>
      <c r="AJ174" s="56" t="n">
        <f aca="false">IF(V174=1,MIN(F174,0),0)</f>
        <v>0</v>
      </c>
    </row>
    <row r="175" customFormat="false" ht="40" hidden="false" customHeight="true" outlineLevel="0" collapsed="false">
      <c r="A175" s="66" t="n">
        <v>45730</v>
      </c>
      <c r="B175" s="54" t="str">
        <f aca="false">IF(M175="","",IF(P175="",M175,HYPERLINK(P175,M175)))</f>
        <v>47QTCK18D0004-49100424F0001</v>
      </c>
      <c r="C175" s="54" t="str">
        <f aca="false">IF(N175="","",IF(Q175="",N175,HYPERLINK(Q175,N175)))</f>
        <v>Booz Allen Hamilton Inc.</v>
      </c>
      <c r="D175" s="60" t="s">
        <v>111</v>
      </c>
      <c r="E175" s="54" t="str">
        <f aca="false">IF(O175="","",IF(R175="",O175,HYPERLINK(R175,O175)))</f>
        <v>NSF — office not specified</v>
      </c>
      <c r="F175" s="62" t="n">
        <v>5000000</v>
      </c>
      <c r="G175" s="61" t="s">
        <v>464</v>
      </c>
      <c r="H175" s="58"/>
      <c r="I175" s="58" t="s">
        <v>626</v>
      </c>
      <c r="J175" s="58" t="s">
        <v>297</v>
      </c>
      <c r="K175" s="58" t="s">
        <v>109</v>
      </c>
      <c r="L175" s="58" t="s">
        <v>213</v>
      </c>
      <c r="M175" s="58" t="s">
        <v>298</v>
      </c>
      <c r="N175" s="58" t="s">
        <v>110</v>
      </c>
      <c r="O175" s="58" t="s">
        <v>214</v>
      </c>
      <c r="P175" s="58" t="s">
        <v>299</v>
      </c>
      <c r="Q175" s="58" t="s">
        <v>112</v>
      </c>
      <c r="R175" s="58" t="s">
        <v>215</v>
      </c>
      <c r="S175" s="57" t="n">
        <f aca="false">IF(ISNUMBER(A175),YEAR(A175)+IF(MONTH(A175)&gt;=10,1,0),"")</f>
        <v>2025</v>
      </c>
      <c r="T175" s="57" t="n">
        <f aca="false">IF(ISNUMBER(A175),INT(MOD(MONTH(A175)-10,12)/3)+1,"")</f>
        <v>2</v>
      </c>
      <c r="U175" s="57" t="str">
        <f aca="false">IF(AND(I175&lt;&gt;"",D175&lt;&gt;"",OR(COUNTIFS(TransactionsData[Vendor ID],K175,TransactionsData[UEI],"&lt;&gt;"&amp;D175,TransactionsData[UEI],"?*")&gt;0,COUNTIFS(VendorGroups[Record ID],K175,VendorGroups[Source UEI],"&lt;&gt;"&amp;D175,VendorGroups[Source UEI],"?*")&gt;0)),"Conflicting vendor UEIs",IF(I175="",IF(COUNTA(A175,D175,F175:R175)&gt;0,"Missing transaction ID",""),IF(COUNTIFS(TransactionsData[Transaction ID],I175)&lt;&gt;1,"Duplicate transaction ID",IF(OR(NOT(ISNUMBER(A175)),A175&lt;1,A175&gt;DATE(2099,1,1)),"Use a valid date",IF(OR(A175&lt;$B$4,A175&gt;$D$4),"Outside coverage",IF(NOT(ISNUMBER(F175)),"Missing or invalid amount",IF(OR(K175="",L175="",N175=""),"Add vendor and office identities",IF(G175="Exclude",IF(OR(F175&lt;&gt;0,H175=""),"Review nonzero or unexplained exclusion",""),IF(G175&lt;&gt;"Include","Choose Include or Exclude",IF(COUNTIFS(AwardsData[Award ID],J175)&lt;&gt;1,"Award link needs review",IF(INDEX(AwardsData[Input check],MATCH(J175,AwardsData[Award ID],0))&lt;&gt;"","Check award inputs","")))))))))))</f>
        <v/>
      </c>
      <c r="V175" s="57" t="n">
        <f aca="false">IF(AND(I175&lt;&gt;"",U175="",G175="Include"),1,0)</f>
        <v>1</v>
      </c>
      <c r="W175" s="57" t="str">
        <f aca="false">IF(I175="","",IF(COUNTIFS(AwardsData[Award ID],J175)=1,INDEX(AwardsData[Current award type],MATCH(J175,AwardsData[Award ID],0)),"Unlinked"))</f>
        <v>Delivery Order</v>
      </c>
      <c r="X175" s="57" t="str">
        <f aca="false">IF(I175="","",IF(COUNTIFS(AwardsData[Award ID],J175)=1,INDEX(AwardsData[Current set-aside],MATCH(J175,AwardsData[Award ID],0)),"Unlinked"))</f>
        <v>No Set-Aside Used</v>
      </c>
      <c r="Y175" s="57" t="str">
        <f aca="false">IF(I175="","",IF(COUNTIFS(AwardsData[Award ID],J175)=1,INDEX(AwardsData[Performance state],MATCH(J175,AwardsData[Award ID],0)),"Unlinked"))</f>
        <v>Virginia</v>
      </c>
      <c r="Z175" s="57" t="n">
        <f aca="false">IF(AND(V175=1,OR(Dashboard!$AB$2="All",K175=Dashboard!$AB$2),OR(Dashboard!$AB$3="All",L175=Dashboard!$AB$3),OR(Dashboard!$N$10="All",W175=Dashboard!$N$10)),1,0)</f>
        <v>1</v>
      </c>
      <c r="AA175" s="57" t="n">
        <f aca="false">IF(AND(Z175=1,OR(Dashboard!$B$7="All",S175=Dashboard!$B$7)),1,0)</f>
        <v>1</v>
      </c>
      <c r="AB175" s="57" t="n">
        <f aca="false">IF(AND(V175=1,F175&lt;&gt;0),1,0)</f>
        <v>1</v>
      </c>
      <c r="AC175" s="57" t="n">
        <f aca="false">IF(AND(AA175=1,AB175=1),IF(COUNTIFS($J$17:J175,J175,$AA$17:AA175,1,$AB$17:AB175,1)=1,1,0),0)</f>
        <v>0</v>
      </c>
      <c r="AD175" s="57" t="n">
        <f aca="false">IF(AND(AA175=1,AB175=1),IF(COUNTIFS($K$17:K175,K175,$AA$17:AA175,1,$AB$17:AB175,1)=1,1,0),0)</f>
        <v>0</v>
      </c>
      <c r="AE175" s="57" t="n">
        <f aca="false">IF(AND(Z175=1,AB175=1),IF(COUNTIFS($J$17:J175,J175,$S$17:S175,S175,$Z$17:Z175,1,$AB$17:AB175,1)=1,1,0),0)</f>
        <v>0</v>
      </c>
      <c r="AF175" s="57" t="n">
        <f aca="false">IF(AND(Z175=1,AB175=1),IF(COUNTIFS($K$17:K175,K175,$S$17:S175,S175,$Z$17:Z175,1,$AB$17:AB175,1)=1,1,0),0)</f>
        <v>0</v>
      </c>
      <c r="AG175" s="57" t="n">
        <f aca="false">IF(AND(AA175=1,AB175=1),IF(COUNTIFS($J$17:J175,J175,$L$17:L175,L175,$AA$17:AA175,1,$AB$17:AB175,1)=1,1,0),0)</f>
        <v>0</v>
      </c>
      <c r="AH175" s="57" t="n">
        <f aca="false">IF(AND(AA175=1,AB175=1),IF(COUNTIFS($J$17:J175,J175,$K$17:K175,K175,$AA$17:AA175,1,$AB$17:AB175,1)=1,1,0),0)</f>
        <v>0</v>
      </c>
      <c r="AI175" s="56" t="n">
        <f aca="false">IF(V175=1,MAX(F175,0),0)</f>
        <v>5000000</v>
      </c>
      <c r="AJ175" s="56" t="n">
        <f aca="false">IF(V175=1,MIN(F175,0),0)</f>
        <v>0</v>
      </c>
    </row>
    <row r="176" customFormat="false" ht="40" hidden="false" customHeight="true" outlineLevel="0" collapsed="false">
      <c r="A176" s="66" t="n">
        <v>45730</v>
      </c>
      <c r="B176" s="54" t="str">
        <f aca="false">IF(M176="","",IF(P176="",M176,HYPERLINK(P176,M176)))</f>
        <v>49100424C0051</v>
      </c>
      <c r="C176" s="54" t="str">
        <f aca="false">IF(N176="","",IF(Q176="",N176,HYPERLINK(Q176,N176)))</f>
        <v>Rei Systems, Inc.</v>
      </c>
      <c r="D176" s="60" t="s">
        <v>158</v>
      </c>
      <c r="E176" s="54" t="str">
        <f aca="false">IF(O176="","",IF(R176="",O176,HYPERLINK(R176,O176)))</f>
        <v>NSF — office not specified</v>
      </c>
      <c r="F176" s="62" t="n">
        <v>362453.81</v>
      </c>
      <c r="G176" s="61" t="s">
        <v>464</v>
      </c>
      <c r="H176" s="58"/>
      <c r="I176" s="58" t="s">
        <v>627</v>
      </c>
      <c r="J176" s="58" t="s">
        <v>400</v>
      </c>
      <c r="K176" s="58" t="s">
        <v>156</v>
      </c>
      <c r="L176" s="58" t="s">
        <v>213</v>
      </c>
      <c r="M176" s="58" t="s">
        <v>400</v>
      </c>
      <c r="N176" s="58" t="s">
        <v>157</v>
      </c>
      <c r="O176" s="58" t="s">
        <v>214</v>
      </c>
      <c r="P176" s="58" t="s">
        <v>401</v>
      </c>
      <c r="Q176" s="58" t="s">
        <v>159</v>
      </c>
      <c r="R176" s="58" t="s">
        <v>215</v>
      </c>
      <c r="S176" s="57" t="n">
        <f aca="false">IF(ISNUMBER(A176),YEAR(A176)+IF(MONTH(A176)&gt;=10,1,0),"")</f>
        <v>2025</v>
      </c>
      <c r="T176" s="57" t="n">
        <f aca="false">IF(ISNUMBER(A176),INT(MOD(MONTH(A176)-10,12)/3)+1,"")</f>
        <v>2</v>
      </c>
      <c r="U176" s="57" t="str">
        <f aca="false">IF(AND(I176&lt;&gt;"",D176&lt;&gt;"",OR(COUNTIFS(TransactionsData[Vendor ID],K176,TransactionsData[UEI],"&lt;&gt;"&amp;D176,TransactionsData[UEI],"?*")&gt;0,COUNTIFS(VendorGroups[Record ID],K176,VendorGroups[Source UEI],"&lt;&gt;"&amp;D176,VendorGroups[Source UEI],"?*")&gt;0)),"Conflicting vendor UEIs",IF(I176="",IF(COUNTA(A176,D176,F176:R176)&gt;0,"Missing transaction ID",""),IF(COUNTIFS(TransactionsData[Transaction ID],I176)&lt;&gt;1,"Duplicate transaction ID",IF(OR(NOT(ISNUMBER(A176)),A176&lt;1,A176&gt;DATE(2099,1,1)),"Use a valid date",IF(OR(A176&lt;$B$4,A176&gt;$D$4),"Outside coverage",IF(NOT(ISNUMBER(F176)),"Missing or invalid amount",IF(OR(K176="",L176="",N176=""),"Add vendor and office identities",IF(G176="Exclude",IF(OR(F176&lt;&gt;0,H176=""),"Review nonzero or unexplained exclusion",""),IF(G176&lt;&gt;"Include","Choose Include or Exclude",IF(COUNTIFS(AwardsData[Award ID],J176)&lt;&gt;1,"Award link needs review",IF(INDEX(AwardsData[Input check],MATCH(J176,AwardsData[Award ID],0))&lt;&gt;"","Check award inputs","")))))))))))</f>
        <v/>
      </c>
      <c r="V176" s="57" t="n">
        <f aca="false">IF(AND(I176&lt;&gt;"",U176="",G176="Include"),1,0)</f>
        <v>1</v>
      </c>
      <c r="W176" s="57" t="str">
        <f aca="false">IF(I176="","",IF(COUNTIFS(AwardsData[Award ID],J176)=1,INDEX(AwardsData[Current award type],MATCH(J176,AwardsData[Award ID],0)),"Unlinked"))</f>
        <v>Definitive Contract</v>
      </c>
      <c r="X176" s="57" t="str">
        <f aca="false">IF(I176="","",IF(COUNTIFS(AwardsData[Award ID],J176)=1,INDEX(AwardsData[Current set-aside],MATCH(J176,AwardsData[Award ID],0)),"Unlinked"))</f>
        <v>No Set-Aside Used</v>
      </c>
      <c r="Y176" s="57" t="str">
        <f aca="false">IF(I176="","",IF(COUNTIFS(AwardsData[Award ID],J176)=1,INDEX(AwardsData[Performance state],MATCH(J176,AwardsData[Award ID],0)),"Unlinked"))</f>
        <v>Virginia</v>
      </c>
      <c r="Z176" s="57" t="n">
        <f aca="false">IF(AND(V176=1,OR(Dashboard!$AB$2="All",K176=Dashboard!$AB$2),OR(Dashboard!$AB$3="All",L176=Dashboard!$AB$3),OR(Dashboard!$N$10="All",W176=Dashboard!$N$10)),1,0)</f>
        <v>1</v>
      </c>
      <c r="AA176" s="57" t="n">
        <f aca="false">IF(AND(Z176=1,OR(Dashboard!$B$7="All",S176=Dashboard!$B$7)),1,0)</f>
        <v>1</v>
      </c>
      <c r="AB176" s="57" t="n">
        <f aca="false">IF(AND(V176=1,F176&lt;&gt;0),1,0)</f>
        <v>1</v>
      </c>
      <c r="AC176" s="57" t="n">
        <f aca="false">IF(AND(AA176=1,AB176=1),IF(COUNTIFS($J$17:J176,J176,$AA$17:AA176,1,$AB$17:AB176,1)=1,1,0),0)</f>
        <v>0</v>
      </c>
      <c r="AD176" s="57" t="n">
        <f aca="false">IF(AND(AA176=1,AB176=1),IF(COUNTIFS($K$17:K176,K176,$AA$17:AA176,1,$AB$17:AB176,1)=1,1,0),0)</f>
        <v>0</v>
      </c>
      <c r="AE176" s="57" t="n">
        <f aca="false">IF(AND(Z176=1,AB176=1),IF(COUNTIFS($J$17:J176,J176,$S$17:S176,S176,$Z$17:Z176,1,$AB$17:AB176,1)=1,1,0),0)</f>
        <v>0</v>
      </c>
      <c r="AF176" s="57" t="n">
        <f aca="false">IF(AND(Z176=1,AB176=1),IF(COUNTIFS($K$17:K176,K176,$S$17:S176,S176,$Z$17:Z176,1,$AB$17:AB176,1)=1,1,0),0)</f>
        <v>0</v>
      </c>
      <c r="AG176" s="57" t="n">
        <f aca="false">IF(AND(AA176=1,AB176=1),IF(COUNTIFS($J$17:J176,J176,$L$17:L176,L176,$AA$17:AA176,1,$AB$17:AB176,1)=1,1,0),0)</f>
        <v>0</v>
      </c>
      <c r="AH176" s="57" t="n">
        <f aca="false">IF(AND(AA176=1,AB176=1),IF(COUNTIFS($J$17:J176,J176,$K$17:K176,K176,$AA$17:AA176,1,$AB$17:AB176,1)=1,1,0),0)</f>
        <v>0</v>
      </c>
      <c r="AI176" s="56" t="n">
        <f aca="false">IF(V176=1,MAX(F176,0),0)</f>
        <v>362453.81</v>
      </c>
      <c r="AJ176" s="56" t="n">
        <f aca="false">IF(V176=1,MIN(F176,0),0)</f>
        <v>0</v>
      </c>
    </row>
    <row r="177" customFormat="false" ht="40" hidden="false" customHeight="true" outlineLevel="0" collapsed="false">
      <c r="A177" s="66" t="n">
        <v>45734</v>
      </c>
      <c r="B177" s="54" t="str">
        <f aca="false">IF(M177="","",IF(P177="",M177,HYPERLINK(P177,M177)))</f>
        <v>49100424A0001-49100424F0246</v>
      </c>
      <c r="C177" s="54" t="str">
        <f aca="false">IF(N177="","",IF(Q177="",N177,HYPERLINK(Q177,N177)))</f>
        <v>Spatial Front Inc.</v>
      </c>
      <c r="D177" s="60" t="s">
        <v>166</v>
      </c>
      <c r="E177" s="54" t="str">
        <f aca="false">IF(O177="","",IF(R177="",O177,HYPERLINK(R177,O177)))</f>
        <v>Division of Information Systems</v>
      </c>
      <c r="F177" s="62" t="n">
        <v>2225952</v>
      </c>
      <c r="G177" s="61" t="s">
        <v>464</v>
      </c>
      <c r="H177" s="58"/>
      <c r="I177" s="58" t="s">
        <v>628</v>
      </c>
      <c r="J177" s="58" t="s">
        <v>386</v>
      </c>
      <c r="K177" s="58" t="s">
        <v>164</v>
      </c>
      <c r="L177" s="58" t="s">
        <v>197</v>
      </c>
      <c r="M177" s="58" t="s">
        <v>387</v>
      </c>
      <c r="N177" s="58" t="s">
        <v>165</v>
      </c>
      <c r="O177" s="58" t="s">
        <v>198</v>
      </c>
      <c r="P177" s="58" t="s">
        <v>388</v>
      </c>
      <c r="Q177" s="58" t="s">
        <v>167</v>
      </c>
      <c r="R177" s="58" t="s">
        <v>200</v>
      </c>
      <c r="S177" s="57" t="n">
        <f aca="false">IF(ISNUMBER(A177),YEAR(A177)+IF(MONTH(A177)&gt;=10,1,0),"")</f>
        <v>2025</v>
      </c>
      <c r="T177" s="57" t="n">
        <f aca="false">IF(ISNUMBER(A177),INT(MOD(MONTH(A177)-10,12)/3)+1,"")</f>
        <v>2</v>
      </c>
      <c r="U177" s="57" t="str">
        <f aca="false">IF(AND(I177&lt;&gt;"",D177&lt;&gt;"",OR(COUNTIFS(TransactionsData[Vendor ID],K177,TransactionsData[UEI],"&lt;&gt;"&amp;D177,TransactionsData[UEI],"?*")&gt;0,COUNTIFS(VendorGroups[Record ID],K177,VendorGroups[Source UEI],"&lt;&gt;"&amp;D177,VendorGroups[Source UEI],"?*")&gt;0)),"Conflicting vendor UEIs",IF(I177="",IF(COUNTA(A177,D177,F177:R177)&gt;0,"Missing transaction ID",""),IF(COUNTIFS(TransactionsData[Transaction ID],I177)&lt;&gt;1,"Duplicate transaction ID",IF(OR(NOT(ISNUMBER(A177)),A177&lt;1,A177&gt;DATE(2099,1,1)),"Use a valid date",IF(OR(A177&lt;$B$4,A177&gt;$D$4),"Outside coverage",IF(NOT(ISNUMBER(F177)),"Missing or invalid amount",IF(OR(K177="",L177="",N177=""),"Add vendor and office identities",IF(G177="Exclude",IF(OR(F177&lt;&gt;0,H177=""),"Review nonzero or unexplained exclusion",""),IF(G177&lt;&gt;"Include","Choose Include or Exclude",IF(COUNTIFS(AwardsData[Award ID],J177)&lt;&gt;1,"Award link needs review",IF(INDEX(AwardsData[Input check],MATCH(J177,AwardsData[Award ID],0))&lt;&gt;"","Check award inputs","")))))))))))</f>
        <v/>
      </c>
      <c r="V177" s="57" t="n">
        <f aca="false">IF(AND(I177&lt;&gt;"",U177="",G177="Include"),1,0)</f>
        <v>1</v>
      </c>
      <c r="W177" s="57" t="str">
        <f aca="false">IF(I177="","",IF(COUNTIFS(AwardsData[Award ID],J177)=1,INDEX(AwardsData[Current award type],MATCH(J177,AwardsData[Award ID],0)),"Unlinked"))</f>
        <v>BPA Call</v>
      </c>
      <c r="X177" s="57" t="str">
        <f aca="false">IF(I177="","",IF(COUNTIFS(AwardsData[Award ID],J177)=1,INDEX(AwardsData[Current set-aside],MATCH(J177,AwardsData[Award ID],0)),"Unlinked"))</f>
        <v>No Set-Aside Used</v>
      </c>
      <c r="Y177" s="57" t="str">
        <f aca="false">IF(I177="","",IF(COUNTIFS(AwardsData[Award ID],J177)=1,INDEX(AwardsData[Performance state],MATCH(J177,AwardsData[Award ID],0)),"Unlinked"))</f>
        <v>Maryland</v>
      </c>
      <c r="Z177" s="57" t="n">
        <f aca="false">IF(AND(V177=1,OR(Dashboard!$AB$2="All",K177=Dashboard!$AB$2),OR(Dashboard!$AB$3="All",L177=Dashboard!$AB$3),OR(Dashboard!$N$10="All",W177=Dashboard!$N$10)),1,0)</f>
        <v>1</v>
      </c>
      <c r="AA177" s="57" t="n">
        <f aca="false">IF(AND(Z177=1,OR(Dashboard!$B$7="All",S177=Dashboard!$B$7)),1,0)</f>
        <v>1</v>
      </c>
      <c r="AB177" s="57" t="n">
        <f aca="false">IF(AND(V177=1,F177&lt;&gt;0),1,0)</f>
        <v>1</v>
      </c>
      <c r="AC177" s="57" t="n">
        <f aca="false">IF(AND(AA177=1,AB177=1),IF(COUNTIFS($J$17:J177,J177,$AA$17:AA177,1,$AB$17:AB177,1)=1,1,0),0)</f>
        <v>1</v>
      </c>
      <c r="AD177" s="57" t="n">
        <f aca="false">IF(AND(AA177=1,AB177=1),IF(COUNTIFS($K$17:K177,K177,$AA$17:AA177,1,$AB$17:AB177,1)=1,1,0),0)</f>
        <v>0</v>
      </c>
      <c r="AE177" s="57" t="n">
        <f aca="false">IF(AND(Z177=1,AB177=1),IF(COUNTIFS($J$17:J177,J177,$S$17:S177,S177,$Z$17:Z177,1,$AB$17:AB177,1)=1,1,0),0)</f>
        <v>1</v>
      </c>
      <c r="AF177" s="57" t="n">
        <f aca="false">IF(AND(Z177=1,AB177=1),IF(COUNTIFS($K$17:K177,K177,$S$17:S177,S177,$Z$17:Z177,1,$AB$17:AB177,1)=1,1,0),0)</f>
        <v>0</v>
      </c>
      <c r="AG177" s="57" t="n">
        <f aca="false">IF(AND(AA177=1,AB177=1),IF(COUNTIFS($J$17:J177,J177,$L$17:L177,L177,$AA$17:AA177,1,$AB$17:AB177,1)=1,1,0),0)</f>
        <v>1</v>
      </c>
      <c r="AH177" s="57" t="n">
        <f aca="false">IF(AND(AA177=1,AB177=1),IF(COUNTIFS($J$17:J177,J177,$K$17:K177,K177,$AA$17:AA177,1,$AB$17:AB177,1)=1,1,0),0)</f>
        <v>1</v>
      </c>
      <c r="AI177" s="56" t="n">
        <f aca="false">IF(V177=1,MAX(F177,0),0)</f>
        <v>2225952</v>
      </c>
      <c r="AJ177" s="56" t="n">
        <f aca="false">IF(V177=1,MIN(F177,0),0)</f>
        <v>0</v>
      </c>
    </row>
    <row r="178" customFormat="false" ht="40" hidden="false" customHeight="true" outlineLevel="0" collapsed="false">
      <c r="A178" s="66" t="n">
        <v>45735</v>
      </c>
      <c r="B178" s="54" t="str">
        <f aca="false">IF(M178="","",IF(P178="",M178,HYPERLINK(P178,M178)))</f>
        <v>49100424A0001-49100424F0226</v>
      </c>
      <c r="C178" s="54" t="str">
        <f aca="false">IF(N178="","",IF(Q178="",N178,HYPERLINK(Q178,N178)))</f>
        <v>Spatial Front Inc.</v>
      </c>
      <c r="D178" s="60" t="s">
        <v>166</v>
      </c>
      <c r="E178" s="54" t="str">
        <f aca="false">IF(O178="","",IF(R178="",O178,HYPERLINK(R178,O178)))</f>
        <v>Division of Information Systems</v>
      </c>
      <c r="F178" s="62" t="n">
        <v>173179.27</v>
      </c>
      <c r="G178" s="61" t="s">
        <v>464</v>
      </c>
      <c r="H178" s="58"/>
      <c r="I178" s="58" t="s">
        <v>629</v>
      </c>
      <c r="J178" s="58" t="s">
        <v>383</v>
      </c>
      <c r="K178" s="58" t="s">
        <v>164</v>
      </c>
      <c r="L178" s="58" t="s">
        <v>197</v>
      </c>
      <c r="M178" s="58" t="s">
        <v>384</v>
      </c>
      <c r="N178" s="58" t="s">
        <v>165</v>
      </c>
      <c r="O178" s="58" t="s">
        <v>198</v>
      </c>
      <c r="P178" s="58" t="s">
        <v>385</v>
      </c>
      <c r="Q178" s="58" t="s">
        <v>167</v>
      </c>
      <c r="R178" s="58" t="s">
        <v>200</v>
      </c>
      <c r="S178" s="57" t="n">
        <f aca="false">IF(ISNUMBER(A178),YEAR(A178)+IF(MONTH(A178)&gt;=10,1,0),"")</f>
        <v>2025</v>
      </c>
      <c r="T178" s="57" t="n">
        <f aca="false">IF(ISNUMBER(A178),INT(MOD(MONTH(A178)-10,12)/3)+1,"")</f>
        <v>2</v>
      </c>
      <c r="U178" s="57" t="str">
        <f aca="false">IF(AND(I178&lt;&gt;"",D178&lt;&gt;"",OR(COUNTIFS(TransactionsData[Vendor ID],K178,TransactionsData[UEI],"&lt;&gt;"&amp;D178,TransactionsData[UEI],"?*")&gt;0,COUNTIFS(VendorGroups[Record ID],K178,VendorGroups[Source UEI],"&lt;&gt;"&amp;D178,VendorGroups[Source UEI],"?*")&gt;0)),"Conflicting vendor UEIs",IF(I178="",IF(COUNTA(A178,D178,F178:R178)&gt;0,"Missing transaction ID",""),IF(COUNTIFS(TransactionsData[Transaction ID],I178)&lt;&gt;1,"Duplicate transaction ID",IF(OR(NOT(ISNUMBER(A178)),A178&lt;1,A178&gt;DATE(2099,1,1)),"Use a valid date",IF(OR(A178&lt;$B$4,A178&gt;$D$4),"Outside coverage",IF(NOT(ISNUMBER(F178)),"Missing or invalid amount",IF(OR(K178="",L178="",N178=""),"Add vendor and office identities",IF(G178="Exclude",IF(OR(F178&lt;&gt;0,H178=""),"Review nonzero or unexplained exclusion",""),IF(G178&lt;&gt;"Include","Choose Include or Exclude",IF(COUNTIFS(AwardsData[Award ID],J178)&lt;&gt;1,"Award link needs review",IF(INDEX(AwardsData[Input check],MATCH(J178,AwardsData[Award ID],0))&lt;&gt;"","Check award inputs","")))))))))))</f>
        <v/>
      </c>
      <c r="V178" s="57" t="n">
        <f aca="false">IF(AND(I178&lt;&gt;"",U178="",G178="Include"),1,0)</f>
        <v>1</v>
      </c>
      <c r="W178" s="57" t="str">
        <f aca="false">IF(I178="","",IF(COUNTIFS(AwardsData[Award ID],J178)=1,INDEX(AwardsData[Current award type],MATCH(J178,AwardsData[Award ID],0)),"Unlinked"))</f>
        <v>BPA Call</v>
      </c>
      <c r="X178" s="57" t="str">
        <f aca="false">IF(I178="","",IF(COUNTIFS(AwardsData[Award ID],J178)=1,INDEX(AwardsData[Current set-aside],MATCH(J178,AwardsData[Award ID],0)),"Unlinked"))</f>
        <v>No Set-Aside Used</v>
      </c>
      <c r="Y178" s="57" t="str">
        <f aca="false">IF(I178="","",IF(COUNTIFS(AwardsData[Award ID],J178)=1,INDEX(AwardsData[Performance state],MATCH(J178,AwardsData[Award ID],0)),"Unlinked"))</f>
        <v>Maryland</v>
      </c>
      <c r="Z178" s="57" t="n">
        <f aca="false">IF(AND(V178=1,OR(Dashboard!$AB$2="All",K178=Dashboard!$AB$2),OR(Dashboard!$AB$3="All",L178=Dashboard!$AB$3),OR(Dashboard!$N$10="All",W178=Dashboard!$N$10)),1,0)</f>
        <v>1</v>
      </c>
      <c r="AA178" s="57" t="n">
        <f aca="false">IF(AND(Z178=1,OR(Dashboard!$B$7="All",S178=Dashboard!$B$7)),1,0)</f>
        <v>1</v>
      </c>
      <c r="AB178" s="57" t="n">
        <f aca="false">IF(AND(V178=1,F178&lt;&gt;0),1,0)</f>
        <v>1</v>
      </c>
      <c r="AC178" s="57" t="n">
        <f aca="false">IF(AND(AA178=1,AB178=1),IF(COUNTIFS($J$17:J178,J178,$AA$17:AA178,1,$AB$17:AB178,1)=1,1,0),0)</f>
        <v>0</v>
      </c>
      <c r="AD178" s="57" t="n">
        <f aca="false">IF(AND(AA178=1,AB178=1),IF(COUNTIFS($K$17:K178,K178,$AA$17:AA178,1,$AB$17:AB178,1)=1,1,0),0)</f>
        <v>0</v>
      </c>
      <c r="AE178" s="57" t="n">
        <f aca="false">IF(AND(Z178=1,AB178=1),IF(COUNTIFS($J$17:J178,J178,$S$17:S178,S178,$Z$17:Z178,1,$AB$17:AB178,1)=1,1,0),0)</f>
        <v>0</v>
      </c>
      <c r="AF178" s="57" t="n">
        <f aca="false">IF(AND(Z178=1,AB178=1),IF(COUNTIFS($K$17:K178,K178,$S$17:S178,S178,$Z$17:Z178,1,$AB$17:AB178,1)=1,1,0),0)</f>
        <v>0</v>
      </c>
      <c r="AG178" s="57" t="n">
        <f aca="false">IF(AND(AA178=1,AB178=1),IF(COUNTIFS($J$17:J178,J178,$L$17:L178,L178,$AA$17:AA178,1,$AB$17:AB178,1)=1,1,0),0)</f>
        <v>0</v>
      </c>
      <c r="AH178" s="57" t="n">
        <f aca="false">IF(AND(AA178=1,AB178=1),IF(COUNTIFS($J$17:J178,J178,$K$17:K178,K178,$AA$17:AA178,1,$AB$17:AB178,1)=1,1,0),0)</f>
        <v>0</v>
      </c>
      <c r="AI178" s="56" t="n">
        <f aca="false">IF(V178=1,MAX(F178,0),0)</f>
        <v>173179.27</v>
      </c>
      <c r="AJ178" s="56" t="n">
        <f aca="false">IF(V178=1,MIN(F178,0),0)</f>
        <v>0</v>
      </c>
    </row>
    <row r="179" customFormat="false" ht="40" hidden="false" customHeight="true" outlineLevel="0" collapsed="false">
      <c r="A179" s="66" t="n">
        <v>45737</v>
      </c>
      <c r="B179" s="54" t="str">
        <f aca="false">IF(M179="","",IF(P179="",M179,HYPERLINK(P179,M179)))</f>
        <v>GS35F337BA-49100421F0078</v>
      </c>
      <c r="C179" s="54" t="str">
        <f aca="false">IF(N179="","",IF(Q179="",N179,HYPERLINK(Q179,N179)))</f>
        <v>Civicactions, Inc.</v>
      </c>
      <c r="D179" s="60" t="s">
        <v>115</v>
      </c>
      <c r="E179" s="54" t="str">
        <f aca="false">IF(O179="","",IF(R179="",O179,HYPERLINK(R179,O179)))</f>
        <v>NSF — office not specified</v>
      </c>
      <c r="F179" s="62" t="n">
        <v>1135299.25</v>
      </c>
      <c r="G179" s="61" t="s">
        <v>464</v>
      </c>
      <c r="H179" s="58"/>
      <c r="I179" s="58" t="s">
        <v>630</v>
      </c>
      <c r="J179" s="58" t="s">
        <v>414</v>
      </c>
      <c r="K179" s="58" t="s">
        <v>113</v>
      </c>
      <c r="L179" s="58" t="s">
        <v>213</v>
      </c>
      <c r="M179" s="58" t="s">
        <v>415</v>
      </c>
      <c r="N179" s="58" t="s">
        <v>114</v>
      </c>
      <c r="O179" s="58" t="s">
        <v>214</v>
      </c>
      <c r="P179" s="58" t="s">
        <v>416</v>
      </c>
      <c r="Q179" s="58" t="s">
        <v>116</v>
      </c>
      <c r="R179" s="58" t="s">
        <v>215</v>
      </c>
      <c r="S179" s="57" t="n">
        <f aca="false">IF(ISNUMBER(A179),YEAR(A179)+IF(MONTH(A179)&gt;=10,1,0),"")</f>
        <v>2025</v>
      </c>
      <c r="T179" s="57" t="n">
        <f aca="false">IF(ISNUMBER(A179),INT(MOD(MONTH(A179)-10,12)/3)+1,"")</f>
        <v>2</v>
      </c>
      <c r="U179" s="57" t="str">
        <f aca="false">IF(AND(I179&lt;&gt;"",D179&lt;&gt;"",OR(COUNTIFS(TransactionsData[Vendor ID],K179,TransactionsData[UEI],"&lt;&gt;"&amp;D179,TransactionsData[UEI],"?*")&gt;0,COUNTIFS(VendorGroups[Record ID],K179,VendorGroups[Source UEI],"&lt;&gt;"&amp;D179,VendorGroups[Source UEI],"?*")&gt;0)),"Conflicting vendor UEIs",IF(I179="",IF(COUNTA(A179,D179,F179:R179)&gt;0,"Missing transaction ID",""),IF(COUNTIFS(TransactionsData[Transaction ID],I179)&lt;&gt;1,"Duplicate transaction ID",IF(OR(NOT(ISNUMBER(A179)),A179&lt;1,A179&gt;DATE(2099,1,1)),"Use a valid date",IF(OR(A179&lt;$B$4,A179&gt;$D$4),"Outside coverage",IF(NOT(ISNUMBER(F179)),"Missing or invalid amount",IF(OR(K179="",L179="",N179=""),"Add vendor and office identities",IF(G179="Exclude",IF(OR(F179&lt;&gt;0,H179=""),"Review nonzero or unexplained exclusion",""),IF(G179&lt;&gt;"Include","Choose Include or Exclude",IF(COUNTIFS(AwardsData[Award ID],J179)&lt;&gt;1,"Award link needs review",IF(INDEX(AwardsData[Input check],MATCH(J179,AwardsData[Award ID],0))&lt;&gt;"","Check award inputs","")))))))))))</f>
        <v/>
      </c>
      <c r="V179" s="57" t="n">
        <f aca="false">IF(AND(I179&lt;&gt;"",U179="",G179="Include"),1,0)</f>
        <v>1</v>
      </c>
      <c r="W179" s="57" t="str">
        <f aca="false">IF(I179="","",IF(COUNTIFS(AwardsData[Award ID],J179)=1,INDEX(AwardsData[Current award type],MATCH(J179,AwardsData[Award ID],0)),"Unlinked"))</f>
        <v>Delivery Order</v>
      </c>
      <c r="X179" s="57" t="str">
        <f aca="false">IF(I179="","",IF(COUNTIFS(AwardsData[Award ID],J179)=1,INDEX(AwardsData[Current set-aside],MATCH(J179,AwardsData[Award ID],0)),"Unlinked"))</f>
        <v>Total Small Business</v>
      </c>
      <c r="Y179" s="57" t="str">
        <f aca="false">IF(I179="","",IF(COUNTIFS(AwardsData[Award ID],J179)=1,INDEX(AwardsData[Performance state],MATCH(J179,AwardsData[Award ID],0)),"Unlinked"))</f>
        <v>California</v>
      </c>
      <c r="Z179" s="57" t="n">
        <f aca="false">IF(AND(V179=1,OR(Dashboard!$AB$2="All",K179=Dashboard!$AB$2),OR(Dashboard!$AB$3="All",L179=Dashboard!$AB$3),OR(Dashboard!$N$10="All",W179=Dashboard!$N$10)),1,0)</f>
        <v>1</v>
      </c>
      <c r="AA179" s="57" t="n">
        <f aca="false">IF(AND(Z179=1,OR(Dashboard!$B$7="All",S179=Dashboard!$B$7)),1,0)</f>
        <v>1</v>
      </c>
      <c r="AB179" s="57" t="n">
        <f aca="false">IF(AND(V179=1,F179&lt;&gt;0),1,0)</f>
        <v>1</v>
      </c>
      <c r="AC179" s="57" t="n">
        <f aca="false">IF(AND(AA179=1,AB179=1),IF(COUNTIFS($J$17:J179,J179,$AA$17:AA179,1,$AB$17:AB179,1)=1,1,0),0)</f>
        <v>0</v>
      </c>
      <c r="AD179" s="57" t="n">
        <f aca="false">IF(AND(AA179=1,AB179=1),IF(COUNTIFS($K$17:K179,K179,$AA$17:AA179,1,$AB$17:AB179,1)=1,1,0),0)</f>
        <v>0</v>
      </c>
      <c r="AE179" s="57" t="n">
        <f aca="false">IF(AND(Z179=1,AB179=1),IF(COUNTIFS($J$17:J179,J179,$S$17:S179,S179,$Z$17:Z179,1,$AB$17:AB179,1)=1,1,0),0)</f>
        <v>0</v>
      </c>
      <c r="AF179" s="57" t="n">
        <f aca="false">IF(AND(Z179=1,AB179=1),IF(COUNTIFS($K$17:K179,K179,$S$17:S179,S179,$Z$17:Z179,1,$AB$17:AB179,1)=1,1,0),0)</f>
        <v>0</v>
      </c>
      <c r="AG179" s="57" t="n">
        <f aca="false">IF(AND(AA179=1,AB179=1),IF(COUNTIFS($J$17:J179,J179,$L$17:L179,L179,$AA$17:AA179,1,$AB$17:AB179,1)=1,1,0),0)</f>
        <v>0</v>
      </c>
      <c r="AH179" s="57" t="n">
        <f aca="false">IF(AND(AA179=1,AB179=1),IF(COUNTIFS($J$17:J179,J179,$K$17:K179,K179,$AA$17:AA179,1,$AB$17:AB179,1)=1,1,0),0)</f>
        <v>0</v>
      </c>
      <c r="AI179" s="56" t="n">
        <f aca="false">IF(V179=1,MAX(F179,0),0)</f>
        <v>1135299.25</v>
      </c>
      <c r="AJ179" s="56" t="n">
        <f aca="false">IF(V179=1,MIN(F179,0),0)</f>
        <v>0</v>
      </c>
    </row>
    <row r="180" customFormat="false" ht="40" hidden="false" customHeight="true" outlineLevel="0" collapsed="false">
      <c r="A180" s="66" t="n">
        <v>45743</v>
      </c>
      <c r="B180" s="54" t="str">
        <f aca="false">IF(M180="","",IF(P180="",M180,HYPERLINK(P180,M180)))</f>
        <v>NNG15SC90B-49100424F0064</v>
      </c>
      <c r="C180" s="54" t="str">
        <f aca="false">IF(N180="","",IF(Q180="",N180,HYPERLINK(Q180,N180)))</f>
        <v>Strategic Communications LLC</v>
      </c>
      <c r="D180" s="60" t="s">
        <v>170</v>
      </c>
      <c r="E180" s="54" t="str">
        <f aca="false">IF(O180="","",IF(R180="",O180,HYPERLINK(R180,O180)))</f>
        <v>NSF — office not specified</v>
      </c>
      <c r="F180" s="62" t="n">
        <v>2463302.65</v>
      </c>
      <c r="G180" s="61" t="s">
        <v>464</v>
      </c>
      <c r="H180" s="58"/>
      <c r="I180" s="58" t="s">
        <v>631</v>
      </c>
      <c r="J180" s="58" t="s">
        <v>418</v>
      </c>
      <c r="K180" s="58" t="s">
        <v>168</v>
      </c>
      <c r="L180" s="58" t="s">
        <v>213</v>
      </c>
      <c r="M180" s="58" t="s">
        <v>419</v>
      </c>
      <c r="N180" s="58" t="s">
        <v>169</v>
      </c>
      <c r="O180" s="58" t="s">
        <v>214</v>
      </c>
      <c r="P180" s="58" t="s">
        <v>420</v>
      </c>
      <c r="Q180" s="58" t="s">
        <v>171</v>
      </c>
      <c r="R180" s="58" t="s">
        <v>215</v>
      </c>
      <c r="S180" s="57" t="n">
        <f aca="false">IF(ISNUMBER(A180),YEAR(A180)+IF(MONTH(A180)&gt;=10,1,0),"")</f>
        <v>2025</v>
      </c>
      <c r="T180" s="57" t="n">
        <f aca="false">IF(ISNUMBER(A180),INT(MOD(MONTH(A180)-10,12)/3)+1,"")</f>
        <v>2</v>
      </c>
      <c r="U180" s="57" t="str">
        <f aca="false">IF(AND(I180&lt;&gt;"",D180&lt;&gt;"",OR(COUNTIFS(TransactionsData[Vendor ID],K180,TransactionsData[UEI],"&lt;&gt;"&amp;D180,TransactionsData[UEI],"?*")&gt;0,COUNTIFS(VendorGroups[Record ID],K180,VendorGroups[Source UEI],"&lt;&gt;"&amp;D180,VendorGroups[Source UEI],"?*")&gt;0)),"Conflicting vendor UEIs",IF(I180="",IF(COUNTA(A180,D180,F180:R180)&gt;0,"Missing transaction ID",""),IF(COUNTIFS(TransactionsData[Transaction ID],I180)&lt;&gt;1,"Duplicate transaction ID",IF(OR(NOT(ISNUMBER(A180)),A180&lt;1,A180&gt;DATE(2099,1,1)),"Use a valid date",IF(OR(A180&lt;$B$4,A180&gt;$D$4),"Outside coverage",IF(NOT(ISNUMBER(F180)),"Missing or invalid amount",IF(OR(K180="",L180="",N180=""),"Add vendor and office identities",IF(G180="Exclude",IF(OR(F180&lt;&gt;0,H180=""),"Review nonzero or unexplained exclusion",""),IF(G180&lt;&gt;"Include","Choose Include or Exclude",IF(COUNTIFS(AwardsData[Award ID],J180)&lt;&gt;1,"Award link needs review",IF(INDEX(AwardsData[Input check],MATCH(J180,AwardsData[Award ID],0))&lt;&gt;"","Check award inputs","")))))))))))</f>
        <v/>
      </c>
      <c r="V180" s="57" t="n">
        <f aca="false">IF(AND(I180&lt;&gt;"",U180="",G180="Include"),1,0)</f>
        <v>1</v>
      </c>
      <c r="W180" s="57" t="str">
        <f aca="false">IF(I180="","",IF(COUNTIFS(AwardsData[Award ID],J180)=1,INDEX(AwardsData[Current award type],MATCH(J180,AwardsData[Award ID],0)),"Unlinked"))</f>
        <v>Delivery Order</v>
      </c>
      <c r="X180" s="57" t="str">
        <f aca="false">IF(I180="","",IF(COUNTIFS(AwardsData[Award ID],J180)=1,INDEX(AwardsData[Current set-aside],MATCH(J180,AwardsData[Award ID],0)),"Unlinked"))</f>
        <v>Total Small Business</v>
      </c>
      <c r="Y180" s="57" t="str">
        <f aca="false">IF(I180="","",IF(COUNTIFS(AwardsData[Award ID],J180)=1,INDEX(AwardsData[Performance state],MATCH(J180,AwardsData[Award ID],0)),"Unlinked"))</f>
        <v>Virginia</v>
      </c>
      <c r="Z180" s="57" t="n">
        <f aca="false">IF(AND(V180=1,OR(Dashboard!$AB$2="All",K180=Dashboard!$AB$2),OR(Dashboard!$AB$3="All",L180=Dashboard!$AB$3),OR(Dashboard!$N$10="All",W180=Dashboard!$N$10)),1,0)</f>
        <v>1</v>
      </c>
      <c r="AA180" s="57" t="n">
        <f aca="false">IF(AND(Z180=1,OR(Dashboard!$B$7="All",S180=Dashboard!$B$7)),1,0)</f>
        <v>1</v>
      </c>
      <c r="AB180" s="57" t="n">
        <f aca="false">IF(AND(V180=1,F180&lt;&gt;0),1,0)</f>
        <v>1</v>
      </c>
      <c r="AC180" s="57" t="n">
        <f aca="false">IF(AND(AA180=1,AB180=1),IF(COUNTIFS($J$17:J180,J180,$AA$17:AA180,1,$AB$17:AB180,1)=1,1,0),0)</f>
        <v>1</v>
      </c>
      <c r="AD180" s="57" t="n">
        <f aca="false">IF(AND(AA180=1,AB180=1),IF(COUNTIFS($K$17:K180,K180,$AA$17:AA180,1,$AB$17:AB180,1)=1,1,0),0)</f>
        <v>1</v>
      </c>
      <c r="AE180" s="57" t="n">
        <f aca="false">IF(AND(Z180=1,AB180=1),IF(COUNTIFS($J$17:J180,J180,$S$17:S180,S180,$Z$17:Z180,1,$AB$17:AB180,1)=1,1,0),0)</f>
        <v>1</v>
      </c>
      <c r="AF180" s="57" t="n">
        <f aca="false">IF(AND(Z180=1,AB180=1),IF(COUNTIFS($K$17:K180,K180,$S$17:S180,S180,$Z$17:Z180,1,$AB$17:AB180,1)=1,1,0),0)</f>
        <v>1</v>
      </c>
      <c r="AG180" s="57" t="n">
        <f aca="false">IF(AND(AA180=1,AB180=1),IF(COUNTIFS($J$17:J180,J180,$L$17:L180,L180,$AA$17:AA180,1,$AB$17:AB180,1)=1,1,0),0)</f>
        <v>1</v>
      </c>
      <c r="AH180" s="57" t="n">
        <f aca="false">IF(AND(AA180=1,AB180=1),IF(COUNTIFS($J$17:J180,J180,$K$17:K180,K180,$AA$17:AA180,1,$AB$17:AB180,1)=1,1,0),0)</f>
        <v>1</v>
      </c>
      <c r="AI180" s="56" t="n">
        <f aca="false">IF(V180=1,MAX(F180,0),0)</f>
        <v>2463302.65</v>
      </c>
      <c r="AJ180" s="56" t="n">
        <f aca="false">IF(V180=1,MIN(F180,0),0)</f>
        <v>0</v>
      </c>
    </row>
    <row r="181" customFormat="false" ht="40" hidden="false" customHeight="true" outlineLevel="0" collapsed="false">
      <c r="A181" s="66" t="n">
        <v>45748</v>
      </c>
      <c r="B181" s="54" t="str">
        <f aca="false">IF(M181="","",IF(P181="",M181,HYPERLINK(P181,M181)))</f>
        <v>49100424A0006-49100424F0073</v>
      </c>
      <c r="C181" s="54" t="str">
        <f aca="false">IF(N181="","",IF(Q181="",N181,HYPERLINK(Q181,N181)))</f>
        <v>Anika Systems Incorporated</v>
      </c>
      <c r="D181" s="60" t="s">
        <v>107</v>
      </c>
      <c r="E181" s="54" t="str">
        <f aca="false">IF(O181="","",IF(R181="",O181,HYPERLINK(R181,O181)))</f>
        <v>NSF — office not specified</v>
      </c>
      <c r="F181" s="62" t="n">
        <v>1323164.7</v>
      </c>
      <c r="G181" s="61" t="s">
        <v>464</v>
      </c>
      <c r="H181" s="58"/>
      <c r="I181" s="58" t="s">
        <v>632</v>
      </c>
      <c r="J181" s="58" t="s">
        <v>393</v>
      </c>
      <c r="K181" s="58" t="s">
        <v>105</v>
      </c>
      <c r="L181" s="58" t="s">
        <v>213</v>
      </c>
      <c r="M181" s="58" t="s">
        <v>394</v>
      </c>
      <c r="N181" s="58" t="s">
        <v>106</v>
      </c>
      <c r="O181" s="58" t="s">
        <v>214</v>
      </c>
      <c r="P181" s="58" t="s">
        <v>395</v>
      </c>
      <c r="Q181" s="58" t="s">
        <v>108</v>
      </c>
      <c r="R181" s="58" t="s">
        <v>215</v>
      </c>
      <c r="S181" s="57" t="n">
        <f aca="false">IF(ISNUMBER(A181),YEAR(A181)+IF(MONTH(A181)&gt;=10,1,0),"")</f>
        <v>2025</v>
      </c>
      <c r="T181" s="57" t="n">
        <f aca="false">IF(ISNUMBER(A181),INT(MOD(MONTH(A181)-10,12)/3)+1,"")</f>
        <v>3</v>
      </c>
      <c r="U181" s="57" t="str">
        <f aca="false">IF(AND(I181&lt;&gt;"",D181&lt;&gt;"",OR(COUNTIFS(TransactionsData[Vendor ID],K181,TransactionsData[UEI],"&lt;&gt;"&amp;D181,TransactionsData[UEI],"?*")&gt;0,COUNTIFS(VendorGroups[Record ID],K181,VendorGroups[Source UEI],"&lt;&gt;"&amp;D181,VendorGroups[Source UEI],"?*")&gt;0)),"Conflicting vendor UEIs",IF(I181="",IF(COUNTA(A181,D181,F181:R181)&gt;0,"Missing transaction ID",""),IF(COUNTIFS(TransactionsData[Transaction ID],I181)&lt;&gt;1,"Duplicate transaction ID",IF(OR(NOT(ISNUMBER(A181)),A181&lt;1,A181&gt;DATE(2099,1,1)),"Use a valid date",IF(OR(A181&lt;$B$4,A181&gt;$D$4),"Outside coverage",IF(NOT(ISNUMBER(F181)),"Missing or invalid amount",IF(OR(K181="",L181="",N181=""),"Add vendor and office identities",IF(G181="Exclude",IF(OR(F181&lt;&gt;0,H181=""),"Review nonzero or unexplained exclusion",""),IF(G181&lt;&gt;"Include","Choose Include or Exclude",IF(COUNTIFS(AwardsData[Award ID],J181)&lt;&gt;1,"Award link needs review",IF(INDEX(AwardsData[Input check],MATCH(J181,AwardsData[Award ID],0))&lt;&gt;"","Check award inputs","")))))))))))</f>
        <v/>
      </c>
      <c r="V181" s="57" t="n">
        <f aca="false">IF(AND(I181&lt;&gt;"",U181="",G181="Include"),1,0)</f>
        <v>1</v>
      </c>
      <c r="W181" s="57" t="str">
        <f aca="false">IF(I181="","",IF(COUNTIFS(AwardsData[Award ID],J181)=1,INDEX(AwardsData[Current award type],MATCH(J181,AwardsData[Award ID],0)),"Unlinked"))</f>
        <v>BPA Call</v>
      </c>
      <c r="X181" s="57" t="str">
        <f aca="false">IF(I181="","",IF(COUNTIFS(AwardsData[Award ID],J181)=1,INDEX(AwardsData[Current set-aside],MATCH(J181,AwardsData[Award ID],0)),"Unlinked"))</f>
        <v>Competitive 8(a)</v>
      </c>
      <c r="Y181" s="57" t="str">
        <f aca="false">IF(I181="","",IF(COUNTIFS(AwardsData[Award ID],J181)=1,INDEX(AwardsData[Performance state],MATCH(J181,AwardsData[Award ID],0)),"Unlinked"))</f>
        <v>Virginia</v>
      </c>
      <c r="Z181" s="57" t="n">
        <f aca="false">IF(AND(V181=1,OR(Dashboard!$AB$2="All",K181=Dashboard!$AB$2),OR(Dashboard!$AB$3="All",L181=Dashboard!$AB$3),OR(Dashboard!$N$10="All",W181=Dashboard!$N$10)),1,0)</f>
        <v>1</v>
      </c>
      <c r="AA181" s="57" t="n">
        <f aca="false">IF(AND(Z181=1,OR(Dashboard!$B$7="All",S181=Dashboard!$B$7)),1,0)</f>
        <v>1</v>
      </c>
      <c r="AB181" s="57" t="n">
        <f aca="false">IF(AND(V181=1,F181&lt;&gt;0),1,0)</f>
        <v>1</v>
      </c>
      <c r="AC181" s="57" t="n">
        <f aca="false">IF(AND(AA181=1,AB181=1),IF(COUNTIFS($J$17:J181,J181,$AA$17:AA181,1,$AB$17:AB181,1)=1,1,0),0)</f>
        <v>1</v>
      </c>
      <c r="AD181" s="57" t="n">
        <f aca="false">IF(AND(AA181=1,AB181=1),IF(COUNTIFS($K$17:K181,K181,$AA$17:AA181,1,$AB$17:AB181,1)=1,1,0),0)</f>
        <v>1</v>
      </c>
      <c r="AE181" s="57" t="n">
        <f aca="false">IF(AND(Z181=1,AB181=1),IF(COUNTIFS($J$17:J181,J181,$S$17:S181,S181,$Z$17:Z181,1,$AB$17:AB181,1)=1,1,0),0)</f>
        <v>1</v>
      </c>
      <c r="AF181" s="57" t="n">
        <f aca="false">IF(AND(Z181=1,AB181=1),IF(COUNTIFS($K$17:K181,K181,$S$17:S181,S181,$Z$17:Z181,1,$AB$17:AB181,1)=1,1,0),0)</f>
        <v>1</v>
      </c>
      <c r="AG181" s="57" t="n">
        <f aca="false">IF(AND(AA181=1,AB181=1),IF(COUNTIFS($J$17:J181,J181,$L$17:L181,L181,$AA$17:AA181,1,$AB$17:AB181,1)=1,1,0),0)</f>
        <v>1</v>
      </c>
      <c r="AH181" s="57" t="n">
        <f aca="false">IF(AND(AA181=1,AB181=1),IF(COUNTIFS($J$17:J181,J181,$K$17:K181,K181,$AA$17:AA181,1,$AB$17:AB181,1)=1,1,0),0)</f>
        <v>1</v>
      </c>
      <c r="AI181" s="56" t="n">
        <f aca="false">IF(V181=1,MAX(F181,0),0)</f>
        <v>1323164.7</v>
      </c>
      <c r="AJ181" s="56" t="n">
        <f aca="false">IF(V181=1,MIN(F181,0),0)</f>
        <v>0</v>
      </c>
    </row>
    <row r="182" customFormat="false" ht="40" hidden="false" customHeight="true" outlineLevel="0" collapsed="false">
      <c r="A182" s="66" t="n">
        <v>45749</v>
      </c>
      <c r="B182" s="54" t="str">
        <f aca="false">IF(M182="","",IF(P182="",M182,HYPERLINK(P182,M182)))</f>
        <v>47QTCK18D0004-49100424F0001</v>
      </c>
      <c r="C182" s="54" t="str">
        <f aca="false">IF(N182="","",IF(Q182="",N182,HYPERLINK(Q182,N182)))</f>
        <v>Booz Allen Hamilton Inc.</v>
      </c>
      <c r="D182" s="60" t="s">
        <v>111</v>
      </c>
      <c r="E182" s="54" t="str">
        <f aca="false">IF(O182="","",IF(R182="",O182,HYPERLINK(R182,O182)))</f>
        <v>NSF — office not specified</v>
      </c>
      <c r="F182" s="62" t="n">
        <v>1149000</v>
      </c>
      <c r="G182" s="61" t="s">
        <v>464</v>
      </c>
      <c r="H182" s="58"/>
      <c r="I182" s="58" t="s">
        <v>633</v>
      </c>
      <c r="J182" s="58" t="s">
        <v>297</v>
      </c>
      <c r="K182" s="58" t="s">
        <v>109</v>
      </c>
      <c r="L182" s="58" t="s">
        <v>213</v>
      </c>
      <c r="M182" s="58" t="s">
        <v>298</v>
      </c>
      <c r="N182" s="58" t="s">
        <v>110</v>
      </c>
      <c r="O182" s="58" t="s">
        <v>214</v>
      </c>
      <c r="P182" s="58" t="s">
        <v>299</v>
      </c>
      <c r="Q182" s="58" t="s">
        <v>112</v>
      </c>
      <c r="R182" s="58" t="s">
        <v>215</v>
      </c>
      <c r="S182" s="57" t="n">
        <f aca="false">IF(ISNUMBER(A182),YEAR(A182)+IF(MONTH(A182)&gt;=10,1,0),"")</f>
        <v>2025</v>
      </c>
      <c r="T182" s="57" t="n">
        <f aca="false">IF(ISNUMBER(A182),INT(MOD(MONTH(A182)-10,12)/3)+1,"")</f>
        <v>3</v>
      </c>
      <c r="U182" s="57" t="str">
        <f aca="false">IF(AND(I182&lt;&gt;"",D182&lt;&gt;"",OR(COUNTIFS(TransactionsData[Vendor ID],K182,TransactionsData[UEI],"&lt;&gt;"&amp;D182,TransactionsData[UEI],"?*")&gt;0,COUNTIFS(VendorGroups[Record ID],K182,VendorGroups[Source UEI],"&lt;&gt;"&amp;D182,VendorGroups[Source UEI],"?*")&gt;0)),"Conflicting vendor UEIs",IF(I182="",IF(COUNTA(A182,D182,F182:R182)&gt;0,"Missing transaction ID",""),IF(COUNTIFS(TransactionsData[Transaction ID],I182)&lt;&gt;1,"Duplicate transaction ID",IF(OR(NOT(ISNUMBER(A182)),A182&lt;1,A182&gt;DATE(2099,1,1)),"Use a valid date",IF(OR(A182&lt;$B$4,A182&gt;$D$4),"Outside coverage",IF(NOT(ISNUMBER(F182)),"Missing or invalid amount",IF(OR(K182="",L182="",N182=""),"Add vendor and office identities",IF(G182="Exclude",IF(OR(F182&lt;&gt;0,H182=""),"Review nonzero or unexplained exclusion",""),IF(G182&lt;&gt;"Include","Choose Include or Exclude",IF(COUNTIFS(AwardsData[Award ID],J182)&lt;&gt;1,"Award link needs review",IF(INDEX(AwardsData[Input check],MATCH(J182,AwardsData[Award ID],0))&lt;&gt;"","Check award inputs","")))))))))))</f>
        <v/>
      </c>
      <c r="V182" s="57" t="n">
        <f aca="false">IF(AND(I182&lt;&gt;"",U182="",G182="Include"),1,0)</f>
        <v>1</v>
      </c>
      <c r="W182" s="57" t="str">
        <f aca="false">IF(I182="","",IF(COUNTIFS(AwardsData[Award ID],J182)=1,INDEX(AwardsData[Current award type],MATCH(J182,AwardsData[Award ID],0)),"Unlinked"))</f>
        <v>Delivery Order</v>
      </c>
      <c r="X182" s="57" t="str">
        <f aca="false">IF(I182="","",IF(COUNTIFS(AwardsData[Award ID],J182)=1,INDEX(AwardsData[Current set-aside],MATCH(J182,AwardsData[Award ID],0)),"Unlinked"))</f>
        <v>No Set-Aside Used</v>
      </c>
      <c r="Y182" s="57" t="str">
        <f aca="false">IF(I182="","",IF(COUNTIFS(AwardsData[Award ID],J182)=1,INDEX(AwardsData[Performance state],MATCH(J182,AwardsData[Award ID],0)),"Unlinked"))</f>
        <v>Virginia</v>
      </c>
      <c r="Z182" s="57" t="n">
        <f aca="false">IF(AND(V182=1,OR(Dashboard!$AB$2="All",K182=Dashboard!$AB$2),OR(Dashboard!$AB$3="All",L182=Dashboard!$AB$3),OR(Dashboard!$N$10="All",W182=Dashboard!$N$10)),1,0)</f>
        <v>1</v>
      </c>
      <c r="AA182" s="57" t="n">
        <f aca="false">IF(AND(Z182=1,OR(Dashboard!$B$7="All",S182=Dashboard!$B$7)),1,0)</f>
        <v>1</v>
      </c>
      <c r="AB182" s="57" t="n">
        <f aca="false">IF(AND(V182=1,F182&lt;&gt;0),1,0)</f>
        <v>1</v>
      </c>
      <c r="AC182" s="57" t="n">
        <f aca="false">IF(AND(AA182=1,AB182=1),IF(COUNTIFS($J$17:J182,J182,$AA$17:AA182,1,$AB$17:AB182,1)=1,1,0),0)</f>
        <v>0</v>
      </c>
      <c r="AD182" s="57" t="n">
        <f aca="false">IF(AND(AA182=1,AB182=1),IF(COUNTIFS($K$17:K182,K182,$AA$17:AA182,1,$AB$17:AB182,1)=1,1,0),0)</f>
        <v>0</v>
      </c>
      <c r="AE182" s="57" t="n">
        <f aca="false">IF(AND(Z182=1,AB182=1),IF(COUNTIFS($J$17:J182,J182,$S$17:S182,S182,$Z$17:Z182,1,$AB$17:AB182,1)=1,1,0),0)</f>
        <v>0</v>
      </c>
      <c r="AF182" s="57" t="n">
        <f aca="false">IF(AND(Z182=1,AB182=1),IF(COUNTIFS($K$17:K182,K182,$S$17:S182,S182,$Z$17:Z182,1,$AB$17:AB182,1)=1,1,0),0)</f>
        <v>0</v>
      </c>
      <c r="AG182" s="57" t="n">
        <f aca="false">IF(AND(AA182=1,AB182=1),IF(COUNTIFS($J$17:J182,J182,$L$17:L182,L182,$AA$17:AA182,1,$AB$17:AB182,1)=1,1,0),0)</f>
        <v>0</v>
      </c>
      <c r="AH182" s="57" t="n">
        <f aca="false">IF(AND(AA182=1,AB182=1),IF(COUNTIFS($J$17:J182,J182,$K$17:K182,K182,$AA$17:AA182,1,$AB$17:AB182,1)=1,1,0),0)</f>
        <v>0</v>
      </c>
      <c r="AI182" s="56" t="n">
        <f aca="false">IF(V182=1,MAX(F182,0),0)</f>
        <v>1149000</v>
      </c>
      <c r="AJ182" s="56" t="n">
        <f aca="false">IF(V182=1,MIN(F182,0),0)</f>
        <v>0</v>
      </c>
    </row>
    <row r="183" customFormat="false" ht="40" hidden="false" customHeight="true" outlineLevel="0" collapsed="false">
      <c r="A183" s="66" t="n">
        <v>45750</v>
      </c>
      <c r="B183" s="54" t="str">
        <f aca="false">IF(M183="","",IF(P183="",M183,HYPERLINK(P183,M183)))</f>
        <v>Unlinked</v>
      </c>
      <c r="C183" s="54" t="str">
        <f aca="false">IF(N183="","",IF(Q183="",N183,HYPERLINK(Q183,N183)))</f>
        <v>Anika Systems Incorporated</v>
      </c>
      <c r="D183" s="60" t="s">
        <v>107</v>
      </c>
      <c r="E183" s="54" t="str">
        <f aca="false">IF(O183="","",IF(R183="",O183,HYPERLINK(R183,O183)))</f>
        <v>NSF — office not specified</v>
      </c>
      <c r="F183" s="62" t="n">
        <v>0</v>
      </c>
      <c r="G183" s="61" t="s">
        <v>492</v>
      </c>
      <c r="H183" s="58" t="s">
        <v>493</v>
      </c>
      <c r="I183" s="58" t="s">
        <v>634</v>
      </c>
      <c r="J183" s="58"/>
      <c r="K183" s="58" t="s">
        <v>105</v>
      </c>
      <c r="L183" s="58" t="s">
        <v>213</v>
      </c>
      <c r="M183" s="58" t="s">
        <v>495</v>
      </c>
      <c r="N183" s="58" t="s">
        <v>106</v>
      </c>
      <c r="O183" s="58" t="s">
        <v>214</v>
      </c>
      <c r="P183" s="58"/>
      <c r="Q183" s="58" t="s">
        <v>108</v>
      </c>
      <c r="R183" s="58" t="s">
        <v>215</v>
      </c>
      <c r="S183" s="57" t="n">
        <f aca="false">IF(ISNUMBER(A183),YEAR(A183)+IF(MONTH(A183)&gt;=10,1,0),"")</f>
        <v>2025</v>
      </c>
      <c r="T183" s="57" t="n">
        <f aca="false">IF(ISNUMBER(A183),INT(MOD(MONTH(A183)-10,12)/3)+1,"")</f>
        <v>3</v>
      </c>
      <c r="U183" s="57" t="str">
        <f aca="false">IF(AND(I183&lt;&gt;"",D183&lt;&gt;"",OR(COUNTIFS(TransactionsData[Vendor ID],K183,TransactionsData[UEI],"&lt;&gt;"&amp;D183,TransactionsData[UEI],"?*")&gt;0,COUNTIFS(VendorGroups[Record ID],K183,VendorGroups[Source UEI],"&lt;&gt;"&amp;D183,VendorGroups[Source UEI],"?*")&gt;0)),"Conflicting vendor UEIs",IF(I183="",IF(COUNTA(A183,D183,F183:R183)&gt;0,"Missing transaction ID",""),IF(COUNTIFS(TransactionsData[Transaction ID],I183)&lt;&gt;1,"Duplicate transaction ID",IF(OR(NOT(ISNUMBER(A183)),A183&lt;1,A183&gt;DATE(2099,1,1)),"Use a valid date",IF(OR(A183&lt;$B$4,A183&gt;$D$4),"Outside coverage",IF(NOT(ISNUMBER(F183)),"Missing or invalid amount",IF(OR(K183="",L183="",N183=""),"Add vendor and office identities",IF(G183="Exclude",IF(OR(F183&lt;&gt;0,H183=""),"Review nonzero or unexplained exclusion",""),IF(G183&lt;&gt;"Include","Choose Include or Exclude",IF(COUNTIFS(AwardsData[Award ID],J183)&lt;&gt;1,"Award link needs review",IF(INDEX(AwardsData[Input check],MATCH(J183,AwardsData[Award ID],0))&lt;&gt;"","Check award inputs","")))))))))))</f>
        <v/>
      </c>
      <c r="V183" s="57" t="n">
        <f aca="false">IF(AND(I183&lt;&gt;"",U183="",G183="Include"),1,0)</f>
        <v>0</v>
      </c>
      <c r="W183" s="57" t="str">
        <f aca="false">IF(I183="","",IF(COUNTIFS(AwardsData[Award ID],J183)=1,INDEX(AwardsData[Current award type],MATCH(J183,AwardsData[Award ID],0)),"Unlinked"))</f>
        <v>Unlinked</v>
      </c>
      <c r="X183" s="57" t="str">
        <f aca="false">IF(I183="","",IF(COUNTIFS(AwardsData[Award ID],J183)=1,INDEX(AwardsData[Current set-aside],MATCH(J183,AwardsData[Award ID],0)),"Unlinked"))</f>
        <v>Unlinked</v>
      </c>
      <c r="Y183" s="57" t="str">
        <f aca="false">IF(I183="","",IF(COUNTIFS(AwardsData[Award ID],J183)=1,INDEX(AwardsData[Performance state],MATCH(J183,AwardsData[Award ID],0)),"Unlinked"))</f>
        <v>Unlinked</v>
      </c>
      <c r="Z183" s="57" t="n">
        <f aca="false">IF(AND(V183=1,OR(Dashboard!$AB$2="All",K183=Dashboard!$AB$2),OR(Dashboard!$AB$3="All",L183=Dashboard!$AB$3),OR(Dashboard!$N$10="All",W183=Dashboard!$N$10)),1,0)</f>
        <v>0</v>
      </c>
      <c r="AA183" s="57" t="n">
        <f aca="false">IF(AND(Z183=1,OR(Dashboard!$B$7="All",S183=Dashboard!$B$7)),1,0)</f>
        <v>0</v>
      </c>
      <c r="AB183" s="57" t="n">
        <f aca="false">IF(AND(V183=1,F183&lt;&gt;0),1,0)</f>
        <v>0</v>
      </c>
      <c r="AC183" s="57" t="n">
        <f aca="false">IF(AND(AA183=1,AB183=1),IF(COUNTIFS($J$17:J183,J183,$AA$17:AA183,1,$AB$17:AB183,1)=1,1,0),0)</f>
        <v>0</v>
      </c>
      <c r="AD183" s="57" t="n">
        <f aca="false">IF(AND(AA183=1,AB183=1),IF(COUNTIFS($K$17:K183,K183,$AA$17:AA183,1,$AB$17:AB183,1)=1,1,0),0)</f>
        <v>0</v>
      </c>
      <c r="AE183" s="57" t="n">
        <f aca="false">IF(AND(Z183=1,AB183=1),IF(COUNTIFS($J$17:J183,J183,$S$17:S183,S183,$Z$17:Z183,1,$AB$17:AB183,1)=1,1,0),0)</f>
        <v>0</v>
      </c>
      <c r="AF183" s="57" t="n">
        <f aca="false">IF(AND(Z183=1,AB183=1),IF(COUNTIFS($K$17:K183,K183,$S$17:S183,S183,$Z$17:Z183,1,$AB$17:AB183,1)=1,1,0),0)</f>
        <v>0</v>
      </c>
      <c r="AG183" s="57" t="n">
        <f aca="false">IF(AND(AA183=1,AB183=1),IF(COUNTIFS($J$17:J183,J183,$L$17:L183,L183,$AA$17:AA183,1,$AB$17:AB183,1)=1,1,0),0)</f>
        <v>0</v>
      </c>
      <c r="AH183" s="57" t="n">
        <f aca="false">IF(AND(AA183=1,AB183=1),IF(COUNTIFS($J$17:J183,J183,$K$17:K183,K183,$AA$17:AA183,1,$AB$17:AB183,1)=1,1,0),0)</f>
        <v>0</v>
      </c>
      <c r="AI183" s="56" t="n">
        <f aca="false">IF(V183=1,MAX(F183,0),0)</f>
        <v>0</v>
      </c>
      <c r="AJ183" s="56" t="n">
        <f aca="false">IF(V183=1,MIN(F183,0),0)</f>
        <v>0</v>
      </c>
    </row>
    <row r="184" customFormat="false" ht="40" hidden="false" customHeight="true" outlineLevel="0" collapsed="false">
      <c r="A184" s="66" t="n">
        <v>45757</v>
      </c>
      <c r="B184" s="54" t="str">
        <f aca="false">IF(M184="","",IF(P184="",M184,HYPERLINK(P184,M184)))</f>
        <v>47QTCA19D00GN-49100421F0206</v>
      </c>
      <c r="C184" s="54" t="str">
        <f aca="false">IF(N184="","",IF(Q184="",N184,HYPERLINK(Q184,N184)))</f>
        <v>Lynker Corporation</v>
      </c>
      <c r="D184" s="60" t="s">
        <v>147</v>
      </c>
      <c r="E184" s="54" t="str">
        <f aca="false">IF(O184="","",IF(R184="",O184,HYPERLINK(R184,O184)))</f>
        <v>Division of Social and Economic Science</v>
      </c>
      <c r="F184" s="62" t="n">
        <v>2199329</v>
      </c>
      <c r="G184" s="61" t="s">
        <v>464</v>
      </c>
      <c r="H184" s="58"/>
      <c r="I184" s="58" t="s">
        <v>635</v>
      </c>
      <c r="J184" s="58" t="s">
        <v>260</v>
      </c>
      <c r="K184" s="58" t="s">
        <v>145</v>
      </c>
      <c r="L184" s="58" t="s">
        <v>201</v>
      </c>
      <c r="M184" s="58" t="s">
        <v>261</v>
      </c>
      <c r="N184" s="58" t="s">
        <v>146</v>
      </c>
      <c r="O184" s="58" t="s">
        <v>202</v>
      </c>
      <c r="P184" s="58" t="s">
        <v>262</v>
      </c>
      <c r="Q184" s="58" t="s">
        <v>148</v>
      </c>
      <c r="R184" s="58" t="s">
        <v>204</v>
      </c>
      <c r="S184" s="57" t="n">
        <f aca="false">IF(ISNUMBER(A184),YEAR(A184)+IF(MONTH(A184)&gt;=10,1,0),"")</f>
        <v>2025</v>
      </c>
      <c r="T184" s="57" t="n">
        <f aca="false">IF(ISNUMBER(A184),INT(MOD(MONTH(A184)-10,12)/3)+1,"")</f>
        <v>3</v>
      </c>
      <c r="U184" s="57" t="str">
        <f aca="false">IF(AND(I184&lt;&gt;"",D184&lt;&gt;"",OR(COUNTIFS(TransactionsData[Vendor ID],K184,TransactionsData[UEI],"&lt;&gt;"&amp;D184,TransactionsData[UEI],"?*")&gt;0,COUNTIFS(VendorGroups[Record ID],K184,VendorGroups[Source UEI],"&lt;&gt;"&amp;D184,VendorGroups[Source UEI],"?*")&gt;0)),"Conflicting vendor UEIs",IF(I184="",IF(COUNTA(A184,D184,F184:R184)&gt;0,"Missing transaction ID",""),IF(COUNTIFS(TransactionsData[Transaction ID],I184)&lt;&gt;1,"Duplicate transaction ID",IF(OR(NOT(ISNUMBER(A184)),A184&lt;1,A184&gt;DATE(2099,1,1)),"Use a valid date",IF(OR(A184&lt;$B$4,A184&gt;$D$4),"Outside coverage",IF(NOT(ISNUMBER(F184)),"Missing or invalid amount",IF(OR(K184="",L184="",N184=""),"Add vendor and office identities",IF(G184="Exclude",IF(OR(F184&lt;&gt;0,H184=""),"Review nonzero or unexplained exclusion",""),IF(G184&lt;&gt;"Include","Choose Include or Exclude",IF(COUNTIFS(AwardsData[Award ID],J184)&lt;&gt;1,"Award link needs review",IF(INDEX(AwardsData[Input check],MATCH(J184,AwardsData[Award ID],0))&lt;&gt;"","Check award inputs","")))))))))))</f>
        <v/>
      </c>
      <c r="V184" s="57" t="n">
        <f aca="false">IF(AND(I184&lt;&gt;"",U184="",G184="Include"),1,0)</f>
        <v>1</v>
      </c>
      <c r="W184" s="57" t="str">
        <f aca="false">IF(I184="","",IF(COUNTIFS(AwardsData[Award ID],J184)=1,INDEX(AwardsData[Current award type],MATCH(J184,AwardsData[Award ID],0)),"Unlinked"))</f>
        <v>Delivery Order</v>
      </c>
      <c r="X184" s="57" t="str">
        <f aca="false">IF(I184="","",IF(COUNTIFS(AwardsData[Award ID],J184)=1,INDEX(AwardsData[Current set-aside],MATCH(J184,AwardsData[Award ID],0)),"Unlinked"))</f>
        <v>No Set-Aside Used</v>
      </c>
      <c r="Y184" s="57" t="str">
        <f aca="false">IF(I184="","",IF(COUNTIFS(AwardsData[Award ID],J184)=1,INDEX(AwardsData[Performance state],MATCH(J184,AwardsData[Award ID],0)),"Unlinked"))</f>
        <v>Virginia</v>
      </c>
      <c r="Z184" s="57" t="n">
        <f aca="false">IF(AND(V184=1,OR(Dashboard!$AB$2="All",K184=Dashboard!$AB$2),OR(Dashboard!$AB$3="All",L184=Dashboard!$AB$3),OR(Dashboard!$N$10="All",W184=Dashboard!$N$10)),1,0)</f>
        <v>1</v>
      </c>
      <c r="AA184" s="57" t="n">
        <f aca="false">IF(AND(Z184=1,OR(Dashboard!$B$7="All",S184=Dashboard!$B$7)),1,0)</f>
        <v>1</v>
      </c>
      <c r="AB184" s="57" t="n">
        <f aca="false">IF(AND(V184=1,F184&lt;&gt;0),1,0)</f>
        <v>1</v>
      </c>
      <c r="AC184" s="57" t="n">
        <f aca="false">IF(AND(AA184=1,AB184=1),IF(COUNTIFS($J$17:J184,J184,$AA$17:AA184,1,$AB$17:AB184,1)=1,1,0),0)</f>
        <v>1</v>
      </c>
      <c r="AD184" s="57" t="n">
        <f aca="false">IF(AND(AA184=1,AB184=1),IF(COUNTIFS($K$17:K184,K184,$AA$17:AA184,1,$AB$17:AB184,1)=1,1,0),0)</f>
        <v>1</v>
      </c>
      <c r="AE184" s="57" t="n">
        <f aca="false">IF(AND(Z184=1,AB184=1),IF(COUNTIFS($J$17:J184,J184,$S$17:S184,S184,$Z$17:Z184,1,$AB$17:AB184,1)=1,1,0),0)</f>
        <v>1</v>
      </c>
      <c r="AF184" s="57" t="n">
        <f aca="false">IF(AND(Z184=1,AB184=1),IF(COUNTIFS($K$17:K184,K184,$S$17:S184,S184,$Z$17:Z184,1,$AB$17:AB184,1)=1,1,0),0)</f>
        <v>1</v>
      </c>
      <c r="AG184" s="57" t="n">
        <f aca="false">IF(AND(AA184=1,AB184=1),IF(COUNTIFS($J$17:J184,J184,$L$17:L184,L184,$AA$17:AA184,1,$AB$17:AB184,1)=1,1,0),0)</f>
        <v>1</v>
      </c>
      <c r="AH184" s="57" t="n">
        <f aca="false">IF(AND(AA184=1,AB184=1),IF(COUNTIFS($J$17:J184,J184,$K$17:K184,K184,$AA$17:AA184,1,$AB$17:AB184,1)=1,1,0),0)</f>
        <v>1</v>
      </c>
      <c r="AI184" s="56" t="n">
        <f aca="false">IF(V184=1,MAX(F184,0),0)</f>
        <v>2199329</v>
      </c>
      <c r="AJ184" s="56" t="n">
        <f aca="false">IF(V184=1,MIN(F184,0),0)</f>
        <v>0</v>
      </c>
    </row>
    <row r="185" customFormat="false" ht="40" hidden="false" customHeight="true" outlineLevel="0" collapsed="false">
      <c r="A185" s="66" t="n">
        <v>45771</v>
      </c>
      <c r="B185" s="54" t="str">
        <f aca="false">IF(M185="","",IF(P185="",M185,HYPERLINK(P185,M185)))</f>
        <v>47QTCB21D0271-49100424F0075</v>
      </c>
      <c r="C185" s="54" t="str">
        <f aca="false">IF(N185="","",IF(Q185="",N185,HYPERLINK(Q185,N185)))</f>
        <v>Expediteinfotech, Inc.</v>
      </c>
      <c r="D185" s="60" t="s">
        <v>127</v>
      </c>
      <c r="E185" s="54" t="str">
        <f aca="false">IF(O185="","",IF(R185="",O185,HYPERLINK(R185,O185)))</f>
        <v>Directorate for Engineering</v>
      </c>
      <c r="F185" s="62" t="n">
        <v>-77859</v>
      </c>
      <c r="G185" s="61" t="s">
        <v>464</v>
      </c>
      <c r="H185" s="58"/>
      <c r="I185" s="58" t="s">
        <v>636</v>
      </c>
      <c r="J185" s="58" t="s">
        <v>289</v>
      </c>
      <c r="K185" s="58" t="s">
        <v>125</v>
      </c>
      <c r="L185" s="58" t="s">
        <v>181</v>
      </c>
      <c r="M185" s="58" t="s">
        <v>290</v>
      </c>
      <c r="N185" s="58" t="s">
        <v>126</v>
      </c>
      <c r="O185" s="58" t="s">
        <v>182</v>
      </c>
      <c r="P185" s="58" t="s">
        <v>291</v>
      </c>
      <c r="Q185" s="58" t="s">
        <v>128</v>
      </c>
      <c r="R185" s="58" t="s">
        <v>184</v>
      </c>
      <c r="S185" s="57" t="n">
        <f aca="false">IF(ISNUMBER(A185),YEAR(A185)+IF(MONTH(A185)&gt;=10,1,0),"")</f>
        <v>2025</v>
      </c>
      <c r="T185" s="57" t="n">
        <f aca="false">IF(ISNUMBER(A185),INT(MOD(MONTH(A185)-10,12)/3)+1,"")</f>
        <v>3</v>
      </c>
      <c r="U185" s="57" t="str">
        <f aca="false">IF(AND(I185&lt;&gt;"",D185&lt;&gt;"",OR(COUNTIFS(TransactionsData[Vendor ID],K185,TransactionsData[UEI],"&lt;&gt;"&amp;D185,TransactionsData[UEI],"?*")&gt;0,COUNTIFS(VendorGroups[Record ID],K185,VendorGroups[Source UEI],"&lt;&gt;"&amp;D185,VendorGroups[Source UEI],"?*")&gt;0)),"Conflicting vendor UEIs",IF(I185="",IF(COUNTA(A185,D185,F185:R185)&gt;0,"Missing transaction ID",""),IF(COUNTIFS(TransactionsData[Transaction ID],I185)&lt;&gt;1,"Duplicate transaction ID",IF(OR(NOT(ISNUMBER(A185)),A185&lt;1,A185&gt;DATE(2099,1,1)),"Use a valid date",IF(OR(A185&lt;$B$4,A185&gt;$D$4),"Outside coverage",IF(NOT(ISNUMBER(F185)),"Missing or invalid amount",IF(OR(K185="",L185="",N185=""),"Add vendor and office identities",IF(G185="Exclude",IF(OR(F185&lt;&gt;0,H185=""),"Review nonzero or unexplained exclusion",""),IF(G185&lt;&gt;"Include","Choose Include or Exclude",IF(COUNTIFS(AwardsData[Award ID],J185)&lt;&gt;1,"Award link needs review",IF(INDEX(AwardsData[Input check],MATCH(J185,AwardsData[Award ID],0))&lt;&gt;"","Check award inputs","")))))))))))</f>
        <v/>
      </c>
      <c r="V185" s="57" t="n">
        <f aca="false">IF(AND(I185&lt;&gt;"",U185="",G185="Include"),1,0)</f>
        <v>1</v>
      </c>
      <c r="W185" s="57" t="str">
        <f aca="false">IF(I185="","",IF(COUNTIFS(AwardsData[Award ID],J185)=1,INDEX(AwardsData[Current award type],MATCH(J185,AwardsData[Award ID],0)),"Unlinked"))</f>
        <v>Delivery Order</v>
      </c>
      <c r="X185" s="57" t="str">
        <f aca="false">IF(I185="","",IF(COUNTIFS(AwardsData[Award ID],J185)=1,INDEX(AwardsData[Current set-aside],MATCH(J185,AwardsData[Award ID],0)),"Unlinked"))</f>
        <v>Competitive 8(a)</v>
      </c>
      <c r="Y185" s="57" t="str">
        <f aca="false">IF(I185="","",IF(COUNTIFS(AwardsData[Award ID],J185)=1,INDEX(AwardsData[Performance state],MATCH(J185,AwardsData[Award ID],0)),"Unlinked"))</f>
        <v>Maryland</v>
      </c>
      <c r="Z185" s="57" t="n">
        <f aca="false">IF(AND(V185=1,OR(Dashboard!$AB$2="All",K185=Dashboard!$AB$2),OR(Dashboard!$AB$3="All",L185=Dashboard!$AB$3),OR(Dashboard!$N$10="All",W185=Dashboard!$N$10)),1,0)</f>
        <v>1</v>
      </c>
      <c r="AA185" s="57" t="n">
        <f aca="false">IF(AND(Z185=1,OR(Dashboard!$B$7="All",S185=Dashboard!$B$7)),1,0)</f>
        <v>1</v>
      </c>
      <c r="AB185" s="57" t="n">
        <f aca="false">IF(AND(V185=1,F185&lt;&gt;0),1,0)</f>
        <v>1</v>
      </c>
      <c r="AC185" s="57" t="n">
        <f aca="false">IF(AND(AA185=1,AB185=1),IF(COUNTIFS($J$17:J185,J185,$AA$17:AA185,1,$AB$17:AB185,1)=1,1,0),0)</f>
        <v>1</v>
      </c>
      <c r="AD185" s="57" t="n">
        <f aca="false">IF(AND(AA185=1,AB185=1),IF(COUNTIFS($K$17:K185,K185,$AA$17:AA185,1,$AB$17:AB185,1)=1,1,0),0)</f>
        <v>1</v>
      </c>
      <c r="AE185" s="57" t="n">
        <f aca="false">IF(AND(Z185=1,AB185=1),IF(COUNTIFS($J$17:J185,J185,$S$17:S185,S185,$Z$17:Z185,1,$AB$17:AB185,1)=1,1,0),0)</f>
        <v>1</v>
      </c>
      <c r="AF185" s="57" t="n">
        <f aca="false">IF(AND(Z185=1,AB185=1),IF(COUNTIFS($K$17:K185,K185,$S$17:S185,S185,$Z$17:Z185,1,$AB$17:AB185,1)=1,1,0),0)</f>
        <v>1</v>
      </c>
      <c r="AG185" s="57" t="n">
        <f aca="false">IF(AND(AA185=1,AB185=1),IF(COUNTIFS($J$17:J185,J185,$L$17:L185,L185,$AA$17:AA185,1,$AB$17:AB185,1)=1,1,0),0)</f>
        <v>1</v>
      </c>
      <c r="AH185" s="57" t="n">
        <f aca="false">IF(AND(AA185=1,AB185=1),IF(COUNTIFS($J$17:J185,J185,$K$17:K185,K185,$AA$17:AA185,1,$AB$17:AB185,1)=1,1,0),0)</f>
        <v>1</v>
      </c>
      <c r="AI185" s="56" t="n">
        <f aca="false">IF(V185=1,MAX(F185,0),0)</f>
        <v>0</v>
      </c>
      <c r="AJ185" s="56" t="n">
        <f aca="false">IF(V185=1,MIN(F185,0),0)</f>
        <v>-77859</v>
      </c>
    </row>
    <row r="186" customFormat="false" ht="40" hidden="false" customHeight="true" outlineLevel="0" collapsed="false">
      <c r="A186" s="66" t="n">
        <v>45771</v>
      </c>
      <c r="B186" s="54" t="str">
        <f aca="false">IF(M186="","",IF(P186="",M186,HYPERLINK(P186,M186)))</f>
        <v>49100424A0001-49100424F0030</v>
      </c>
      <c r="C186" s="54" t="str">
        <f aca="false">IF(N186="","",IF(Q186="",N186,HYPERLINK(Q186,N186)))</f>
        <v>Spatial Front Inc.</v>
      </c>
      <c r="D186" s="60" t="s">
        <v>166</v>
      </c>
      <c r="E186" s="54" t="str">
        <f aca="false">IF(O186="","",IF(R186="",O186,HYPERLINK(R186,O186)))</f>
        <v>NSF — office not specified</v>
      </c>
      <c r="F186" s="62" t="n">
        <v>-881681.62</v>
      </c>
      <c r="G186" s="61" t="s">
        <v>464</v>
      </c>
      <c r="H186" s="58"/>
      <c r="I186" s="58" t="s">
        <v>637</v>
      </c>
      <c r="J186" s="58" t="s">
        <v>364</v>
      </c>
      <c r="K186" s="58" t="s">
        <v>164</v>
      </c>
      <c r="L186" s="58" t="s">
        <v>213</v>
      </c>
      <c r="M186" s="58" t="s">
        <v>365</v>
      </c>
      <c r="N186" s="58" t="s">
        <v>165</v>
      </c>
      <c r="O186" s="58" t="s">
        <v>214</v>
      </c>
      <c r="P186" s="58" t="s">
        <v>366</v>
      </c>
      <c r="Q186" s="58" t="s">
        <v>167</v>
      </c>
      <c r="R186" s="58" t="s">
        <v>215</v>
      </c>
      <c r="S186" s="57" t="n">
        <f aca="false">IF(ISNUMBER(A186),YEAR(A186)+IF(MONTH(A186)&gt;=10,1,0),"")</f>
        <v>2025</v>
      </c>
      <c r="T186" s="57" t="n">
        <f aca="false">IF(ISNUMBER(A186),INT(MOD(MONTH(A186)-10,12)/3)+1,"")</f>
        <v>3</v>
      </c>
      <c r="U186" s="57" t="str">
        <f aca="false">IF(AND(I186&lt;&gt;"",D186&lt;&gt;"",OR(COUNTIFS(TransactionsData[Vendor ID],K186,TransactionsData[UEI],"&lt;&gt;"&amp;D186,TransactionsData[UEI],"?*")&gt;0,COUNTIFS(VendorGroups[Record ID],K186,VendorGroups[Source UEI],"&lt;&gt;"&amp;D186,VendorGroups[Source UEI],"?*")&gt;0)),"Conflicting vendor UEIs",IF(I186="",IF(COUNTA(A186,D186,F186:R186)&gt;0,"Missing transaction ID",""),IF(COUNTIFS(TransactionsData[Transaction ID],I186)&lt;&gt;1,"Duplicate transaction ID",IF(OR(NOT(ISNUMBER(A186)),A186&lt;1,A186&gt;DATE(2099,1,1)),"Use a valid date",IF(OR(A186&lt;$B$4,A186&gt;$D$4),"Outside coverage",IF(NOT(ISNUMBER(F186)),"Missing or invalid amount",IF(OR(K186="",L186="",N186=""),"Add vendor and office identities",IF(G186="Exclude",IF(OR(F186&lt;&gt;0,H186=""),"Review nonzero or unexplained exclusion",""),IF(G186&lt;&gt;"Include","Choose Include or Exclude",IF(COUNTIFS(AwardsData[Award ID],J186)&lt;&gt;1,"Award link needs review",IF(INDEX(AwardsData[Input check],MATCH(J186,AwardsData[Award ID],0))&lt;&gt;"","Check award inputs","")))))))))))</f>
        <v/>
      </c>
      <c r="V186" s="57" t="n">
        <f aca="false">IF(AND(I186&lt;&gt;"",U186="",G186="Include"),1,0)</f>
        <v>1</v>
      </c>
      <c r="W186" s="57" t="str">
        <f aca="false">IF(I186="","",IF(COUNTIFS(AwardsData[Award ID],J186)=1,INDEX(AwardsData[Current award type],MATCH(J186,AwardsData[Award ID],0)),"Unlinked"))</f>
        <v>BPA Call</v>
      </c>
      <c r="X186" s="57" t="str">
        <f aca="false">IF(I186="","",IF(COUNTIFS(AwardsData[Award ID],J186)=1,INDEX(AwardsData[Current set-aside],MATCH(J186,AwardsData[Award ID],0)),"Unlinked"))</f>
        <v>No Set-Aside Used</v>
      </c>
      <c r="Y186" s="57" t="str">
        <f aca="false">IF(I186="","",IF(COUNTIFS(AwardsData[Award ID],J186)=1,INDEX(AwardsData[Performance state],MATCH(J186,AwardsData[Award ID],0)),"Unlinked"))</f>
        <v>Virginia</v>
      </c>
      <c r="Z186" s="57" t="n">
        <f aca="false">IF(AND(V186=1,OR(Dashboard!$AB$2="All",K186=Dashboard!$AB$2),OR(Dashboard!$AB$3="All",L186=Dashboard!$AB$3),OR(Dashboard!$N$10="All",W186=Dashboard!$N$10)),1,0)</f>
        <v>1</v>
      </c>
      <c r="AA186" s="57" t="n">
        <f aca="false">IF(AND(Z186=1,OR(Dashboard!$B$7="All",S186=Dashboard!$B$7)),1,0)</f>
        <v>1</v>
      </c>
      <c r="AB186" s="57" t="n">
        <f aca="false">IF(AND(V186=1,F186&lt;&gt;0),1,0)</f>
        <v>1</v>
      </c>
      <c r="AC186" s="57" t="n">
        <f aca="false">IF(AND(AA186=1,AB186=1),IF(COUNTIFS($J$17:J186,J186,$AA$17:AA186,1,$AB$17:AB186,1)=1,1,0),0)</f>
        <v>0</v>
      </c>
      <c r="AD186" s="57" t="n">
        <f aca="false">IF(AND(AA186=1,AB186=1),IF(COUNTIFS($K$17:K186,K186,$AA$17:AA186,1,$AB$17:AB186,1)=1,1,0),0)</f>
        <v>0</v>
      </c>
      <c r="AE186" s="57" t="n">
        <f aca="false">IF(AND(Z186=1,AB186=1),IF(COUNTIFS($J$17:J186,J186,$S$17:S186,S186,$Z$17:Z186,1,$AB$17:AB186,1)=1,1,0),0)</f>
        <v>0</v>
      </c>
      <c r="AF186" s="57" t="n">
        <f aca="false">IF(AND(Z186=1,AB186=1),IF(COUNTIFS($K$17:K186,K186,$S$17:S186,S186,$Z$17:Z186,1,$AB$17:AB186,1)=1,1,0),0)</f>
        <v>0</v>
      </c>
      <c r="AG186" s="57" t="n">
        <f aca="false">IF(AND(AA186=1,AB186=1),IF(COUNTIFS($J$17:J186,J186,$L$17:L186,L186,$AA$17:AA186,1,$AB$17:AB186,1)=1,1,0),0)</f>
        <v>0</v>
      </c>
      <c r="AH186" s="57" t="n">
        <f aca="false">IF(AND(AA186=1,AB186=1),IF(COUNTIFS($J$17:J186,J186,$K$17:K186,K186,$AA$17:AA186,1,$AB$17:AB186,1)=1,1,0),0)</f>
        <v>0</v>
      </c>
      <c r="AI186" s="56" t="n">
        <f aca="false">IF(V186=1,MAX(F186,0),0)</f>
        <v>0</v>
      </c>
      <c r="AJ186" s="56" t="n">
        <f aca="false">IF(V186=1,MIN(F186,0),0)</f>
        <v>-881681.62</v>
      </c>
    </row>
    <row r="187" customFormat="false" ht="40" hidden="false" customHeight="true" outlineLevel="0" collapsed="false">
      <c r="A187" s="66" t="n">
        <v>45772</v>
      </c>
      <c r="B187" s="54" t="str">
        <f aca="false">IF(M187="","",IF(P187="",M187,HYPERLINK(P187,M187)))</f>
        <v>GS35F337BA-49100421F0078</v>
      </c>
      <c r="C187" s="54" t="str">
        <f aca="false">IF(N187="","",IF(Q187="",N187,HYPERLINK(Q187,N187)))</f>
        <v>Civicactions, Inc.</v>
      </c>
      <c r="D187" s="60" t="s">
        <v>115</v>
      </c>
      <c r="E187" s="54" t="str">
        <f aca="false">IF(O187="","",IF(R187="",O187,HYPERLINK(R187,O187)))</f>
        <v>NSF — office not specified</v>
      </c>
      <c r="F187" s="62" t="n">
        <v>0</v>
      </c>
      <c r="G187" s="61" t="s">
        <v>464</v>
      </c>
      <c r="H187" s="58"/>
      <c r="I187" s="58" t="s">
        <v>638</v>
      </c>
      <c r="J187" s="58" t="s">
        <v>414</v>
      </c>
      <c r="K187" s="58" t="s">
        <v>113</v>
      </c>
      <c r="L187" s="58" t="s">
        <v>213</v>
      </c>
      <c r="M187" s="58" t="s">
        <v>415</v>
      </c>
      <c r="N187" s="58" t="s">
        <v>114</v>
      </c>
      <c r="O187" s="58" t="s">
        <v>214</v>
      </c>
      <c r="P187" s="58" t="s">
        <v>416</v>
      </c>
      <c r="Q187" s="58" t="s">
        <v>116</v>
      </c>
      <c r="R187" s="58" t="s">
        <v>215</v>
      </c>
      <c r="S187" s="57" t="n">
        <f aca="false">IF(ISNUMBER(A187),YEAR(A187)+IF(MONTH(A187)&gt;=10,1,0),"")</f>
        <v>2025</v>
      </c>
      <c r="T187" s="57" t="n">
        <f aca="false">IF(ISNUMBER(A187),INT(MOD(MONTH(A187)-10,12)/3)+1,"")</f>
        <v>3</v>
      </c>
      <c r="U187" s="57" t="str">
        <f aca="false">IF(AND(I187&lt;&gt;"",D187&lt;&gt;"",OR(COUNTIFS(TransactionsData[Vendor ID],K187,TransactionsData[UEI],"&lt;&gt;"&amp;D187,TransactionsData[UEI],"?*")&gt;0,COUNTIFS(VendorGroups[Record ID],K187,VendorGroups[Source UEI],"&lt;&gt;"&amp;D187,VendorGroups[Source UEI],"?*")&gt;0)),"Conflicting vendor UEIs",IF(I187="",IF(COUNTA(A187,D187,F187:R187)&gt;0,"Missing transaction ID",""),IF(COUNTIFS(TransactionsData[Transaction ID],I187)&lt;&gt;1,"Duplicate transaction ID",IF(OR(NOT(ISNUMBER(A187)),A187&lt;1,A187&gt;DATE(2099,1,1)),"Use a valid date",IF(OR(A187&lt;$B$4,A187&gt;$D$4),"Outside coverage",IF(NOT(ISNUMBER(F187)),"Missing or invalid amount",IF(OR(K187="",L187="",N187=""),"Add vendor and office identities",IF(G187="Exclude",IF(OR(F187&lt;&gt;0,H187=""),"Review nonzero or unexplained exclusion",""),IF(G187&lt;&gt;"Include","Choose Include or Exclude",IF(COUNTIFS(AwardsData[Award ID],J187)&lt;&gt;1,"Award link needs review",IF(INDEX(AwardsData[Input check],MATCH(J187,AwardsData[Award ID],0))&lt;&gt;"","Check award inputs","")))))))))))</f>
        <v/>
      </c>
      <c r="V187" s="57" t="n">
        <f aca="false">IF(AND(I187&lt;&gt;"",U187="",G187="Include"),1,0)</f>
        <v>1</v>
      </c>
      <c r="W187" s="57" t="str">
        <f aca="false">IF(I187="","",IF(COUNTIFS(AwardsData[Award ID],J187)=1,INDEX(AwardsData[Current award type],MATCH(J187,AwardsData[Award ID],0)),"Unlinked"))</f>
        <v>Delivery Order</v>
      </c>
      <c r="X187" s="57" t="str">
        <f aca="false">IF(I187="","",IF(COUNTIFS(AwardsData[Award ID],J187)=1,INDEX(AwardsData[Current set-aside],MATCH(J187,AwardsData[Award ID],0)),"Unlinked"))</f>
        <v>Total Small Business</v>
      </c>
      <c r="Y187" s="57" t="str">
        <f aca="false">IF(I187="","",IF(COUNTIFS(AwardsData[Award ID],J187)=1,INDEX(AwardsData[Performance state],MATCH(J187,AwardsData[Award ID],0)),"Unlinked"))</f>
        <v>California</v>
      </c>
      <c r="Z187" s="57" t="n">
        <f aca="false">IF(AND(V187=1,OR(Dashboard!$AB$2="All",K187=Dashboard!$AB$2),OR(Dashboard!$AB$3="All",L187=Dashboard!$AB$3),OR(Dashboard!$N$10="All",W187=Dashboard!$N$10)),1,0)</f>
        <v>1</v>
      </c>
      <c r="AA187" s="57" t="n">
        <f aca="false">IF(AND(Z187=1,OR(Dashboard!$B$7="All",S187=Dashboard!$B$7)),1,0)</f>
        <v>1</v>
      </c>
      <c r="AB187" s="57" t="n">
        <f aca="false">IF(AND(V187=1,F187&lt;&gt;0),1,0)</f>
        <v>0</v>
      </c>
      <c r="AC187" s="57" t="n">
        <f aca="false">IF(AND(AA187=1,AB187=1),IF(COUNTIFS($J$17:J187,J187,$AA$17:AA187,1,$AB$17:AB187,1)=1,1,0),0)</f>
        <v>0</v>
      </c>
      <c r="AD187" s="57" t="n">
        <f aca="false">IF(AND(AA187=1,AB187=1),IF(COUNTIFS($K$17:K187,K187,$AA$17:AA187,1,$AB$17:AB187,1)=1,1,0),0)</f>
        <v>0</v>
      </c>
      <c r="AE187" s="57" t="n">
        <f aca="false">IF(AND(Z187=1,AB187=1),IF(COUNTIFS($J$17:J187,J187,$S$17:S187,S187,$Z$17:Z187,1,$AB$17:AB187,1)=1,1,0),0)</f>
        <v>0</v>
      </c>
      <c r="AF187" s="57" t="n">
        <f aca="false">IF(AND(Z187=1,AB187=1),IF(COUNTIFS($K$17:K187,K187,$S$17:S187,S187,$Z$17:Z187,1,$AB$17:AB187,1)=1,1,0),0)</f>
        <v>0</v>
      </c>
      <c r="AG187" s="57" t="n">
        <f aca="false">IF(AND(AA187=1,AB187=1),IF(COUNTIFS($J$17:J187,J187,$L$17:L187,L187,$AA$17:AA187,1,$AB$17:AB187,1)=1,1,0),0)</f>
        <v>0</v>
      </c>
      <c r="AH187" s="57" t="n">
        <f aca="false">IF(AND(AA187=1,AB187=1),IF(COUNTIFS($J$17:J187,J187,$K$17:K187,K187,$AA$17:AA187,1,$AB$17:AB187,1)=1,1,0),0)</f>
        <v>0</v>
      </c>
      <c r="AI187" s="56" t="n">
        <f aca="false">IF(V187=1,MAX(F187,0),0)</f>
        <v>0</v>
      </c>
      <c r="AJ187" s="56" t="n">
        <f aca="false">IF(V187=1,MIN(F187,0),0)</f>
        <v>0</v>
      </c>
    </row>
    <row r="188" customFormat="false" ht="40" hidden="false" customHeight="true" outlineLevel="0" collapsed="false">
      <c r="A188" s="66" t="n">
        <v>45775</v>
      </c>
      <c r="B188" s="54" t="str">
        <f aca="false">IF(M188="","",IF(P188="",M188,HYPERLINK(P188,M188)))</f>
        <v>49100424C0027</v>
      </c>
      <c r="C188" s="54" t="str">
        <f aca="false">IF(N188="","",IF(Q188="",N188,HYPERLINK(Q188,N188)))</f>
        <v>Montage + Magnum, LLC</v>
      </c>
      <c r="D188" s="60" t="s">
        <v>149</v>
      </c>
      <c r="E188" s="54" t="str">
        <f aca="false">IF(O188="","",IF(R188="",O188,HYPERLINK(R188,O188)))</f>
        <v>National Center for Science and Engineering Statistics</v>
      </c>
      <c r="F188" s="62" t="n">
        <v>0</v>
      </c>
      <c r="G188" s="61" t="s">
        <v>464</v>
      </c>
      <c r="H188" s="58"/>
      <c r="I188" s="58" t="s">
        <v>639</v>
      </c>
      <c r="J188" s="58" t="s">
        <v>398</v>
      </c>
      <c r="K188" s="58" t="s">
        <v>149</v>
      </c>
      <c r="L188" s="58" t="s">
        <v>205</v>
      </c>
      <c r="M188" s="58" t="s">
        <v>398</v>
      </c>
      <c r="N188" s="58" t="s">
        <v>150</v>
      </c>
      <c r="O188" s="58" t="s">
        <v>206</v>
      </c>
      <c r="P188" s="58" t="s">
        <v>399</v>
      </c>
      <c r="Q188" s="58" t="s">
        <v>151</v>
      </c>
      <c r="R188" s="58" t="s">
        <v>208</v>
      </c>
      <c r="S188" s="57" t="n">
        <f aca="false">IF(ISNUMBER(A188),YEAR(A188)+IF(MONTH(A188)&gt;=10,1,0),"")</f>
        <v>2025</v>
      </c>
      <c r="T188" s="57" t="n">
        <f aca="false">IF(ISNUMBER(A188),INT(MOD(MONTH(A188)-10,12)/3)+1,"")</f>
        <v>3</v>
      </c>
      <c r="U188" s="57" t="str">
        <f aca="false">IF(AND(I188&lt;&gt;"",D188&lt;&gt;"",OR(COUNTIFS(TransactionsData[Vendor ID],K188,TransactionsData[UEI],"&lt;&gt;"&amp;D188,TransactionsData[UEI],"?*")&gt;0,COUNTIFS(VendorGroups[Record ID],K188,VendorGroups[Source UEI],"&lt;&gt;"&amp;D188,VendorGroups[Source UEI],"?*")&gt;0)),"Conflicting vendor UEIs",IF(I188="",IF(COUNTA(A188,D188,F188:R188)&gt;0,"Missing transaction ID",""),IF(COUNTIFS(TransactionsData[Transaction ID],I188)&lt;&gt;1,"Duplicate transaction ID",IF(OR(NOT(ISNUMBER(A188)),A188&lt;1,A188&gt;DATE(2099,1,1)),"Use a valid date",IF(OR(A188&lt;$B$4,A188&gt;$D$4),"Outside coverage",IF(NOT(ISNUMBER(F188)),"Missing or invalid amount",IF(OR(K188="",L188="",N188=""),"Add vendor and office identities",IF(G188="Exclude",IF(OR(F188&lt;&gt;0,H188=""),"Review nonzero or unexplained exclusion",""),IF(G188&lt;&gt;"Include","Choose Include or Exclude",IF(COUNTIFS(AwardsData[Award ID],J188)&lt;&gt;1,"Award link needs review",IF(INDEX(AwardsData[Input check],MATCH(J188,AwardsData[Award ID],0))&lt;&gt;"","Check award inputs","")))))))))))</f>
        <v/>
      </c>
      <c r="V188" s="57" t="n">
        <f aca="false">IF(AND(I188&lt;&gt;"",U188="",G188="Include"),1,0)</f>
        <v>1</v>
      </c>
      <c r="W188" s="57" t="str">
        <f aca="false">IF(I188="","",IF(COUNTIFS(AwardsData[Award ID],J188)=1,INDEX(AwardsData[Current award type],MATCH(J188,AwardsData[Award ID],0)),"Unlinked"))</f>
        <v>Definitive Contract</v>
      </c>
      <c r="X188" s="57" t="str">
        <f aca="false">IF(I188="","",IF(COUNTIFS(AwardsData[Award ID],J188)=1,INDEX(AwardsData[Current set-aside],MATCH(J188,AwardsData[Award ID],0)),"Unlinked"))</f>
        <v>No Set-Aside Used</v>
      </c>
      <c r="Y188" s="57" t="str">
        <f aca="false">IF(I188="","",IF(COUNTIFS(AwardsData[Award ID],J188)=1,INDEX(AwardsData[Performance state],MATCH(J188,AwardsData[Award ID],0)),"Unlinked"))</f>
        <v>Virginia</v>
      </c>
      <c r="Z188" s="57" t="n">
        <f aca="false">IF(AND(V188=1,OR(Dashboard!$AB$2="All",K188=Dashboard!$AB$2),OR(Dashboard!$AB$3="All",L188=Dashboard!$AB$3),OR(Dashboard!$N$10="All",W188=Dashboard!$N$10)),1,0)</f>
        <v>1</v>
      </c>
      <c r="AA188" s="57" t="n">
        <f aca="false">IF(AND(Z188=1,OR(Dashboard!$B$7="All",S188=Dashboard!$B$7)),1,0)</f>
        <v>1</v>
      </c>
      <c r="AB188" s="57" t="n">
        <f aca="false">IF(AND(V188=1,F188&lt;&gt;0),1,0)</f>
        <v>0</v>
      </c>
      <c r="AC188" s="57" t="n">
        <f aca="false">IF(AND(AA188=1,AB188=1),IF(COUNTIFS($J$17:J188,J188,$AA$17:AA188,1,$AB$17:AB188,1)=1,1,0),0)</f>
        <v>0</v>
      </c>
      <c r="AD188" s="57" t="n">
        <f aca="false">IF(AND(AA188=1,AB188=1),IF(COUNTIFS($K$17:K188,K188,$AA$17:AA188,1,$AB$17:AB188,1)=1,1,0),0)</f>
        <v>0</v>
      </c>
      <c r="AE188" s="57" t="n">
        <f aca="false">IF(AND(Z188=1,AB188=1),IF(COUNTIFS($J$17:J188,J188,$S$17:S188,S188,$Z$17:Z188,1,$AB$17:AB188,1)=1,1,0),0)</f>
        <v>0</v>
      </c>
      <c r="AF188" s="57" t="n">
        <f aca="false">IF(AND(Z188=1,AB188=1),IF(COUNTIFS($K$17:K188,K188,$S$17:S188,S188,$Z$17:Z188,1,$AB$17:AB188,1)=1,1,0),0)</f>
        <v>0</v>
      </c>
      <c r="AG188" s="57" t="n">
        <f aca="false">IF(AND(AA188=1,AB188=1),IF(COUNTIFS($J$17:J188,J188,$L$17:L188,L188,$AA$17:AA188,1,$AB$17:AB188,1)=1,1,0),0)</f>
        <v>0</v>
      </c>
      <c r="AH188" s="57" t="n">
        <f aca="false">IF(AND(AA188=1,AB188=1),IF(COUNTIFS($J$17:J188,J188,$K$17:K188,K188,$AA$17:AA188,1,$AB$17:AB188,1)=1,1,0),0)</f>
        <v>0</v>
      </c>
      <c r="AI188" s="56" t="n">
        <f aca="false">IF(V188=1,MAX(F188,0),0)</f>
        <v>0</v>
      </c>
      <c r="AJ188" s="56" t="n">
        <f aca="false">IF(V188=1,MIN(F188,0),0)</f>
        <v>0</v>
      </c>
    </row>
    <row r="189" customFormat="false" ht="40" hidden="false" customHeight="true" outlineLevel="0" collapsed="false">
      <c r="A189" s="66" t="n">
        <v>45783</v>
      </c>
      <c r="B189" s="54" t="str">
        <f aca="false">IF(M189="","",IF(P189="",M189,HYPERLINK(P189,M189)))</f>
        <v>47QTCK18D0004-49100424F0001</v>
      </c>
      <c r="C189" s="54" t="str">
        <f aca="false">IF(N189="","",IF(Q189="",N189,HYPERLINK(Q189,N189)))</f>
        <v>Booz Allen Hamilton Inc.</v>
      </c>
      <c r="D189" s="60" t="s">
        <v>111</v>
      </c>
      <c r="E189" s="54" t="str">
        <f aca="false">IF(O189="","",IF(R189="",O189,HYPERLINK(R189,O189)))</f>
        <v>NSF — office not specified</v>
      </c>
      <c r="F189" s="62" t="n">
        <v>5500000</v>
      </c>
      <c r="G189" s="61" t="s">
        <v>464</v>
      </c>
      <c r="H189" s="58"/>
      <c r="I189" s="58" t="s">
        <v>640</v>
      </c>
      <c r="J189" s="58" t="s">
        <v>297</v>
      </c>
      <c r="K189" s="58" t="s">
        <v>109</v>
      </c>
      <c r="L189" s="58" t="s">
        <v>213</v>
      </c>
      <c r="M189" s="58" t="s">
        <v>298</v>
      </c>
      <c r="N189" s="58" t="s">
        <v>110</v>
      </c>
      <c r="O189" s="58" t="s">
        <v>214</v>
      </c>
      <c r="P189" s="58" t="s">
        <v>299</v>
      </c>
      <c r="Q189" s="58" t="s">
        <v>112</v>
      </c>
      <c r="R189" s="58" t="s">
        <v>215</v>
      </c>
      <c r="S189" s="57" t="n">
        <f aca="false">IF(ISNUMBER(A189),YEAR(A189)+IF(MONTH(A189)&gt;=10,1,0),"")</f>
        <v>2025</v>
      </c>
      <c r="T189" s="57" t="n">
        <f aca="false">IF(ISNUMBER(A189),INT(MOD(MONTH(A189)-10,12)/3)+1,"")</f>
        <v>3</v>
      </c>
      <c r="U189" s="57" t="str">
        <f aca="false">IF(AND(I189&lt;&gt;"",D189&lt;&gt;"",OR(COUNTIFS(TransactionsData[Vendor ID],K189,TransactionsData[UEI],"&lt;&gt;"&amp;D189,TransactionsData[UEI],"?*")&gt;0,COUNTIFS(VendorGroups[Record ID],K189,VendorGroups[Source UEI],"&lt;&gt;"&amp;D189,VendorGroups[Source UEI],"?*")&gt;0)),"Conflicting vendor UEIs",IF(I189="",IF(COUNTA(A189,D189,F189:R189)&gt;0,"Missing transaction ID",""),IF(COUNTIFS(TransactionsData[Transaction ID],I189)&lt;&gt;1,"Duplicate transaction ID",IF(OR(NOT(ISNUMBER(A189)),A189&lt;1,A189&gt;DATE(2099,1,1)),"Use a valid date",IF(OR(A189&lt;$B$4,A189&gt;$D$4),"Outside coverage",IF(NOT(ISNUMBER(F189)),"Missing or invalid amount",IF(OR(K189="",L189="",N189=""),"Add vendor and office identities",IF(G189="Exclude",IF(OR(F189&lt;&gt;0,H189=""),"Review nonzero or unexplained exclusion",""),IF(G189&lt;&gt;"Include","Choose Include or Exclude",IF(COUNTIFS(AwardsData[Award ID],J189)&lt;&gt;1,"Award link needs review",IF(INDEX(AwardsData[Input check],MATCH(J189,AwardsData[Award ID],0))&lt;&gt;"","Check award inputs","")))))))))))</f>
        <v/>
      </c>
      <c r="V189" s="57" t="n">
        <f aca="false">IF(AND(I189&lt;&gt;"",U189="",G189="Include"),1,0)</f>
        <v>1</v>
      </c>
      <c r="W189" s="57" t="str">
        <f aca="false">IF(I189="","",IF(COUNTIFS(AwardsData[Award ID],J189)=1,INDEX(AwardsData[Current award type],MATCH(J189,AwardsData[Award ID],0)),"Unlinked"))</f>
        <v>Delivery Order</v>
      </c>
      <c r="X189" s="57" t="str">
        <f aca="false">IF(I189="","",IF(COUNTIFS(AwardsData[Award ID],J189)=1,INDEX(AwardsData[Current set-aside],MATCH(J189,AwardsData[Award ID],0)),"Unlinked"))</f>
        <v>No Set-Aside Used</v>
      </c>
      <c r="Y189" s="57" t="str">
        <f aca="false">IF(I189="","",IF(COUNTIFS(AwardsData[Award ID],J189)=1,INDEX(AwardsData[Performance state],MATCH(J189,AwardsData[Award ID],0)),"Unlinked"))</f>
        <v>Virginia</v>
      </c>
      <c r="Z189" s="57" t="n">
        <f aca="false">IF(AND(V189=1,OR(Dashboard!$AB$2="All",K189=Dashboard!$AB$2),OR(Dashboard!$AB$3="All",L189=Dashboard!$AB$3),OR(Dashboard!$N$10="All",W189=Dashboard!$N$10)),1,0)</f>
        <v>1</v>
      </c>
      <c r="AA189" s="57" t="n">
        <f aca="false">IF(AND(Z189=1,OR(Dashboard!$B$7="All",S189=Dashboard!$B$7)),1,0)</f>
        <v>1</v>
      </c>
      <c r="AB189" s="57" t="n">
        <f aca="false">IF(AND(V189=1,F189&lt;&gt;0),1,0)</f>
        <v>1</v>
      </c>
      <c r="AC189" s="57" t="n">
        <f aca="false">IF(AND(AA189=1,AB189=1),IF(COUNTIFS($J$17:J189,J189,$AA$17:AA189,1,$AB$17:AB189,1)=1,1,0),0)</f>
        <v>0</v>
      </c>
      <c r="AD189" s="57" t="n">
        <f aca="false">IF(AND(AA189=1,AB189=1),IF(COUNTIFS($K$17:K189,K189,$AA$17:AA189,1,$AB$17:AB189,1)=1,1,0),0)</f>
        <v>0</v>
      </c>
      <c r="AE189" s="57" t="n">
        <f aca="false">IF(AND(Z189=1,AB189=1),IF(COUNTIFS($J$17:J189,J189,$S$17:S189,S189,$Z$17:Z189,1,$AB$17:AB189,1)=1,1,0),0)</f>
        <v>0</v>
      </c>
      <c r="AF189" s="57" t="n">
        <f aca="false">IF(AND(Z189=1,AB189=1),IF(COUNTIFS($K$17:K189,K189,$S$17:S189,S189,$Z$17:Z189,1,$AB$17:AB189,1)=1,1,0),0)</f>
        <v>0</v>
      </c>
      <c r="AG189" s="57" t="n">
        <f aca="false">IF(AND(AA189=1,AB189=1),IF(COUNTIFS($J$17:J189,J189,$L$17:L189,L189,$AA$17:AA189,1,$AB$17:AB189,1)=1,1,0),0)</f>
        <v>0</v>
      </c>
      <c r="AH189" s="57" t="n">
        <f aca="false">IF(AND(AA189=1,AB189=1),IF(COUNTIFS($J$17:J189,J189,$K$17:K189,K189,$AA$17:AA189,1,$AB$17:AB189,1)=1,1,0),0)</f>
        <v>0</v>
      </c>
      <c r="AI189" s="56" t="n">
        <f aca="false">IF(V189=1,MAX(F189,0),0)</f>
        <v>5500000</v>
      </c>
      <c r="AJ189" s="56" t="n">
        <f aca="false">IF(V189=1,MIN(F189,0),0)</f>
        <v>0</v>
      </c>
    </row>
    <row r="190" customFormat="false" ht="40" hidden="false" customHeight="true" outlineLevel="0" collapsed="false">
      <c r="A190" s="66" t="n">
        <v>45786</v>
      </c>
      <c r="B190" s="54" t="str">
        <f aca="false">IF(M190="","",IF(P190="",M190,HYPERLINK(P190,M190)))</f>
        <v>47QTCB21D0271-49100424F0075</v>
      </c>
      <c r="C190" s="54" t="str">
        <f aca="false">IF(N190="","",IF(Q190="",N190,HYPERLINK(Q190,N190)))</f>
        <v>Expediteinfotech, Inc.</v>
      </c>
      <c r="D190" s="60" t="s">
        <v>127</v>
      </c>
      <c r="E190" s="54" t="str">
        <f aca="false">IF(O190="","",IF(R190="",O190,HYPERLINK(R190,O190)))</f>
        <v>Directorate for Engineering</v>
      </c>
      <c r="F190" s="62" t="n">
        <v>228047.63</v>
      </c>
      <c r="G190" s="61" t="s">
        <v>464</v>
      </c>
      <c r="H190" s="58"/>
      <c r="I190" s="58" t="s">
        <v>641</v>
      </c>
      <c r="J190" s="58" t="s">
        <v>289</v>
      </c>
      <c r="K190" s="58" t="s">
        <v>125</v>
      </c>
      <c r="L190" s="58" t="s">
        <v>181</v>
      </c>
      <c r="M190" s="58" t="s">
        <v>290</v>
      </c>
      <c r="N190" s="58" t="s">
        <v>126</v>
      </c>
      <c r="O190" s="58" t="s">
        <v>182</v>
      </c>
      <c r="P190" s="58" t="s">
        <v>291</v>
      </c>
      <c r="Q190" s="58" t="s">
        <v>128</v>
      </c>
      <c r="R190" s="58" t="s">
        <v>184</v>
      </c>
      <c r="S190" s="57" t="n">
        <f aca="false">IF(ISNUMBER(A190),YEAR(A190)+IF(MONTH(A190)&gt;=10,1,0),"")</f>
        <v>2025</v>
      </c>
      <c r="T190" s="57" t="n">
        <f aca="false">IF(ISNUMBER(A190),INT(MOD(MONTH(A190)-10,12)/3)+1,"")</f>
        <v>3</v>
      </c>
      <c r="U190" s="57" t="str">
        <f aca="false">IF(AND(I190&lt;&gt;"",D190&lt;&gt;"",OR(COUNTIFS(TransactionsData[Vendor ID],K190,TransactionsData[UEI],"&lt;&gt;"&amp;D190,TransactionsData[UEI],"?*")&gt;0,COUNTIFS(VendorGroups[Record ID],K190,VendorGroups[Source UEI],"&lt;&gt;"&amp;D190,VendorGroups[Source UEI],"?*")&gt;0)),"Conflicting vendor UEIs",IF(I190="",IF(COUNTA(A190,D190,F190:R190)&gt;0,"Missing transaction ID",""),IF(COUNTIFS(TransactionsData[Transaction ID],I190)&lt;&gt;1,"Duplicate transaction ID",IF(OR(NOT(ISNUMBER(A190)),A190&lt;1,A190&gt;DATE(2099,1,1)),"Use a valid date",IF(OR(A190&lt;$B$4,A190&gt;$D$4),"Outside coverage",IF(NOT(ISNUMBER(F190)),"Missing or invalid amount",IF(OR(K190="",L190="",N190=""),"Add vendor and office identities",IF(G190="Exclude",IF(OR(F190&lt;&gt;0,H190=""),"Review nonzero or unexplained exclusion",""),IF(G190&lt;&gt;"Include","Choose Include or Exclude",IF(COUNTIFS(AwardsData[Award ID],J190)&lt;&gt;1,"Award link needs review",IF(INDEX(AwardsData[Input check],MATCH(J190,AwardsData[Award ID],0))&lt;&gt;"","Check award inputs","")))))))))))</f>
        <v/>
      </c>
      <c r="V190" s="57" t="n">
        <f aca="false">IF(AND(I190&lt;&gt;"",U190="",G190="Include"),1,0)</f>
        <v>1</v>
      </c>
      <c r="W190" s="57" t="str">
        <f aca="false">IF(I190="","",IF(COUNTIFS(AwardsData[Award ID],J190)=1,INDEX(AwardsData[Current award type],MATCH(J190,AwardsData[Award ID],0)),"Unlinked"))</f>
        <v>Delivery Order</v>
      </c>
      <c r="X190" s="57" t="str">
        <f aca="false">IF(I190="","",IF(COUNTIFS(AwardsData[Award ID],J190)=1,INDEX(AwardsData[Current set-aside],MATCH(J190,AwardsData[Award ID],0)),"Unlinked"))</f>
        <v>Competitive 8(a)</v>
      </c>
      <c r="Y190" s="57" t="str">
        <f aca="false">IF(I190="","",IF(COUNTIFS(AwardsData[Award ID],J190)=1,INDEX(AwardsData[Performance state],MATCH(J190,AwardsData[Award ID],0)),"Unlinked"))</f>
        <v>Maryland</v>
      </c>
      <c r="Z190" s="57" t="n">
        <f aca="false">IF(AND(V190=1,OR(Dashboard!$AB$2="All",K190=Dashboard!$AB$2),OR(Dashboard!$AB$3="All",L190=Dashboard!$AB$3),OR(Dashboard!$N$10="All",W190=Dashboard!$N$10)),1,0)</f>
        <v>1</v>
      </c>
      <c r="AA190" s="57" t="n">
        <f aca="false">IF(AND(Z190=1,OR(Dashboard!$B$7="All",S190=Dashboard!$B$7)),1,0)</f>
        <v>1</v>
      </c>
      <c r="AB190" s="57" t="n">
        <f aca="false">IF(AND(V190=1,F190&lt;&gt;0),1,0)</f>
        <v>1</v>
      </c>
      <c r="AC190" s="57" t="n">
        <f aca="false">IF(AND(AA190=1,AB190=1),IF(COUNTIFS($J$17:J190,J190,$AA$17:AA190,1,$AB$17:AB190,1)=1,1,0),0)</f>
        <v>0</v>
      </c>
      <c r="AD190" s="57" t="n">
        <f aca="false">IF(AND(AA190=1,AB190=1),IF(COUNTIFS($K$17:K190,K190,$AA$17:AA190,1,$AB$17:AB190,1)=1,1,0),0)</f>
        <v>0</v>
      </c>
      <c r="AE190" s="57" t="n">
        <f aca="false">IF(AND(Z190=1,AB190=1),IF(COUNTIFS($J$17:J190,J190,$S$17:S190,S190,$Z$17:Z190,1,$AB$17:AB190,1)=1,1,0),0)</f>
        <v>0</v>
      </c>
      <c r="AF190" s="57" t="n">
        <f aca="false">IF(AND(Z190=1,AB190=1),IF(COUNTIFS($K$17:K190,K190,$S$17:S190,S190,$Z$17:Z190,1,$AB$17:AB190,1)=1,1,0),0)</f>
        <v>0</v>
      </c>
      <c r="AG190" s="57" t="n">
        <f aca="false">IF(AND(AA190=1,AB190=1),IF(COUNTIFS($J$17:J190,J190,$L$17:L190,L190,$AA$17:AA190,1,$AB$17:AB190,1)=1,1,0),0)</f>
        <v>0</v>
      </c>
      <c r="AH190" s="57" t="n">
        <f aca="false">IF(AND(AA190=1,AB190=1),IF(COUNTIFS($J$17:J190,J190,$K$17:K190,K190,$AA$17:AA190,1,$AB$17:AB190,1)=1,1,0),0)</f>
        <v>0</v>
      </c>
      <c r="AI190" s="56" t="n">
        <f aca="false">IF(V190=1,MAX(F190,0),0)</f>
        <v>228047.63</v>
      </c>
      <c r="AJ190" s="56" t="n">
        <f aca="false">IF(V190=1,MIN(F190,0),0)</f>
        <v>0</v>
      </c>
    </row>
    <row r="191" customFormat="false" ht="40" hidden="false" customHeight="true" outlineLevel="0" collapsed="false">
      <c r="A191" s="66" t="n">
        <v>45793</v>
      </c>
      <c r="B191" s="54" t="str">
        <f aca="false">IF(M191="","",IF(P191="",M191,HYPERLINK(P191,M191)))</f>
        <v>47QTCA18D008L-49100425F0010</v>
      </c>
      <c r="C191" s="54" t="str">
        <f aca="false">IF(N191="","",IF(Q191="",N191,HYPERLINK(Q191,N191)))</f>
        <v>Gartner, Inc.</v>
      </c>
      <c r="D191" s="60" t="s">
        <v>131</v>
      </c>
      <c r="E191" s="54" t="str">
        <f aca="false">IF(O191="","",IF(R191="",O191,HYPERLINK(R191,O191)))</f>
        <v>NSF — office not specified</v>
      </c>
      <c r="F191" s="62" t="n">
        <v>240528</v>
      </c>
      <c r="G191" s="61" t="s">
        <v>464</v>
      </c>
      <c r="H191" s="58"/>
      <c r="I191" s="58" t="s">
        <v>642</v>
      </c>
      <c r="J191" s="58" t="s">
        <v>254</v>
      </c>
      <c r="K191" s="58" t="s">
        <v>129</v>
      </c>
      <c r="L191" s="58" t="s">
        <v>213</v>
      </c>
      <c r="M191" s="58" t="s">
        <v>255</v>
      </c>
      <c r="N191" s="58" t="s">
        <v>130</v>
      </c>
      <c r="O191" s="58" t="s">
        <v>214</v>
      </c>
      <c r="P191" s="58" t="s">
        <v>256</v>
      </c>
      <c r="Q191" s="58" t="s">
        <v>132</v>
      </c>
      <c r="R191" s="58" t="s">
        <v>215</v>
      </c>
      <c r="S191" s="57" t="n">
        <f aca="false">IF(ISNUMBER(A191),YEAR(A191)+IF(MONTH(A191)&gt;=10,1,0),"")</f>
        <v>2025</v>
      </c>
      <c r="T191" s="57" t="n">
        <f aca="false">IF(ISNUMBER(A191),INT(MOD(MONTH(A191)-10,12)/3)+1,"")</f>
        <v>3</v>
      </c>
      <c r="U191" s="57" t="str">
        <f aca="false">IF(AND(I191&lt;&gt;"",D191&lt;&gt;"",OR(COUNTIFS(TransactionsData[Vendor ID],K191,TransactionsData[UEI],"&lt;&gt;"&amp;D191,TransactionsData[UEI],"?*")&gt;0,COUNTIFS(VendorGroups[Record ID],K191,VendorGroups[Source UEI],"&lt;&gt;"&amp;D191,VendorGroups[Source UEI],"?*")&gt;0)),"Conflicting vendor UEIs",IF(I191="",IF(COUNTA(A191,D191,F191:R191)&gt;0,"Missing transaction ID",""),IF(COUNTIFS(TransactionsData[Transaction ID],I191)&lt;&gt;1,"Duplicate transaction ID",IF(OR(NOT(ISNUMBER(A191)),A191&lt;1,A191&gt;DATE(2099,1,1)),"Use a valid date",IF(OR(A191&lt;$B$4,A191&gt;$D$4),"Outside coverage",IF(NOT(ISNUMBER(F191)),"Missing or invalid amount",IF(OR(K191="",L191="",N191=""),"Add vendor and office identities",IF(G191="Exclude",IF(OR(F191&lt;&gt;0,H191=""),"Review nonzero or unexplained exclusion",""),IF(G191&lt;&gt;"Include","Choose Include or Exclude",IF(COUNTIFS(AwardsData[Award ID],J191)&lt;&gt;1,"Award link needs review",IF(INDEX(AwardsData[Input check],MATCH(J191,AwardsData[Award ID],0))&lt;&gt;"","Check award inputs","")))))))))))</f>
        <v/>
      </c>
      <c r="V191" s="57" t="n">
        <f aca="false">IF(AND(I191&lt;&gt;"",U191="",G191="Include"),1,0)</f>
        <v>1</v>
      </c>
      <c r="W191" s="57" t="str">
        <f aca="false">IF(I191="","",IF(COUNTIFS(AwardsData[Award ID],J191)=1,INDEX(AwardsData[Current award type],MATCH(J191,AwardsData[Award ID],0)),"Unlinked"))</f>
        <v>Delivery Order</v>
      </c>
      <c r="X191" s="57" t="str">
        <f aca="false">IF(I191="","",IF(COUNTIFS(AwardsData[Award ID],J191)=1,INDEX(AwardsData[Current set-aside],MATCH(J191,AwardsData[Award ID],0)),"Unlinked"))</f>
        <v>No Set-Aside Used</v>
      </c>
      <c r="Y191" s="57" t="str">
        <f aca="false">IF(I191="","",IF(COUNTIFS(AwardsData[Award ID],J191)=1,INDEX(AwardsData[Performance state],MATCH(J191,AwardsData[Award ID],0)),"Unlinked"))</f>
        <v>Virginia</v>
      </c>
      <c r="Z191" s="57" t="n">
        <f aca="false">IF(AND(V191=1,OR(Dashboard!$AB$2="All",K191=Dashboard!$AB$2),OR(Dashboard!$AB$3="All",L191=Dashboard!$AB$3),OR(Dashboard!$N$10="All",W191=Dashboard!$N$10)),1,0)</f>
        <v>1</v>
      </c>
      <c r="AA191" s="57" t="n">
        <f aca="false">IF(AND(Z191=1,OR(Dashboard!$B$7="All",S191=Dashboard!$B$7)),1,0)</f>
        <v>1</v>
      </c>
      <c r="AB191" s="57" t="n">
        <f aca="false">IF(AND(V191=1,F191&lt;&gt;0),1,0)</f>
        <v>1</v>
      </c>
      <c r="AC191" s="57" t="n">
        <f aca="false">IF(AND(AA191=1,AB191=1),IF(COUNTIFS($J$17:J191,J191,$AA$17:AA191,1,$AB$17:AB191,1)=1,1,0),0)</f>
        <v>0</v>
      </c>
      <c r="AD191" s="57" t="n">
        <f aca="false">IF(AND(AA191=1,AB191=1),IF(COUNTIFS($K$17:K191,K191,$AA$17:AA191,1,$AB$17:AB191,1)=1,1,0),0)</f>
        <v>0</v>
      </c>
      <c r="AE191" s="57" t="n">
        <f aca="false">IF(AND(Z191=1,AB191=1),IF(COUNTIFS($J$17:J191,J191,$S$17:S191,S191,$Z$17:Z191,1,$AB$17:AB191,1)=1,1,0),0)</f>
        <v>0</v>
      </c>
      <c r="AF191" s="57" t="n">
        <f aca="false">IF(AND(Z191=1,AB191=1),IF(COUNTIFS($K$17:K191,K191,$S$17:S191,S191,$Z$17:Z191,1,$AB$17:AB191,1)=1,1,0),0)</f>
        <v>0</v>
      </c>
      <c r="AG191" s="57" t="n">
        <f aca="false">IF(AND(AA191=1,AB191=1),IF(COUNTIFS($J$17:J191,J191,$L$17:L191,L191,$AA$17:AA191,1,$AB$17:AB191,1)=1,1,0),0)</f>
        <v>0</v>
      </c>
      <c r="AH191" s="57" t="n">
        <f aca="false">IF(AND(AA191=1,AB191=1),IF(COUNTIFS($J$17:J191,J191,$K$17:K191,K191,$AA$17:AA191,1,$AB$17:AB191,1)=1,1,0),0)</f>
        <v>0</v>
      </c>
      <c r="AI191" s="56" t="n">
        <f aca="false">IF(V191=1,MAX(F191,0),0)</f>
        <v>240528</v>
      </c>
      <c r="AJ191" s="56" t="n">
        <f aca="false">IF(V191=1,MIN(F191,0),0)</f>
        <v>0</v>
      </c>
    </row>
    <row r="192" customFormat="false" ht="40" hidden="false" customHeight="true" outlineLevel="0" collapsed="false">
      <c r="A192" s="66" t="n">
        <v>45810</v>
      </c>
      <c r="B192" s="54" t="str">
        <f aca="false">IF(M192="","",IF(P192="",M192,HYPERLINK(P192,M192)))</f>
        <v>47QTCA23D0037-49100424F0196</v>
      </c>
      <c r="C192" s="54" t="str">
        <f aca="false">IF(N192="","",IF(Q192="",N192,HYPERLINK(Q192,N192)))</f>
        <v>Criterion Systems, L.L.C.</v>
      </c>
      <c r="D192" s="60" t="s">
        <v>119</v>
      </c>
      <c r="E192" s="54" t="str">
        <f aca="false">IF(O192="","",IF(R192="",O192,HYPERLINK(R192,O192)))</f>
        <v>NSF — office not specified</v>
      </c>
      <c r="F192" s="62" t="n">
        <v>469876.3</v>
      </c>
      <c r="G192" s="61" t="s">
        <v>464</v>
      </c>
      <c r="H192" s="58"/>
      <c r="I192" s="58" t="s">
        <v>643</v>
      </c>
      <c r="J192" s="58" t="s">
        <v>264</v>
      </c>
      <c r="K192" s="58" t="s">
        <v>117</v>
      </c>
      <c r="L192" s="58" t="s">
        <v>213</v>
      </c>
      <c r="M192" s="58" t="s">
        <v>265</v>
      </c>
      <c r="N192" s="58" t="s">
        <v>118</v>
      </c>
      <c r="O192" s="58" t="s">
        <v>214</v>
      </c>
      <c r="P192" s="58" t="s">
        <v>266</v>
      </c>
      <c r="Q192" s="58" t="s">
        <v>120</v>
      </c>
      <c r="R192" s="58" t="s">
        <v>215</v>
      </c>
      <c r="S192" s="57" t="n">
        <f aca="false">IF(ISNUMBER(A192),YEAR(A192)+IF(MONTH(A192)&gt;=10,1,0),"")</f>
        <v>2025</v>
      </c>
      <c r="T192" s="57" t="n">
        <f aca="false">IF(ISNUMBER(A192),INT(MOD(MONTH(A192)-10,12)/3)+1,"")</f>
        <v>3</v>
      </c>
      <c r="U192" s="57" t="str">
        <f aca="false">IF(AND(I192&lt;&gt;"",D192&lt;&gt;"",OR(COUNTIFS(TransactionsData[Vendor ID],K192,TransactionsData[UEI],"&lt;&gt;"&amp;D192,TransactionsData[UEI],"?*")&gt;0,COUNTIFS(VendorGroups[Record ID],K192,VendorGroups[Source UEI],"&lt;&gt;"&amp;D192,VendorGroups[Source UEI],"?*")&gt;0)),"Conflicting vendor UEIs",IF(I192="",IF(COUNTA(A192,D192,F192:R192)&gt;0,"Missing transaction ID",""),IF(COUNTIFS(TransactionsData[Transaction ID],I192)&lt;&gt;1,"Duplicate transaction ID",IF(OR(NOT(ISNUMBER(A192)),A192&lt;1,A192&gt;DATE(2099,1,1)),"Use a valid date",IF(OR(A192&lt;$B$4,A192&gt;$D$4),"Outside coverage",IF(NOT(ISNUMBER(F192)),"Missing or invalid amount",IF(OR(K192="",L192="",N192=""),"Add vendor and office identities",IF(G192="Exclude",IF(OR(F192&lt;&gt;0,H192=""),"Review nonzero or unexplained exclusion",""),IF(G192&lt;&gt;"Include","Choose Include or Exclude",IF(COUNTIFS(AwardsData[Award ID],J192)&lt;&gt;1,"Award link needs review",IF(INDEX(AwardsData[Input check],MATCH(J192,AwardsData[Award ID],0))&lt;&gt;"","Check award inputs","")))))))))))</f>
        <v/>
      </c>
      <c r="V192" s="57" t="n">
        <f aca="false">IF(AND(I192&lt;&gt;"",U192="",G192="Include"),1,0)</f>
        <v>1</v>
      </c>
      <c r="W192" s="57" t="str">
        <f aca="false">IF(I192="","",IF(COUNTIFS(AwardsData[Award ID],J192)=1,INDEX(AwardsData[Current award type],MATCH(J192,AwardsData[Award ID],0)),"Unlinked"))</f>
        <v>Delivery Order</v>
      </c>
      <c r="X192" s="57" t="str">
        <f aca="false">IF(I192="","",IF(COUNTIFS(AwardsData[Award ID],J192)=1,INDEX(AwardsData[Current set-aside],MATCH(J192,AwardsData[Award ID],0)),"Unlinked"))</f>
        <v>No Set-Aside Used</v>
      </c>
      <c r="Y192" s="57" t="str">
        <f aca="false">IF(I192="","",IF(COUNTIFS(AwardsData[Award ID],J192)=1,INDEX(AwardsData[Performance state],MATCH(J192,AwardsData[Award ID],0)),"Unlinked"))</f>
        <v>Virginia</v>
      </c>
      <c r="Z192" s="57" t="n">
        <f aca="false">IF(AND(V192=1,OR(Dashboard!$AB$2="All",K192=Dashboard!$AB$2),OR(Dashboard!$AB$3="All",L192=Dashboard!$AB$3),OR(Dashboard!$N$10="All",W192=Dashboard!$N$10)),1,0)</f>
        <v>1</v>
      </c>
      <c r="AA192" s="57" t="n">
        <f aca="false">IF(AND(Z192=1,OR(Dashboard!$B$7="All",S192=Dashboard!$B$7)),1,0)</f>
        <v>1</v>
      </c>
      <c r="AB192" s="57" t="n">
        <f aca="false">IF(AND(V192=1,F192&lt;&gt;0),1,0)</f>
        <v>1</v>
      </c>
      <c r="AC192" s="57" t="n">
        <f aca="false">IF(AND(AA192=1,AB192=1),IF(COUNTIFS($J$17:J192,J192,$AA$17:AA192,1,$AB$17:AB192,1)=1,1,0),0)</f>
        <v>0</v>
      </c>
      <c r="AD192" s="57" t="n">
        <f aca="false">IF(AND(AA192=1,AB192=1),IF(COUNTIFS($K$17:K192,K192,$AA$17:AA192,1,$AB$17:AB192,1)=1,1,0),0)</f>
        <v>0</v>
      </c>
      <c r="AE192" s="57" t="n">
        <f aca="false">IF(AND(Z192=1,AB192=1),IF(COUNTIFS($J$17:J192,J192,$S$17:S192,S192,$Z$17:Z192,1,$AB$17:AB192,1)=1,1,0),0)</f>
        <v>0</v>
      </c>
      <c r="AF192" s="57" t="n">
        <f aca="false">IF(AND(Z192=1,AB192=1),IF(COUNTIFS($K$17:K192,K192,$S$17:S192,S192,$Z$17:Z192,1,$AB$17:AB192,1)=1,1,0),0)</f>
        <v>0</v>
      </c>
      <c r="AG192" s="57" t="n">
        <f aca="false">IF(AND(AA192=1,AB192=1),IF(COUNTIFS($J$17:J192,J192,$L$17:L192,L192,$AA$17:AA192,1,$AB$17:AB192,1)=1,1,0),0)</f>
        <v>0</v>
      </c>
      <c r="AH192" s="57" t="n">
        <f aca="false">IF(AND(AA192=1,AB192=1),IF(COUNTIFS($J$17:J192,J192,$K$17:K192,K192,$AA$17:AA192,1,$AB$17:AB192,1)=1,1,0),0)</f>
        <v>0</v>
      </c>
      <c r="AI192" s="56" t="n">
        <f aca="false">IF(V192=1,MAX(F192,0),0)</f>
        <v>469876.3</v>
      </c>
      <c r="AJ192" s="56" t="n">
        <f aca="false">IF(V192=1,MIN(F192,0),0)</f>
        <v>0</v>
      </c>
    </row>
    <row r="193" customFormat="false" ht="40" hidden="false" customHeight="true" outlineLevel="0" collapsed="false">
      <c r="A193" s="66" t="n">
        <v>45817</v>
      </c>
      <c r="B193" s="54" t="str">
        <f aca="false">IF(M193="","",IF(P193="",M193,HYPERLINK(P193,M193)))</f>
        <v>47QTCK18D0004-49100424F0001</v>
      </c>
      <c r="C193" s="54" t="str">
        <f aca="false">IF(N193="","",IF(Q193="",N193,HYPERLINK(Q193,N193)))</f>
        <v>Booz Allen Hamilton Inc.</v>
      </c>
      <c r="D193" s="60" t="s">
        <v>111</v>
      </c>
      <c r="E193" s="54" t="str">
        <f aca="false">IF(O193="","",IF(R193="",O193,HYPERLINK(R193,O193)))</f>
        <v>NSF — office not specified</v>
      </c>
      <c r="F193" s="62" t="n">
        <v>3300000</v>
      </c>
      <c r="G193" s="61" t="s">
        <v>464</v>
      </c>
      <c r="H193" s="58"/>
      <c r="I193" s="58" t="s">
        <v>644</v>
      </c>
      <c r="J193" s="58" t="s">
        <v>297</v>
      </c>
      <c r="K193" s="58" t="s">
        <v>109</v>
      </c>
      <c r="L193" s="58" t="s">
        <v>213</v>
      </c>
      <c r="M193" s="58" t="s">
        <v>298</v>
      </c>
      <c r="N193" s="58" t="s">
        <v>110</v>
      </c>
      <c r="O193" s="58" t="s">
        <v>214</v>
      </c>
      <c r="P193" s="58" t="s">
        <v>299</v>
      </c>
      <c r="Q193" s="58" t="s">
        <v>112</v>
      </c>
      <c r="R193" s="58" t="s">
        <v>215</v>
      </c>
      <c r="S193" s="57" t="n">
        <f aca="false">IF(ISNUMBER(A193),YEAR(A193)+IF(MONTH(A193)&gt;=10,1,0),"")</f>
        <v>2025</v>
      </c>
      <c r="T193" s="57" t="n">
        <f aca="false">IF(ISNUMBER(A193),INT(MOD(MONTH(A193)-10,12)/3)+1,"")</f>
        <v>3</v>
      </c>
      <c r="U193" s="57" t="str">
        <f aca="false">IF(AND(I193&lt;&gt;"",D193&lt;&gt;"",OR(COUNTIFS(TransactionsData[Vendor ID],K193,TransactionsData[UEI],"&lt;&gt;"&amp;D193,TransactionsData[UEI],"?*")&gt;0,COUNTIFS(VendorGroups[Record ID],K193,VendorGroups[Source UEI],"&lt;&gt;"&amp;D193,VendorGroups[Source UEI],"?*")&gt;0)),"Conflicting vendor UEIs",IF(I193="",IF(COUNTA(A193,D193,F193:R193)&gt;0,"Missing transaction ID",""),IF(COUNTIFS(TransactionsData[Transaction ID],I193)&lt;&gt;1,"Duplicate transaction ID",IF(OR(NOT(ISNUMBER(A193)),A193&lt;1,A193&gt;DATE(2099,1,1)),"Use a valid date",IF(OR(A193&lt;$B$4,A193&gt;$D$4),"Outside coverage",IF(NOT(ISNUMBER(F193)),"Missing or invalid amount",IF(OR(K193="",L193="",N193=""),"Add vendor and office identities",IF(G193="Exclude",IF(OR(F193&lt;&gt;0,H193=""),"Review nonzero or unexplained exclusion",""),IF(G193&lt;&gt;"Include","Choose Include or Exclude",IF(COUNTIFS(AwardsData[Award ID],J193)&lt;&gt;1,"Award link needs review",IF(INDEX(AwardsData[Input check],MATCH(J193,AwardsData[Award ID],0))&lt;&gt;"","Check award inputs","")))))))))))</f>
        <v/>
      </c>
      <c r="V193" s="57" t="n">
        <f aca="false">IF(AND(I193&lt;&gt;"",U193="",G193="Include"),1,0)</f>
        <v>1</v>
      </c>
      <c r="W193" s="57" t="str">
        <f aca="false">IF(I193="","",IF(COUNTIFS(AwardsData[Award ID],J193)=1,INDEX(AwardsData[Current award type],MATCH(J193,AwardsData[Award ID],0)),"Unlinked"))</f>
        <v>Delivery Order</v>
      </c>
      <c r="X193" s="57" t="str">
        <f aca="false">IF(I193="","",IF(COUNTIFS(AwardsData[Award ID],J193)=1,INDEX(AwardsData[Current set-aside],MATCH(J193,AwardsData[Award ID],0)),"Unlinked"))</f>
        <v>No Set-Aside Used</v>
      </c>
      <c r="Y193" s="57" t="str">
        <f aca="false">IF(I193="","",IF(COUNTIFS(AwardsData[Award ID],J193)=1,INDEX(AwardsData[Performance state],MATCH(J193,AwardsData[Award ID],0)),"Unlinked"))</f>
        <v>Virginia</v>
      </c>
      <c r="Z193" s="57" t="n">
        <f aca="false">IF(AND(V193=1,OR(Dashboard!$AB$2="All",K193=Dashboard!$AB$2),OR(Dashboard!$AB$3="All",L193=Dashboard!$AB$3),OR(Dashboard!$N$10="All",W193=Dashboard!$N$10)),1,0)</f>
        <v>1</v>
      </c>
      <c r="AA193" s="57" t="n">
        <f aca="false">IF(AND(Z193=1,OR(Dashboard!$B$7="All",S193=Dashboard!$B$7)),1,0)</f>
        <v>1</v>
      </c>
      <c r="AB193" s="57" t="n">
        <f aca="false">IF(AND(V193=1,F193&lt;&gt;0),1,0)</f>
        <v>1</v>
      </c>
      <c r="AC193" s="57" t="n">
        <f aca="false">IF(AND(AA193=1,AB193=1),IF(COUNTIFS($J$17:J193,J193,$AA$17:AA193,1,$AB$17:AB193,1)=1,1,0),0)</f>
        <v>0</v>
      </c>
      <c r="AD193" s="57" t="n">
        <f aca="false">IF(AND(AA193=1,AB193=1),IF(COUNTIFS($K$17:K193,K193,$AA$17:AA193,1,$AB$17:AB193,1)=1,1,0),0)</f>
        <v>0</v>
      </c>
      <c r="AE193" s="57" t="n">
        <f aca="false">IF(AND(Z193=1,AB193=1),IF(COUNTIFS($J$17:J193,J193,$S$17:S193,S193,$Z$17:Z193,1,$AB$17:AB193,1)=1,1,0),0)</f>
        <v>0</v>
      </c>
      <c r="AF193" s="57" t="n">
        <f aca="false">IF(AND(Z193=1,AB193=1),IF(COUNTIFS($K$17:K193,K193,$S$17:S193,S193,$Z$17:Z193,1,$AB$17:AB193,1)=1,1,0),0)</f>
        <v>0</v>
      </c>
      <c r="AG193" s="57" t="n">
        <f aca="false">IF(AND(AA193=1,AB193=1),IF(COUNTIFS($J$17:J193,J193,$L$17:L193,L193,$AA$17:AA193,1,$AB$17:AB193,1)=1,1,0),0)</f>
        <v>0</v>
      </c>
      <c r="AH193" s="57" t="n">
        <f aca="false">IF(AND(AA193=1,AB193=1),IF(COUNTIFS($J$17:J193,J193,$K$17:K193,K193,$AA$17:AA193,1,$AB$17:AB193,1)=1,1,0),0)</f>
        <v>0</v>
      </c>
      <c r="AI193" s="56" t="n">
        <f aca="false">IF(V193=1,MAX(F193,0),0)</f>
        <v>3300000</v>
      </c>
      <c r="AJ193" s="56" t="n">
        <f aca="false">IF(V193=1,MIN(F193,0),0)</f>
        <v>0</v>
      </c>
    </row>
    <row r="194" customFormat="false" ht="40" hidden="false" customHeight="true" outlineLevel="0" collapsed="false">
      <c r="A194" s="66" t="n">
        <v>45831</v>
      </c>
      <c r="B194" s="54" t="str">
        <f aca="false">IF(M194="","",IF(P194="",M194,HYPERLINK(P194,M194)))</f>
        <v>GS35F337BA-49100421F0078</v>
      </c>
      <c r="C194" s="54" t="str">
        <f aca="false">IF(N194="","",IF(Q194="",N194,HYPERLINK(Q194,N194)))</f>
        <v>Civicactions, Inc.</v>
      </c>
      <c r="D194" s="60" t="s">
        <v>115</v>
      </c>
      <c r="E194" s="54" t="str">
        <f aca="false">IF(O194="","",IF(R194="",O194,HYPERLINK(R194,O194)))</f>
        <v>NSF — office not specified</v>
      </c>
      <c r="F194" s="62" t="n">
        <v>-561.71</v>
      </c>
      <c r="G194" s="61" t="s">
        <v>464</v>
      </c>
      <c r="H194" s="58"/>
      <c r="I194" s="58" t="s">
        <v>645</v>
      </c>
      <c r="J194" s="58" t="s">
        <v>414</v>
      </c>
      <c r="K194" s="58" t="s">
        <v>113</v>
      </c>
      <c r="L194" s="58" t="s">
        <v>213</v>
      </c>
      <c r="M194" s="58" t="s">
        <v>415</v>
      </c>
      <c r="N194" s="58" t="s">
        <v>114</v>
      </c>
      <c r="O194" s="58" t="s">
        <v>214</v>
      </c>
      <c r="P194" s="58" t="s">
        <v>416</v>
      </c>
      <c r="Q194" s="58" t="s">
        <v>116</v>
      </c>
      <c r="R194" s="58" t="s">
        <v>215</v>
      </c>
      <c r="S194" s="57" t="n">
        <f aca="false">IF(ISNUMBER(A194),YEAR(A194)+IF(MONTH(A194)&gt;=10,1,0),"")</f>
        <v>2025</v>
      </c>
      <c r="T194" s="57" t="n">
        <f aca="false">IF(ISNUMBER(A194),INT(MOD(MONTH(A194)-10,12)/3)+1,"")</f>
        <v>3</v>
      </c>
      <c r="U194" s="57" t="str">
        <f aca="false">IF(AND(I194&lt;&gt;"",D194&lt;&gt;"",OR(COUNTIFS(TransactionsData[Vendor ID],K194,TransactionsData[UEI],"&lt;&gt;"&amp;D194,TransactionsData[UEI],"?*")&gt;0,COUNTIFS(VendorGroups[Record ID],K194,VendorGroups[Source UEI],"&lt;&gt;"&amp;D194,VendorGroups[Source UEI],"?*")&gt;0)),"Conflicting vendor UEIs",IF(I194="",IF(COUNTA(A194,D194,F194:R194)&gt;0,"Missing transaction ID",""),IF(COUNTIFS(TransactionsData[Transaction ID],I194)&lt;&gt;1,"Duplicate transaction ID",IF(OR(NOT(ISNUMBER(A194)),A194&lt;1,A194&gt;DATE(2099,1,1)),"Use a valid date",IF(OR(A194&lt;$B$4,A194&gt;$D$4),"Outside coverage",IF(NOT(ISNUMBER(F194)),"Missing or invalid amount",IF(OR(K194="",L194="",N194=""),"Add vendor and office identities",IF(G194="Exclude",IF(OR(F194&lt;&gt;0,H194=""),"Review nonzero or unexplained exclusion",""),IF(G194&lt;&gt;"Include","Choose Include or Exclude",IF(COUNTIFS(AwardsData[Award ID],J194)&lt;&gt;1,"Award link needs review",IF(INDEX(AwardsData[Input check],MATCH(J194,AwardsData[Award ID],0))&lt;&gt;"","Check award inputs","")))))))))))</f>
        <v/>
      </c>
      <c r="V194" s="57" t="n">
        <f aca="false">IF(AND(I194&lt;&gt;"",U194="",G194="Include"),1,0)</f>
        <v>1</v>
      </c>
      <c r="W194" s="57" t="str">
        <f aca="false">IF(I194="","",IF(COUNTIFS(AwardsData[Award ID],J194)=1,INDEX(AwardsData[Current award type],MATCH(J194,AwardsData[Award ID],0)),"Unlinked"))</f>
        <v>Delivery Order</v>
      </c>
      <c r="X194" s="57" t="str">
        <f aca="false">IF(I194="","",IF(COUNTIFS(AwardsData[Award ID],J194)=1,INDEX(AwardsData[Current set-aside],MATCH(J194,AwardsData[Award ID],0)),"Unlinked"))</f>
        <v>Total Small Business</v>
      </c>
      <c r="Y194" s="57" t="str">
        <f aca="false">IF(I194="","",IF(COUNTIFS(AwardsData[Award ID],J194)=1,INDEX(AwardsData[Performance state],MATCH(J194,AwardsData[Award ID],0)),"Unlinked"))</f>
        <v>California</v>
      </c>
      <c r="Z194" s="57" t="n">
        <f aca="false">IF(AND(V194=1,OR(Dashboard!$AB$2="All",K194=Dashboard!$AB$2),OR(Dashboard!$AB$3="All",L194=Dashboard!$AB$3),OR(Dashboard!$N$10="All",W194=Dashboard!$N$10)),1,0)</f>
        <v>1</v>
      </c>
      <c r="AA194" s="57" t="n">
        <f aca="false">IF(AND(Z194=1,OR(Dashboard!$B$7="All",S194=Dashboard!$B$7)),1,0)</f>
        <v>1</v>
      </c>
      <c r="AB194" s="57" t="n">
        <f aca="false">IF(AND(V194=1,F194&lt;&gt;0),1,0)</f>
        <v>1</v>
      </c>
      <c r="AC194" s="57" t="n">
        <f aca="false">IF(AND(AA194=1,AB194=1),IF(COUNTIFS($J$17:J194,J194,$AA$17:AA194,1,$AB$17:AB194,1)=1,1,0),0)</f>
        <v>0</v>
      </c>
      <c r="AD194" s="57" t="n">
        <f aca="false">IF(AND(AA194=1,AB194=1),IF(COUNTIFS($K$17:K194,K194,$AA$17:AA194,1,$AB$17:AB194,1)=1,1,0),0)</f>
        <v>0</v>
      </c>
      <c r="AE194" s="57" t="n">
        <f aca="false">IF(AND(Z194=1,AB194=1),IF(COUNTIFS($J$17:J194,J194,$S$17:S194,S194,$Z$17:Z194,1,$AB$17:AB194,1)=1,1,0),0)</f>
        <v>0</v>
      </c>
      <c r="AF194" s="57" t="n">
        <f aca="false">IF(AND(Z194=1,AB194=1),IF(COUNTIFS($K$17:K194,K194,$S$17:S194,S194,$Z$17:Z194,1,$AB$17:AB194,1)=1,1,0),0)</f>
        <v>0</v>
      </c>
      <c r="AG194" s="57" t="n">
        <f aca="false">IF(AND(AA194=1,AB194=1),IF(COUNTIFS($J$17:J194,J194,$L$17:L194,L194,$AA$17:AA194,1,$AB$17:AB194,1)=1,1,0),0)</f>
        <v>0</v>
      </c>
      <c r="AH194" s="57" t="n">
        <f aca="false">IF(AND(AA194=1,AB194=1),IF(COUNTIFS($J$17:J194,J194,$K$17:K194,K194,$AA$17:AA194,1,$AB$17:AB194,1)=1,1,0),0)</f>
        <v>0</v>
      </c>
      <c r="AI194" s="56" t="n">
        <f aca="false">IF(V194=1,MAX(F194,0),0)</f>
        <v>0</v>
      </c>
      <c r="AJ194" s="56" t="n">
        <f aca="false">IF(V194=1,MIN(F194,0),0)</f>
        <v>-561.71</v>
      </c>
    </row>
    <row r="195" customFormat="false" ht="40" hidden="false" customHeight="true" outlineLevel="0" collapsed="false">
      <c r="A195" s="66" t="n">
        <v>45835</v>
      </c>
      <c r="B195" s="54" t="str">
        <f aca="false">IF(M195="","",IF(P195="",M195,HYPERLINK(P195,M195)))</f>
        <v>47QTCB21D0005-49100422F0104</v>
      </c>
      <c r="C195" s="54" t="str">
        <f aca="false">IF(N195="","",IF(Q195="",N195,HYPERLINK(Q195,N195)))</f>
        <v>GBS Solutions Corp</v>
      </c>
      <c r="D195" s="60" t="s">
        <v>139</v>
      </c>
      <c r="E195" s="54" t="str">
        <f aca="false">IF(O195="","",IF(R195="",O195,HYPERLINK(R195,O195)))</f>
        <v>NSF — office not specified</v>
      </c>
      <c r="F195" s="62" t="n">
        <v>174095.68</v>
      </c>
      <c r="G195" s="61" t="s">
        <v>464</v>
      </c>
      <c r="H195" s="58"/>
      <c r="I195" s="58" t="s">
        <v>646</v>
      </c>
      <c r="J195" s="58" t="s">
        <v>276</v>
      </c>
      <c r="K195" s="58" t="s">
        <v>137</v>
      </c>
      <c r="L195" s="58" t="s">
        <v>213</v>
      </c>
      <c r="M195" s="58" t="s">
        <v>277</v>
      </c>
      <c r="N195" s="58" t="s">
        <v>138</v>
      </c>
      <c r="O195" s="58" t="s">
        <v>214</v>
      </c>
      <c r="P195" s="58" t="s">
        <v>278</v>
      </c>
      <c r="Q195" s="58" t="s">
        <v>140</v>
      </c>
      <c r="R195" s="58" t="s">
        <v>215</v>
      </c>
      <c r="S195" s="57" t="n">
        <f aca="false">IF(ISNUMBER(A195),YEAR(A195)+IF(MONTH(A195)&gt;=10,1,0),"")</f>
        <v>2025</v>
      </c>
      <c r="T195" s="57" t="n">
        <f aca="false">IF(ISNUMBER(A195),INT(MOD(MONTH(A195)-10,12)/3)+1,"")</f>
        <v>3</v>
      </c>
      <c r="U195" s="57" t="str">
        <f aca="false">IF(AND(I195&lt;&gt;"",D195&lt;&gt;"",OR(COUNTIFS(TransactionsData[Vendor ID],K195,TransactionsData[UEI],"&lt;&gt;"&amp;D195,TransactionsData[UEI],"?*")&gt;0,COUNTIFS(VendorGroups[Record ID],K195,VendorGroups[Source UEI],"&lt;&gt;"&amp;D195,VendorGroups[Source UEI],"?*")&gt;0)),"Conflicting vendor UEIs",IF(I195="",IF(COUNTA(A195,D195,F195:R195)&gt;0,"Missing transaction ID",""),IF(COUNTIFS(TransactionsData[Transaction ID],I195)&lt;&gt;1,"Duplicate transaction ID",IF(OR(NOT(ISNUMBER(A195)),A195&lt;1,A195&gt;DATE(2099,1,1)),"Use a valid date",IF(OR(A195&lt;$B$4,A195&gt;$D$4),"Outside coverage",IF(NOT(ISNUMBER(F195)),"Missing or invalid amount",IF(OR(K195="",L195="",N195=""),"Add vendor and office identities",IF(G195="Exclude",IF(OR(F195&lt;&gt;0,H195=""),"Review nonzero or unexplained exclusion",""),IF(G195&lt;&gt;"Include","Choose Include or Exclude",IF(COUNTIFS(AwardsData[Award ID],J195)&lt;&gt;1,"Award link needs review",IF(INDEX(AwardsData[Input check],MATCH(J195,AwardsData[Award ID],0))&lt;&gt;"","Check award inputs","")))))))))))</f>
        <v/>
      </c>
      <c r="V195" s="57" t="n">
        <f aca="false">IF(AND(I195&lt;&gt;"",U195="",G195="Include"),1,0)</f>
        <v>1</v>
      </c>
      <c r="W195" s="57" t="str">
        <f aca="false">IF(I195="","",IF(COUNTIFS(AwardsData[Award ID],J195)=1,INDEX(AwardsData[Current award type],MATCH(J195,AwardsData[Award ID],0)),"Unlinked"))</f>
        <v>Delivery Order</v>
      </c>
      <c r="X195" s="57" t="str">
        <f aca="false">IF(I195="","",IF(COUNTIFS(AwardsData[Award ID],J195)=1,INDEX(AwardsData[Current set-aside],MATCH(J195,AwardsData[Award ID],0)),"Unlinked"))</f>
        <v>Competitive 8(a)</v>
      </c>
      <c r="Y195" s="57" t="str">
        <f aca="false">IF(I195="","",IF(COUNTIFS(AwardsData[Award ID],J195)=1,INDEX(AwardsData[Performance state],MATCH(J195,AwardsData[Award ID],0)),"Unlinked"))</f>
        <v>Utah</v>
      </c>
      <c r="Z195" s="57" t="n">
        <f aca="false">IF(AND(V195=1,OR(Dashboard!$AB$2="All",K195=Dashboard!$AB$2),OR(Dashboard!$AB$3="All",L195=Dashboard!$AB$3),OR(Dashboard!$N$10="All",W195=Dashboard!$N$10)),1,0)</f>
        <v>1</v>
      </c>
      <c r="AA195" s="57" t="n">
        <f aca="false">IF(AND(Z195=1,OR(Dashboard!$B$7="All",S195=Dashboard!$B$7)),1,0)</f>
        <v>1</v>
      </c>
      <c r="AB195" s="57" t="n">
        <f aca="false">IF(AND(V195=1,F195&lt;&gt;0),1,0)</f>
        <v>1</v>
      </c>
      <c r="AC195" s="57" t="n">
        <f aca="false">IF(AND(AA195=1,AB195=1),IF(COUNTIFS($J$17:J195,J195,$AA$17:AA195,1,$AB$17:AB195,1)=1,1,0),0)</f>
        <v>1</v>
      </c>
      <c r="AD195" s="57" t="n">
        <f aca="false">IF(AND(AA195=1,AB195=1),IF(COUNTIFS($K$17:K195,K195,$AA$17:AA195,1,$AB$17:AB195,1)=1,1,0),0)</f>
        <v>1</v>
      </c>
      <c r="AE195" s="57" t="n">
        <f aca="false">IF(AND(Z195=1,AB195=1),IF(COUNTIFS($J$17:J195,J195,$S$17:S195,S195,$Z$17:Z195,1,$AB$17:AB195,1)=1,1,0),0)</f>
        <v>1</v>
      </c>
      <c r="AF195" s="57" t="n">
        <f aca="false">IF(AND(Z195=1,AB195=1),IF(COUNTIFS($K$17:K195,K195,$S$17:S195,S195,$Z$17:Z195,1,$AB$17:AB195,1)=1,1,0),0)</f>
        <v>1</v>
      </c>
      <c r="AG195" s="57" t="n">
        <f aca="false">IF(AND(AA195=1,AB195=1),IF(COUNTIFS($J$17:J195,J195,$L$17:L195,L195,$AA$17:AA195,1,$AB$17:AB195,1)=1,1,0),0)</f>
        <v>1</v>
      </c>
      <c r="AH195" s="57" t="n">
        <f aca="false">IF(AND(AA195=1,AB195=1),IF(COUNTIFS($J$17:J195,J195,$K$17:K195,K195,$AA$17:AA195,1,$AB$17:AB195,1)=1,1,0),0)</f>
        <v>1</v>
      </c>
      <c r="AI195" s="56" t="n">
        <f aca="false">IF(V195=1,MAX(F195,0),0)</f>
        <v>174095.68</v>
      </c>
      <c r="AJ195" s="56" t="n">
        <f aca="false">IF(V195=1,MIN(F195,0),0)</f>
        <v>0</v>
      </c>
    </row>
    <row r="196" customFormat="false" ht="40" hidden="false" customHeight="true" outlineLevel="0" collapsed="false">
      <c r="A196" s="66" t="n">
        <v>45838</v>
      </c>
      <c r="B196" s="54" t="str">
        <f aca="false">IF(M196="","",IF(P196="",M196,HYPERLINK(P196,M196)))</f>
        <v>47QTCA23D0037-49100424F0196</v>
      </c>
      <c r="C196" s="54" t="str">
        <f aca="false">IF(N196="","",IF(Q196="",N196,HYPERLINK(Q196,N196)))</f>
        <v>Criterion Systems, L.L.C.</v>
      </c>
      <c r="D196" s="60" t="s">
        <v>119</v>
      </c>
      <c r="E196" s="54" t="str">
        <f aca="false">IF(O196="","",IF(R196="",O196,HYPERLINK(R196,O196)))</f>
        <v>NSF — office not specified</v>
      </c>
      <c r="F196" s="62" t="n">
        <v>469876.3</v>
      </c>
      <c r="G196" s="61" t="s">
        <v>464</v>
      </c>
      <c r="H196" s="58"/>
      <c r="I196" s="58" t="s">
        <v>647</v>
      </c>
      <c r="J196" s="58" t="s">
        <v>264</v>
      </c>
      <c r="K196" s="58" t="s">
        <v>117</v>
      </c>
      <c r="L196" s="58" t="s">
        <v>213</v>
      </c>
      <c r="M196" s="58" t="s">
        <v>265</v>
      </c>
      <c r="N196" s="58" t="s">
        <v>118</v>
      </c>
      <c r="O196" s="58" t="s">
        <v>214</v>
      </c>
      <c r="P196" s="58" t="s">
        <v>266</v>
      </c>
      <c r="Q196" s="58" t="s">
        <v>120</v>
      </c>
      <c r="R196" s="58" t="s">
        <v>215</v>
      </c>
      <c r="S196" s="57" t="n">
        <f aca="false">IF(ISNUMBER(A196),YEAR(A196)+IF(MONTH(A196)&gt;=10,1,0),"")</f>
        <v>2025</v>
      </c>
      <c r="T196" s="57" t="n">
        <f aca="false">IF(ISNUMBER(A196),INT(MOD(MONTH(A196)-10,12)/3)+1,"")</f>
        <v>3</v>
      </c>
      <c r="U196" s="57" t="str">
        <f aca="false">IF(AND(I196&lt;&gt;"",D196&lt;&gt;"",OR(COUNTIFS(TransactionsData[Vendor ID],K196,TransactionsData[UEI],"&lt;&gt;"&amp;D196,TransactionsData[UEI],"?*")&gt;0,COUNTIFS(VendorGroups[Record ID],K196,VendorGroups[Source UEI],"&lt;&gt;"&amp;D196,VendorGroups[Source UEI],"?*")&gt;0)),"Conflicting vendor UEIs",IF(I196="",IF(COUNTA(A196,D196,F196:R196)&gt;0,"Missing transaction ID",""),IF(COUNTIFS(TransactionsData[Transaction ID],I196)&lt;&gt;1,"Duplicate transaction ID",IF(OR(NOT(ISNUMBER(A196)),A196&lt;1,A196&gt;DATE(2099,1,1)),"Use a valid date",IF(OR(A196&lt;$B$4,A196&gt;$D$4),"Outside coverage",IF(NOT(ISNUMBER(F196)),"Missing or invalid amount",IF(OR(K196="",L196="",N196=""),"Add vendor and office identities",IF(G196="Exclude",IF(OR(F196&lt;&gt;0,H196=""),"Review nonzero or unexplained exclusion",""),IF(G196&lt;&gt;"Include","Choose Include or Exclude",IF(COUNTIFS(AwardsData[Award ID],J196)&lt;&gt;1,"Award link needs review",IF(INDEX(AwardsData[Input check],MATCH(J196,AwardsData[Award ID],0))&lt;&gt;"","Check award inputs","")))))))))))</f>
        <v/>
      </c>
      <c r="V196" s="57" t="n">
        <f aca="false">IF(AND(I196&lt;&gt;"",U196="",G196="Include"),1,0)</f>
        <v>1</v>
      </c>
      <c r="W196" s="57" t="str">
        <f aca="false">IF(I196="","",IF(COUNTIFS(AwardsData[Award ID],J196)=1,INDEX(AwardsData[Current award type],MATCH(J196,AwardsData[Award ID],0)),"Unlinked"))</f>
        <v>Delivery Order</v>
      </c>
      <c r="X196" s="57" t="str">
        <f aca="false">IF(I196="","",IF(COUNTIFS(AwardsData[Award ID],J196)=1,INDEX(AwardsData[Current set-aside],MATCH(J196,AwardsData[Award ID],0)),"Unlinked"))</f>
        <v>No Set-Aside Used</v>
      </c>
      <c r="Y196" s="57" t="str">
        <f aca="false">IF(I196="","",IF(COUNTIFS(AwardsData[Award ID],J196)=1,INDEX(AwardsData[Performance state],MATCH(J196,AwardsData[Award ID],0)),"Unlinked"))</f>
        <v>Virginia</v>
      </c>
      <c r="Z196" s="57" t="n">
        <f aca="false">IF(AND(V196=1,OR(Dashboard!$AB$2="All",K196=Dashboard!$AB$2),OR(Dashboard!$AB$3="All",L196=Dashboard!$AB$3),OR(Dashboard!$N$10="All",W196=Dashboard!$N$10)),1,0)</f>
        <v>1</v>
      </c>
      <c r="AA196" s="57" t="n">
        <f aca="false">IF(AND(Z196=1,OR(Dashboard!$B$7="All",S196=Dashboard!$B$7)),1,0)</f>
        <v>1</v>
      </c>
      <c r="AB196" s="57" t="n">
        <f aca="false">IF(AND(V196=1,F196&lt;&gt;0),1,0)</f>
        <v>1</v>
      </c>
      <c r="AC196" s="57" t="n">
        <f aca="false">IF(AND(AA196=1,AB196=1),IF(COUNTIFS($J$17:J196,J196,$AA$17:AA196,1,$AB$17:AB196,1)=1,1,0),0)</f>
        <v>0</v>
      </c>
      <c r="AD196" s="57" t="n">
        <f aca="false">IF(AND(AA196=1,AB196=1),IF(COUNTIFS($K$17:K196,K196,$AA$17:AA196,1,$AB$17:AB196,1)=1,1,0),0)</f>
        <v>0</v>
      </c>
      <c r="AE196" s="57" t="n">
        <f aca="false">IF(AND(Z196=1,AB196=1),IF(COUNTIFS($J$17:J196,J196,$S$17:S196,S196,$Z$17:Z196,1,$AB$17:AB196,1)=1,1,0),0)</f>
        <v>0</v>
      </c>
      <c r="AF196" s="57" t="n">
        <f aca="false">IF(AND(Z196=1,AB196=1),IF(COUNTIFS($K$17:K196,K196,$S$17:S196,S196,$Z$17:Z196,1,$AB$17:AB196,1)=1,1,0),0)</f>
        <v>0</v>
      </c>
      <c r="AG196" s="57" t="n">
        <f aca="false">IF(AND(AA196=1,AB196=1),IF(COUNTIFS($J$17:J196,J196,$L$17:L196,L196,$AA$17:AA196,1,$AB$17:AB196,1)=1,1,0),0)</f>
        <v>0</v>
      </c>
      <c r="AH196" s="57" t="n">
        <f aca="false">IF(AND(AA196=1,AB196=1),IF(COUNTIFS($J$17:J196,J196,$K$17:K196,K196,$AA$17:AA196,1,$AB$17:AB196,1)=1,1,0),0)</f>
        <v>0</v>
      </c>
      <c r="AI196" s="56" t="n">
        <f aca="false">IF(V196=1,MAX(F196,0),0)</f>
        <v>469876.3</v>
      </c>
      <c r="AJ196" s="56" t="n">
        <f aca="false">IF(V196=1,MIN(F196,0),0)</f>
        <v>0</v>
      </c>
    </row>
    <row r="197" customFormat="false" ht="40" hidden="false" customHeight="true" outlineLevel="0" collapsed="false">
      <c r="A197" s="66" t="n">
        <v>45845</v>
      </c>
      <c r="B197" s="54" t="str">
        <f aca="false">IF(M197="","",IF(P197="",M197,HYPERLINK(P197,M197)))</f>
        <v>49100424C0051</v>
      </c>
      <c r="C197" s="54" t="str">
        <f aca="false">IF(N197="","",IF(Q197="",N197,HYPERLINK(Q197,N197)))</f>
        <v>Rei Systems, Inc.</v>
      </c>
      <c r="D197" s="60" t="s">
        <v>158</v>
      </c>
      <c r="E197" s="54" t="str">
        <f aca="false">IF(O197="","",IF(R197="",O197,HYPERLINK(R197,O197)))</f>
        <v>NSF — office not specified</v>
      </c>
      <c r="F197" s="62" t="n">
        <v>89254.36</v>
      </c>
      <c r="G197" s="61" t="s">
        <v>464</v>
      </c>
      <c r="H197" s="58"/>
      <c r="I197" s="58" t="s">
        <v>648</v>
      </c>
      <c r="J197" s="58" t="s">
        <v>400</v>
      </c>
      <c r="K197" s="58" t="s">
        <v>156</v>
      </c>
      <c r="L197" s="58" t="s">
        <v>213</v>
      </c>
      <c r="M197" s="58" t="s">
        <v>400</v>
      </c>
      <c r="N197" s="58" t="s">
        <v>157</v>
      </c>
      <c r="O197" s="58" t="s">
        <v>214</v>
      </c>
      <c r="P197" s="58" t="s">
        <v>401</v>
      </c>
      <c r="Q197" s="58" t="s">
        <v>159</v>
      </c>
      <c r="R197" s="58" t="s">
        <v>215</v>
      </c>
      <c r="S197" s="57" t="n">
        <f aca="false">IF(ISNUMBER(A197),YEAR(A197)+IF(MONTH(A197)&gt;=10,1,0),"")</f>
        <v>2025</v>
      </c>
      <c r="T197" s="57" t="n">
        <f aca="false">IF(ISNUMBER(A197),INT(MOD(MONTH(A197)-10,12)/3)+1,"")</f>
        <v>4</v>
      </c>
      <c r="U197" s="57" t="str">
        <f aca="false">IF(AND(I197&lt;&gt;"",D197&lt;&gt;"",OR(COUNTIFS(TransactionsData[Vendor ID],K197,TransactionsData[UEI],"&lt;&gt;"&amp;D197,TransactionsData[UEI],"?*")&gt;0,COUNTIFS(VendorGroups[Record ID],K197,VendorGroups[Source UEI],"&lt;&gt;"&amp;D197,VendorGroups[Source UEI],"?*")&gt;0)),"Conflicting vendor UEIs",IF(I197="",IF(COUNTA(A197,D197,F197:R197)&gt;0,"Missing transaction ID",""),IF(COUNTIFS(TransactionsData[Transaction ID],I197)&lt;&gt;1,"Duplicate transaction ID",IF(OR(NOT(ISNUMBER(A197)),A197&lt;1,A197&gt;DATE(2099,1,1)),"Use a valid date",IF(OR(A197&lt;$B$4,A197&gt;$D$4),"Outside coverage",IF(NOT(ISNUMBER(F197)),"Missing or invalid amount",IF(OR(K197="",L197="",N197=""),"Add vendor and office identities",IF(G197="Exclude",IF(OR(F197&lt;&gt;0,H197=""),"Review nonzero or unexplained exclusion",""),IF(G197&lt;&gt;"Include","Choose Include or Exclude",IF(COUNTIFS(AwardsData[Award ID],J197)&lt;&gt;1,"Award link needs review",IF(INDEX(AwardsData[Input check],MATCH(J197,AwardsData[Award ID],0))&lt;&gt;"","Check award inputs","")))))))))))</f>
        <v/>
      </c>
      <c r="V197" s="57" t="n">
        <f aca="false">IF(AND(I197&lt;&gt;"",U197="",G197="Include"),1,0)</f>
        <v>1</v>
      </c>
      <c r="W197" s="57" t="str">
        <f aca="false">IF(I197="","",IF(COUNTIFS(AwardsData[Award ID],J197)=1,INDEX(AwardsData[Current award type],MATCH(J197,AwardsData[Award ID],0)),"Unlinked"))</f>
        <v>Definitive Contract</v>
      </c>
      <c r="X197" s="57" t="str">
        <f aca="false">IF(I197="","",IF(COUNTIFS(AwardsData[Award ID],J197)=1,INDEX(AwardsData[Current set-aside],MATCH(J197,AwardsData[Award ID],0)),"Unlinked"))</f>
        <v>No Set-Aside Used</v>
      </c>
      <c r="Y197" s="57" t="str">
        <f aca="false">IF(I197="","",IF(COUNTIFS(AwardsData[Award ID],J197)=1,INDEX(AwardsData[Performance state],MATCH(J197,AwardsData[Award ID],0)),"Unlinked"))</f>
        <v>Virginia</v>
      </c>
      <c r="Z197" s="57" t="n">
        <f aca="false">IF(AND(V197=1,OR(Dashboard!$AB$2="All",K197=Dashboard!$AB$2),OR(Dashboard!$AB$3="All",L197=Dashboard!$AB$3),OR(Dashboard!$N$10="All",W197=Dashboard!$N$10)),1,0)</f>
        <v>1</v>
      </c>
      <c r="AA197" s="57" t="n">
        <f aca="false">IF(AND(Z197=1,OR(Dashboard!$B$7="All",S197=Dashboard!$B$7)),1,0)</f>
        <v>1</v>
      </c>
      <c r="AB197" s="57" t="n">
        <f aca="false">IF(AND(V197=1,F197&lt;&gt;0),1,0)</f>
        <v>1</v>
      </c>
      <c r="AC197" s="57" t="n">
        <f aca="false">IF(AND(AA197=1,AB197=1),IF(COUNTIFS($J$17:J197,J197,$AA$17:AA197,1,$AB$17:AB197,1)=1,1,0),0)</f>
        <v>0</v>
      </c>
      <c r="AD197" s="57" t="n">
        <f aca="false">IF(AND(AA197=1,AB197=1),IF(COUNTIFS($K$17:K197,K197,$AA$17:AA197,1,$AB$17:AB197,1)=1,1,0),0)</f>
        <v>0</v>
      </c>
      <c r="AE197" s="57" t="n">
        <f aca="false">IF(AND(Z197=1,AB197=1),IF(COUNTIFS($J$17:J197,J197,$S$17:S197,S197,$Z$17:Z197,1,$AB$17:AB197,1)=1,1,0),0)</f>
        <v>0</v>
      </c>
      <c r="AF197" s="57" t="n">
        <f aca="false">IF(AND(Z197=1,AB197=1),IF(COUNTIFS($K$17:K197,K197,$S$17:S197,S197,$Z$17:Z197,1,$AB$17:AB197,1)=1,1,0),0)</f>
        <v>0</v>
      </c>
      <c r="AG197" s="57" t="n">
        <f aca="false">IF(AND(AA197=1,AB197=1),IF(COUNTIFS($J$17:J197,J197,$L$17:L197,L197,$AA$17:AA197,1,$AB$17:AB197,1)=1,1,0),0)</f>
        <v>0</v>
      </c>
      <c r="AH197" s="57" t="n">
        <f aca="false">IF(AND(AA197=1,AB197=1),IF(COUNTIFS($J$17:J197,J197,$K$17:K197,K197,$AA$17:AA197,1,$AB$17:AB197,1)=1,1,0),0)</f>
        <v>0</v>
      </c>
      <c r="AI197" s="56" t="n">
        <f aca="false">IF(V197=1,MAX(F197,0),0)</f>
        <v>89254.36</v>
      </c>
      <c r="AJ197" s="56" t="n">
        <f aca="false">IF(V197=1,MIN(F197,0),0)</f>
        <v>0</v>
      </c>
    </row>
    <row r="198" customFormat="false" ht="40" hidden="false" customHeight="true" outlineLevel="0" collapsed="false">
      <c r="A198" s="66" t="n">
        <v>45847</v>
      </c>
      <c r="B198" s="54" t="str">
        <f aca="false">IF(M198="","",IF(P198="",M198,HYPERLINK(P198,M198)))</f>
        <v>47QTCK18D0004-49100424F0001</v>
      </c>
      <c r="C198" s="54" t="str">
        <f aca="false">IF(N198="","",IF(Q198="",N198,HYPERLINK(Q198,N198)))</f>
        <v>Booz Allen Hamilton Inc.</v>
      </c>
      <c r="D198" s="60" t="s">
        <v>111</v>
      </c>
      <c r="E198" s="54" t="str">
        <f aca="false">IF(O198="","",IF(R198="",O198,HYPERLINK(R198,O198)))</f>
        <v>NSF — office not specified</v>
      </c>
      <c r="F198" s="62" t="n">
        <v>3500000</v>
      </c>
      <c r="G198" s="61" t="s">
        <v>464</v>
      </c>
      <c r="H198" s="58"/>
      <c r="I198" s="58" t="s">
        <v>649</v>
      </c>
      <c r="J198" s="58" t="s">
        <v>297</v>
      </c>
      <c r="K198" s="58" t="s">
        <v>109</v>
      </c>
      <c r="L198" s="58" t="s">
        <v>213</v>
      </c>
      <c r="M198" s="58" t="s">
        <v>298</v>
      </c>
      <c r="N198" s="58" t="s">
        <v>110</v>
      </c>
      <c r="O198" s="58" t="s">
        <v>214</v>
      </c>
      <c r="P198" s="58" t="s">
        <v>299</v>
      </c>
      <c r="Q198" s="58" t="s">
        <v>112</v>
      </c>
      <c r="R198" s="58" t="s">
        <v>215</v>
      </c>
      <c r="S198" s="57" t="n">
        <f aca="false">IF(ISNUMBER(A198),YEAR(A198)+IF(MONTH(A198)&gt;=10,1,0),"")</f>
        <v>2025</v>
      </c>
      <c r="T198" s="57" t="n">
        <f aca="false">IF(ISNUMBER(A198),INT(MOD(MONTH(A198)-10,12)/3)+1,"")</f>
        <v>4</v>
      </c>
      <c r="U198" s="57" t="str">
        <f aca="false">IF(AND(I198&lt;&gt;"",D198&lt;&gt;"",OR(COUNTIFS(TransactionsData[Vendor ID],K198,TransactionsData[UEI],"&lt;&gt;"&amp;D198,TransactionsData[UEI],"?*")&gt;0,COUNTIFS(VendorGroups[Record ID],K198,VendorGroups[Source UEI],"&lt;&gt;"&amp;D198,VendorGroups[Source UEI],"?*")&gt;0)),"Conflicting vendor UEIs",IF(I198="",IF(COUNTA(A198,D198,F198:R198)&gt;0,"Missing transaction ID",""),IF(COUNTIFS(TransactionsData[Transaction ID],I198)&lt;&gt;1,"Duplicate transaction ID",IF(OR(NOT(ISNUMBER(A198)),A198&lt;1,A198&gt;DATE(2099,1,1)),"Use a valid date",IF(OR(A198&lt;$B$4,A198&gt;$D$4),"Outside coverage",IF(NOT(ISNUMBER(F198)),"Missing or invalid amount",IF(OR(K198="",L198="",N198=""),"Add vendor and office identities",IF(G198="Exclude",IF(OR(F198&lt;&gt;0,H198=""),"Review nonzero or unexplained exclusion",""),IF(G198&lt;&gt;"Include","Choose Include or Exclude",IF(COUNTIFS(AwardsData[Award ID],J198)&lt;&gt;1,"Award link needs review",IF(INDEX(AwardsData[Input check],MATCH(J198,AwardsData[Award ID],0))&lt;&gt;"","Check award inputs","")))))))))))</f>
        <v/>
      </c>
      <c r="V198" s="57" t="n">
        <f aca="false">IF(AND(I198&lt;&gt;"",U198="",G198="Include"),1,0)</f>
        <v>1</v>
      </c>
      <c r="W198" s="57" t="str">
        <f aca="false">IF(I198="","",IF(COUNTIFS(AwardsData[Award ID],J198)=1,INDEX(AwardsData[Current award type],MATCH(J198,AwardsData[Award ID],0)),"Unlinked"))</f>
        <v>Delivery Order</v>
      </c>
      <c r="X198" s="57" t="str">
        <f aca="false">IF(I198="","",IF(COUNTIFS(AwardsData[Award ID],J198)=1,INDEX(AwardsData[Current set-aside],MATCH(J198,AwardsData[Award ID],0)),"Unlinked"))</f>
        <v>No Set-Aside Used</v>
      </c>
      <c r="Y198" s="57" t="str">
        <f aca="false">IF(I198="","",IF(COUNTIFS(AwardsData[Award ID],J198)=1,INDEX(AwardsData[Performance state],MATCH(J198,AwardsData[Award ID],0)),"Unlinked"))</f>
        <v>Virginia</v>
      </c>
      <c r="Z198" s="57" t="n">
        <f aca="false">IF(AND(V198=1,OR(Dashboard!$AB$2="All",K198=Dashboard!$AB$2),OR(Dashboard!$AB$3="All",L198=Dashboard!$AB$3),OR(Dashboard!$N$10="All",W198=Dashboard!$N$10)),1,0)</f>
        <v>1</v>
      </c>
      <c r="AA198" s="57" t="n">
        <f aca="false">IF(AND(Z198=1,OR(Dashboard!$B$7="All",S198=Dashboard!$B$7)),1,0)</f>
        <v>1</v>
      </c>
      <c r="AB198" s="57" t="n">
        <f aca="false">IF(AND(V198=1,F198&lt;&gt;0),1,0)</f>
        <v>1</v>
      </c>
      <c r="AC198" s="57" t="n">
        <f aca="false">IF(AND(AA198=1,AB198=1),IF(COUNTIFS($J$17:J198,J198,$AA$17:AA198,1,$AB$17:AB198,1)=1,1,0),0)</f>
        <v>0</v>
      </c>
      <c r="AD198" s="57" t="n">
        <f aca="false">IF(AND(AA198=1,AB198=1),IF(COUNTIFS($K$17:K198,K198,$AA$17:AA198,1,$AB$17:AB198,1)=1,1,0),0)</f>
        <v>0</v>
      </c>
      <c r="AE198" s="57" t="n">
        <f aca="false">IF(AND(Z198=1,AB198=1),IF(COUNTIFS($J$17:J198,J198,$S$17:S198,S198,$Z$17:Z198,1,$AB$17:AB198,1)=1,1,0),0)</f>
        <v>0</v>
      </c>
      <c r="AF198" s="57" t="n">
        <f aca="false">IF(AND(Z198=1,AB198=1),IF(COUNTIFS($K$17:K198,K198,$S$17:S198,S198,$Z$17:Z198,1,$AB$17:AB198,1)=1,1,0),0)</f>
        <v>0</v>
      </c>
      <c r="AG198" s="57" t="n">
        <f aca="false">IF(AND(AA198=1,AB198=1),IF(COUNTIFS($J$17:J198,J198,$L$17:L198,L198,$AA$17:AA198,1,$AB$17:AB198,1)=1,1,0),0)</f>
        <v>0</v>
      </c>
      <c r="AH198" s="57" t="n">
        <f aca="false">IF(AND(AA198=1,AB198=1),IF(COUNTIFS($J$17:J198,J198,$K$17:K198,K198,$AA$17:AA198,1,$AB$17:AB198,1)=1,1,0),0)</f>
        <v>0</v>
      </c>
      <c r="AI198" s="56" t="n">
        <f aca="false">IF(V198=1,MAX(F198,0),0)</f>
        <v>3500000</v>
      </c>
      <c r="AJ198" s="56" t="n">
        <f aca="false">IF(V198=1,MIN(F198,0),0)</f>
        <v>0</v>
      </c>
    </row>
    <row r="199" customFormat="false" ht="40" hidden="false" customHeight="true" outlineLevel="0" collapsed="false">
      <c r="A199" s="66" t="n">
        <v>45847</v>
      </c>
      <c r="B199" s="54" t="str">
        <f aca="false">IF(M199="","",IF(P199="",M199,HYPERLINK(P199,M199)))</f>
        <v>49100424A0001-49100424F0226</v>
      </c>
      <c r="C199" s="54" t="str">
        <f aca="false">IF(N199="","",IF(Q199="",N199,HYPERLINK(Q199,N199)))</f>
        <v>Spatial Front Inc.</v>
      </c>
      <c r="D199" s="60" t="s">
        <v>166</v>
      </c>
      <c r="E199" s="54" t="str">
        <f aca="false">IF(O199="","",IF(R199="",O199,HYPERLINK(R199,O199)))</f>
        <v>Division of Information Systems</v>
      </c>
      <c r="F199" s="62" t="n">
        <v>0</v>
      </c>
      <c r="G199" s="61" t="s">
        <v>464</v>
      </c>
      <c r="H199" s="58"/>
      <c r="I199" s="58" t="s">
        <v>650</v>
      </c>
      <c r="J199" s="58" t="s">
        <v>383</v>
      </c>
      <c r="K199" s="58" t="s">
        <v>164</v>
      </c>
      <c r="L199" s="58" t="s">
        <v>197</v>
      </c>
      <c r="M199" s="58" t="s">
        <v>384</v>
      </c>
      <c r="N199" s="58" t="s">
        <v>165</v>
      </c>
      <c r="O199" s="58" t="s">
        <v>198</v>
      </c>
      <c r="P199" s="58" t="s">
        <v>385</v>
      </c>
      <c r="Q199" s="58" t="s">
        <v>167</v>
      </c>
      <c r="R199" s="58" t="s">
        <v>200</v>
      </c>
      <c r="S199" s="57" t="n">
        <f aca="false">IF(ISNUMBER(A199),YEAR(A199)+IF(MONTH(A199)&gt;=10,1,0),"")</f>
        <v>2025</v>
      </c>
      <c r="T199" s="57" t="n">
        <f aca="false">IF(ISNUMBER(A199),INT(MOD(MONTH(A199)-10,12)/3)+1,"")</f>
        <v>4</v>
      </c>
      <c r="U199" s="57" t="str">
        <f aca="false">IF(AND(I199&lt;&gt;"",D199&lt;&gt;"",OR(COUNTIFS(TransactionsData[Vendor ID],K199,TransactionsData[UEI],"&lt;&gt;"&amp;D199,TransactionsData[UEI],"?*")&gt;0,COUNTIFS(VendorGroups[Record ID],K199,VendorGroups[Source UEI],"&lt;&gt;"&amp;D199,VendorGroups[Source UEI],"?*")&gt;0)),"Conflicting vendor UEIs",IF(I199="",IF(COUNTA(A199,D199,F199:R199)&gt;0,"Missing transaction ID",""),IF(COUNTIFS(TransactionsData[Transaction ID],I199)&lt;&gt;1,"Duplicate transaction ID",IF(OR(NOT(ISNUMBER(A199)),A199&lt;1,A199&gt;DATE(2099,1,1)),"Use a valid date",IF(OR(A199&lt;$B$4,A199&gt;$D$4),"Outside coverage",IF(NOT(ISNUMBER(F199)),"Missing or invalid amount",IF(OR(K199="",L199="",N199=""),"Add vendor and office identities",IF(G199="Exclude",IF(OR(F199&lt;&gt;0,H199=""),"Review nonzero or unexplained exclusion",""),IF(G199&lt;&gt;"Include","Choose Include or Exclude",IF(COUNTIFS(AwardsData[Award ID],J199)&lt;&gt;1,"Award link needs review",IF(INDEX(AwardsData[Input check],MATCH(J199,AwardsData[Award ID],0))&lt;&gt;"","Check award inputs","")))))))))))</f>
        <v/>
      </c>
      <c r="V199" s="57" t="n">
        <f aca="false">IF(AND(I199&lt;&gt;"",U199="",G199="Include"),1,0)</f>
        <v>1</v>
      </c>
      <c r="W199" s="57" t="str">
        <f aca="false">IF(I199="","",IF(COUNTIFS(AwardsData[Award ID],J199)=1,INDEX(AwardsData[Current award type],MATCH(J199,AwardsData[Award ID],0)),"Unlinked"))</f>
        <v>BPA Call</v>
      </c>
      <c r="X199" s="57" t="str">
        <f aca="false">IF(I199="","",IF(COUNTIFS(AwardsData[Award ID],J199)=1,INDEX(AwardsData[Current set-aside],MATCH(J199,AwardsData[Award ID],0)),"Unlinked"))</f>
        <v>No Set-Aside Used</v>
      </c>
      <c r="Y199" s="57" t="str">
        <f aca="false">IF(I199="","",IF(COUNTIFS(AwardsData[Award ID],J199)=1,INDEX(AwardsData[Performance state],MATCH(J199,AwardsData[Award ID],0)),"Unlinked"))</f>
        <v>Maryland</v>
      </c>
      <c r="Z199" s="57" t="n">
        <f aca="false">IF(AND(V199=1,OR(Dashboard!$AB$2="All",K199=Dashboard!$AB$2),OR(Dashboard!$AB$3="All",L199=Dashboard!$AB$3),OR(Dashboard!$N$10="All",W199=Dashboard!$N$10)),1,0)</f>
        <v>1</v>
      </c>
      <c r="AA199" s="57" t="n">
        <f aca="false">IF(AND(Z199=1,OR(Dashboard!$B$7="All",S199=Dashboard!$B$7)),1,0)</f>
        <v>1</v>
      </c>
      <c r="AB199" s="57" t="n">
        <f aca="false">IF(AND(V199=1,F199&lt;&gt;0),1,0)</f>
        <v>0</v>
      </c>
      <c r="AC199" s="57" t="n">
        <f aca="false">IF(AND(AA199=1,AB199=1),IF(COUNTIFS($J$17:J199,J199,$AA$17:AA199,1,$AB$17:AB199,1)=1,1,0),0)</f>
        <v>0</v>
      </c>
      <c r="AD199" s="57" t="n">
        <f aca="false">IF(AND(AA199=1,AB199=1),IF(COUNTIFS($K$17:K199,K199,$AA$17:AA199,1,$AB$17:AB199,1)=1,1,0),0)</f>
        <v>0</v>
      </c>
      <c r="AE199" s="57" t="n">
        <f aca="false">IF(AND(Z199=1,AB199=1),IF(COUNTIFS($J$17:J199,J199,$S$17:S199,S199,$Z$17:Z199,1,$AB$17:AB199,1)=1,1,0),0)</f>
        <v>0</v>
      </c>
      <c r="AF199" s="57" t="n">
        <f aca="false">IF(AND(Z199=1,AB199=1),IF(COUNTIFS($K$17:K199,K199,$S$17:S199,S199,$Z$17:Z199,1,$AB$17:AB199,1)=1,1,0),0)</f>
        <v>0</v>
      </c>
      <c r="AG199" s="57" t="n">
        <f aca="false">IF(AND(AA199=1,AB199=1),IF(COUNTIFS($J$17:J199,J199,$L$17:L199,L199,$AA$17:AA199,1,$AB$17:AB199,1)=1,1,0),0)</f>
        <v>0</v>
      </c>
      <c r="AH199" s="57" t="n">
        <f aca="false">IF(AND(AA199=1,AB199=1),IF(COUNTIFS($J$17:J199,J199,$K$17:K199,K199,$AA$17:AA199,1,$AB$17:AB199,1)=1,1,0),0)</f>
        <v>0</v>
      </c>
      <c r="AI199" s="56" t="n">
        <f aca="false">IF(V199=1,MAX(F199,0),0)</f>
        <v>0</v>
      </c>
      <c r="AJ199" s="56" t="n">
        <f aca="false">IF(V199=1,MIN(F199,0),0)</f>
        <v>0</v>
      </c>
    </row>
    <row r="200" customFormat="false" ht="40" hidden="false" customHeight="true" outlineLevel="0" collapsed="false">
      <c r="A200" s="66" t="n">
        <v>45852</v>
      </c>
      <c r="B200" s="54" t="str">
        <f aca="false">IF(M200="","",IF(P200="",M200,HYPERLINK(P200,M200)))</f>
        <v>GS35F337BA-49100421F0078</v>
      </c>
      <c r="C200" s="54" t="str">
        <f aca="false">IF(N200="","",IF(Q200="",N200,HYPERLINK(Q200,N200)))</f>
        <v>Civicactions, Inc.</v>
      </c>
      <c r="D200" s="60" t="s">
        <v>115</v>
      </c>
      <c r="E200" s="54" t="str">
        <f aca="false">IF(O200="","",IF(R200="",O200,HYPERLINK(R200,O200)))</f>
        <v>NSF — office not specified</v>
      </c>
      <c r="F200" s="62" t="n">
        <v>801885.17</v>
      </c>
      <c r="G200" s="61" t="s">
        <v>464</v>
      </c>
      <c r="H200" s="58"/>
      <c r="I200" s="58" t="s">
        <v>651</v>
      </c>
      <c r="J200" s="58" t="s">
        <v>414</v>
      </c>
      <c r="K200" s="58" t="s">
        <v>113</v>
      </c>
      <c r="L200" s="58" t="s">
        <v>213</v>
      </c>
      <c r="M200" s="58" t="s">
        <v>415</v>
      </c>
      <c r="N200" s="58" t="s">
        <v>114</v>
      </c>
      <c r="O200" s="58" t="s">
        <v>214</v>
      </c>
      <c r="P200" s="58" t="s">
        <v>416</v>
      </c>
      <c r="Q200" s="58" t="s">
        <v>116</v>
      </c>
      <c r="R200" s="58" t="s">
        <v>215</v>
      </c>
      <c r="S200" s="57" t="n">
        <f aca="false">IF(ISNUMBER(A200),YEAR(A200)+IF(MONTH(A200)&gt;=10,1,0),"")</f>
        <v>2025</v>
      </c>
      <c r="T200" s="57" t="n">
        <f aca="false">IF(ISNUMBER(A200),INT(MOD(MONTH(A200)-10,12)/3)+1,"")</f>
        <v>4</v>
      </c>
      <c r="U200" s="57" t="str">
        <f aca="false">IF(AND(I200&lt;&gt;"",D200&lt;&gt;"",OR(COUNTIFS(TransactionsData[Vendor ID],K200,TransactionsData[UEI],"&lt;&gt;"&amp;D200,TransactionsData[UEI],"?*")&gt;0,COUNTIFS(VendorGroups[Record ID],K200,VendorGroups[Source UEI],"&lt;&gt;"&amp;D200,VendorGroups[Source UEI],"?*")&gt;0)),"Conflicting vendor UEIs",IF(I200="",IF(COUNTA(A200,D200,F200:R200)&gt;0,"Missing transaction ID",""),IF(COUNTIFS(TransactionsData[Transaction ID],I200)&lt;&gt;1,"Duplicate transaction ID",IF(OR(NOT(ISNUMBER(A200)),A200&lt;1,A200&gt;DATE(2099,1,1)),"Use a valid date",IF(OR(A200&lt;$B$4,A200&gt;$D$4),"Outside coverage",IF(NOT(ISNUMBER(F200)),"Missing or invalid amount",IF(OR(K200="",L200="",N200=""),"Add vendor and office identities",IF(G200="Exclude",IF(OR(F200&lt;&gt;0,H200=""),"Review nonzero or unexplained exclusion",""),IF(G200&lt;&gt;"Include","Choose Include or Exclude",IF(COUNTIFS(AwardsData[Award ID],J200)&lt;&gt;1,"Award link needs review",IF(INDEX(AwardsData[Input check],MATCH(J200,AwardsData[Award ID],0))&lt;&gt;"","Check award inputs","")))))))))))</f>
        <v/>
      </c>
      <c r="V200" s="57" t="n">
        <f aca="false">IF(AND(I200&lt;&gt;"",U200="",G200="Include"),1,0)</f>
        <v>1</v>
      </c>
      <c r="W200" s="57" t="str">
        <f aca="false">IF(I200="","",IF(COUNTIFS(AwardsData[Award ID],J200)=1,INDEX(AwardsData[Current award type],MATCH(J200,AwardsData[Award ID],0)),"Unlinked"))</f>
        <v>Delivery Order</v>
      </c>
      <c r="X200" s="57" t="str">
        <f aca="false">IF(I200="","",IF(COUNTIFS(AwardsData[Award ID],J200)=1,INDEX(AwardsData[Current set-aside],MATCH(J200,AwardsData[Award ID],0)),"Unlinked"))</f>
        <v>Total Small Business</v>
      </c>
      <c r="Y200" s="57" t="str">
        <f aca="false">IF(I200="","",IF(COUNTIFS(AwardsData[Award ID],J200)=1,INDEX(AwardsData[Performance state],MATCH(J200,AwardsData[Award ID],0)),"Unlinked"))</f>
        <v>California</v>
      </c>
      <c r="Z200" s="57" t="n">
        <f aca="false">IF(AND(V200=1,OR(Dashboard!$AB$2="All",K200=Dashboard!$AB$2),OR(Dashboard!$AB$3="All",L200=Dashboard!$AB$3),OR(Dashboard!$N$10="All",W200=Dashboard!$N$10)),1,0)</f>
        <v>1</v>
      </c>
      <c r="AA200" s="57" t="n">
        <f aca="false">IF(AND(Z200=1,OR(Dashboard!$B$7="All",S200=Dashboard!$B$7)),1,0)</f>
        <v>1</v>
      </c>
      <c r="AB200" s="57" t="n">
        <f aca="false">IF(AND(V200=1,F200&lt;&gt;0),1,0)</f>
        <v>1</v>
      </c>
      <c r="AC200" s="57" t="n">
        <f aca="false">IF(AND(AA200=1,AB200=1),IF(COUNTIFS($J$17:J200,J200,$AA$17:AA200,1,$AB$17:AB200,1)=1,1,0),0)</f>
        <v>0</v>
      </c>
      <c r="AD200" s="57" t="n">
        <f aca="false">IF(AND(AA200=1,AB200=1),IF(COUNTIFS($K$17:K200,K200,$AA$17:AA200,1,$AB$17:AB200,1)=1,1,0),0)</f>
        <v>0</v>
      </c>
      <c r="AE200" s="57" t="n">
        <f aca="false">IF(AND(Z200=1,AB200=1),IF(COUNTIFS($J$17:J200,J200,$S$17:S200,S200,$Z$17:Z200,1,$AB$17:AB200,1)=1,1,0),0)</f>
        <v>0</v>
      </c>
      <c r="AF200" s="57" t="n">
        <f aca="false">IF(AND(Z200=1,AB200=1),IF(COUNTIFS($K$17:K200,K200,$S$17:S200,S200,$Z$17:Z200,1,$AB$17:AB200,1)=1,1,0),0)</f>
        <v>0</v>
      </c>
      <c r="AG200" s="57" t="n">
        <f aca="false">IF(AND(AA200=1,AB200=1),IF(COUNTIFS($J$17:J200,J200,$L$17:L200,L200,$AA$17:AA200,1,$AB$17:AB200,1)=1,1,0),0)</f>
        <v>0</v>
      </c>
      <c r="AH200" s="57" t="n">
        <f aca="false">IF(AND(AA200=1,AB200=1),IF(COUNTIFS($J$17:J200,J200,$K$17:K200,K200,$AA$17:AA200,1,$AB$17:AB200,1)=1,1,0),0)</f>
        <v>0</v>
      </c>
      <c r="AI200" s="56" t="n">
        <f aca="false">IF(V200=1,MAX(F200,0),0)</f>
        <v>801885.17</v>
      </c>
      <c r="AJ200" s="56" t="n">
        <f aca="false">IF(V200=1,MIN(F200,0),0)</f>
        <v>0</v>
      </c>
    </row>
    <row r="201" customFormat="false" ht="40" hidden="false" customHeight="true" outlineLevel="0" collapsed="false">
      <c r="A201" s="66" t="n">
        <v>45856</v>
      </c>
      <c r="B201" s="54" t="str">
        <f aca="false">IF(M201="","",IF(P201="",M201,HYPERLINK(P201,M201)))</f>
        <v>47QTCB21D0005-49100422F0014</v>
      </c>
      <c r="C201" s="54" t="str">
        <f aca="false">IF(N201="","",IF(Q201="",N201,HYPERLINK(Q201,N201)))</f>
        <v>GBS Solutions Corp</v>
      </c>
      <c r="D201" s="60" t="s">
        <v>139</v>
      </c>
      <c r="E201" s="54" t="str">
        <f aca="false">IF(O201="","",IF(R201="",O201,HYPERLINK(R201,O201)))</f>
        <v>National Science Board</v>
      </c>
      <c r="F201" s="62" t="n">
        <v>0</v>
      </c>
      <c r="G201" s="61" t="s">
        <v>464</v>
      </c>
      <c r="H201" s="58"/>
      <c r="I201" s="58" t="s">
        <v>652</v>
      </c>
      <c r="J201" s="58" t="s">
        <v>272</v>
      </c>
      <c r="K201" s="58" t="s">
        <v>137</v>
      </c>
      <c r="L201" s="58" t="s">
        <v>209</v>
      </c>
      <c r="M201" s="58" t="s">
        <v>273</v>
      </c>
      <c r="N201" s="58" t="s">
        <v>138</v>
      </c>
      <c r="O201" s="58" t="s">
        <v>210</v>
      </c>
      <c r="P201" s="58" t="s">
        <v>274</v>
      </c>
      <c r="Q201" s="58" t="s">
        <v>140</v>
      </c>
      <c r="R201" s="58" t="s">
        <v>212</v>
      </c>
      <c r="S201" s="57" t="n">
        <f aca="false">IF(ISNUMBER(A201),YEAR(A201)+IF(MONTH(A201)&gt;=10,1,0),"")</f>
        <v>2025</v>
      </c>
      <c r="T201" s="57" t="n">
        <f aca="false">IF(ISNUMBER(A201),INT(MOD(MONTH(A201)-10,12)/3)+1,"")</f>
        <v>4</v>
      </c>
      <c r="U201" s="57" t="str">
        <f aca="false">IF(AND(I201&lt;&gt;"",D201&lt;&gt;"",OR(COUNTIFS(TransactionsData[Vendor ID],K201,TransactionsData[UEI],"&lt;&gt;"&amp;D201,TransactionsData[UEI],"?*")&gt;0,COUNTIFS(VendorGroups[Record ID],K201,VendorGroups[Source UEI],"&lt;&gt;"&amp;D201,VendorGroups[Source UEI],"?*")&gt;0)),"Conflicting vendor UEIs",IF(I201="",IF(COUNTA(A201,D201,F201:R201)&gt;0,"Missing transaction ID",""),IF(COUNTIFS(TransactionsData[Transaction ID],I201)&lt;&gt;1,"Duplicate transaction ID",IF(OR(NOT(ISNUMBER(A201)),A201&lt;1,A201&gt;DATE(2099,1,1)),"Use a valid date",IF(OR(A201&lt;$B$4,A201&gt;$D$4),"Outside coverage",IF(NOT(ISNUMBER(F201)),"Missing or invalid amount",IF(OR(K201="",L201="",N201=""),"Add vendor and office identities",IF(G201="Exclude",IF(OR(F201&lt;&gt;0,H201=""),"Review nonzero or unexplained exclusion",""),IF(G201&lt;&gt;"Include","Choose Include or Exclude",IF(COUNTIFS(AwardsData[Award ID],J201)&lt;&gt;1,"Award link needs review",IF(INDEX(AwardsData[Input check],MATCH(J201,AwardsData[Award ID],0))&lt;&gt;"","Check award inputs","")))))))))))</f>
        <v/>
      </c>
      <c r="V201" s="57" t="n">
        <f aca="false">IF(AND(I201&lt;&gt;"",U201="",G201="Include"),1,0)</f>
        <v>1</v>
      </c>
      <c r="W201" s="57" t="str">
        <f aca="false">IF(I201="","",IF(COUNTIFS(AwardsData[Award ID],J201)=1,INDEX(AwardsData[Current award type],MATCH(J201,AwardsData[Award ID],0)),"Unlinked"))</f>
        <v>Delivery Order</v>
      </c>
      <c r="X201" s="57" t="str">
        <f aca="false">IF(I201="","",IF(COUNTIFS(AwardsData[Award ID],J201)=1,INDEX(AwardsData[Current set-aside],MATCH(J201,AwardsData[Award ID],0)),"Unlinked"))</f>
        <v>No Set-Aside Used</v>
      </c>
      <c r="Y201" s="57" t="str">
        <f aca="false">IF(I201="","",IF(COUNTIFS(AwardsData[Award ID],J201)=1,INDEX(AwardsData[Performance state],MATCH(J201,AwardsData[Award ID],0)),"Unlinked"))</f>
        <v>Virginia</v>
      </c>
      <c r="Z201" s="57" t="n">
        <f aca="false">IF(AND(V201=1,OR(Dashboard!$AB$2="All",K201=Dashboard!$AB$2),OR(Dashboard!$AB$3="All",L201=Dashboard!$AB$3),OR(Dashboard!$N$10="All",W201=Dashboard!$N$10)),1,0)</f>
        <v>1</v>
      </c>
      <c r="AA201" s="57" t="n">
        <f aca="false">IF(AND(Z201=1,OR(Dashboard!$B$7="All",S201=Dashboard!$B$7)),1,0)</f>
        <v>1</v>
      </c>
      <c r="AB201" s="57" t="n">
        <f aca="false">IF(AND(V201=1,F201&lt;&gt;0),1,0)</f>
        <v>0</v>
      </c>
      <c r="AC201" s="57" t="n">
        <f aca="false">IF(AND(AA201=1,AB201=1),IF(COUNTIFS($J$17:J201,J201,$AA$17:AA201,1,$AB$17:AB201,1)=1,1,0),0)</f>
        <v>0</v>
      </c>
      <c r="AD201" s="57" t="n">
        <f aca="false">IF(AND(AA201=1,AB201=1),IF(COUNTIFS($K$17:K201,K201,$AA$17:AA201,1,$AB$17:AB201,1)=1,1,0),0)</f>
        <v>0</v>
      </c>
      <c r="AE201" s="57" t="n">
        <f aca="false">IF(AND(Z201=1,AB201=1),IF(COUNTIFS($J$17:J201,J201,$S$17:S201,S201,$Z$17:Z201,1,$AB$17:AB201,1)=1,1,0),0)</f>
        <v>0</v>
      </c>
      <c r="AF201" s="57" t="n">
        <f aca="false">IF(AND(Z201=1,AB201=1),IF(COUNTIFS($K$17:K201,K201,$S$17:S201,S201,$Z$17:Z201,1,$AB$17:AB201,1)=1,1,0),0)</f>
        <v>0</v>
      </c>
      <c r="AG201" s="57" t="n">
        <f aca="false">IF(AND(AA201=1,AB201=1),IF(COUNTIFS($J$17:J201,J201,$L$17:L201,L201,$AA$17:AA201,1,$AB$17:AB201,1)=1,1,0),0)</f>
        <v>0</v>
      </c>
      <c r="AH201" s="57" t="n">
        <f aca="false">IF(AND(AA201=1,AB201=1),IF(COUNTIFS($J$17:J201,J201,$K$17:K201,K201,$AA$17:AA201,1,$AB$17:AB201,1)=1,1,0),0)</f>
        <v>0</v>
      </c>
      <c r="AI201" s="56" t="n">
        <f aca="false">IF(V201=1,MAX(F201,0),0)</f>
        <v>0</v>
      </c>
      <c r="AJ201" s="56" t="n">
        <f aca="false">IF(V201=1,MIN(F201,0),0)</f>
        <v>0</v>
      </c>
    </row>
    <row r="202" customFormat="false" ht="40" hidden="false" customHeight="true" outlineLevel="0" collapsed="false">
      <c r="A202" s="66" t="n">
        <v>45856</v>
      </c>
      <c r="B202" s="54" t="str">
        <f aca="false">IF(M202="","",IF(P202="",M202,HYPERLINK(P202,M202)))</f>
        <v>47QTCB21D0005-49100422F0104</v>
      </c>
      <c r="C202" s="54" t="str">
        <f aca="false">IF(N202="","",IF(Q202="",N202,HYPERLINK(Q202,N202)))</f>
        <v>GBS Solutions Corp</v>
      </c>
      <c r="D202" s="60" t="s">
        <v>139</v>
      </c>
      <c r="E202" s="54" t="str">
        <f aca="false">IF(O202="","",IF(R202="",O202,HYPERLINK(R202,O202)))</f>
        <v>NSF — office not specified</v>
      </c>
      <c r="F202" s="62" t="n">
        <v>0</v>
      </c>
      <c r="G202" s="61" t="s">
        <v>464</v>
      </c>
      <c r="H202" s="58"/>
      <c r="I202" s="58" t="s">
        <v>653</v>
      </c>
      <c r="J202" s="58" t="s">
        <v>276</v>
      </c>
      <c r="K202" s="58" t="s">
        <v>137</v>
      </c>
      <c r="L202" s="58" t="s">
        <v>213</v>
      </c>
      <c r="M202" s="58" t="s">
        <v>277</v>
      </c>
      <c r="N202" s="58" t="s">
        <v>138</v>
      </c>
      <c r="O202" s="58" t="s">
        <v>214</v>
      </c>
      <c r="P202" s="58" t="s">
        <v>278</v>
      </c>
      <c r="Q202" s="58" t="s">
        <v>140</v>
      </c>
      <c r="R202" s="58" t="s">
        <v>215</v>
      </c>
      <c r="S202" s="57" t="n">
        <f aca="false">IF(ISNUMBER(A202),YEAR(A202)+IF(MONTH(A202)&gt;=10,1,0),"")</f>
        <v>2025</v>
      </c>
      <c r="T202" s="57" t="n">
        <f aca="false">IF(ISNUMBER(A202),INT(MOD(MONTH(A202)-10,12)/3)+1,"")</f>
        <v>4</v>
      </c>
      <c r="U202" s="57" t="str">
        <f aca="false">IF(AND(I202&lt;&gt;"",D202&lt;&gt;"",OR(COUNTIFS(TransactionsData[Vendor ID],K202,TransactionsData[UEI],"&lt;&gt;"&amp;D202,TransactionsData[UEI],"?*")&gt;0,COUNTIFS(VendorGroups[Record ID],K202,VendorGroups[Source UEI],"&lt;&gt;"&amp;D202,VendorGroups[Source UEI],"?*")&gt;0)),"Conflicting vendor UEIs",IF(I202="",IF(COUNTA(A202,D202,F202:R202)&gt;0,"Missing transaction ID",""),IF(COUNTIFS(TransactionsData[Transaction ID],I202)&lt;&gt;1,"Duplicate transaction ID",IF(OR(NOT(ISNUMBER(A202)),A202&lt;1,A202&gt;DATE(2099,1,1)),"Use a valid date",IF(OR(A202&lt;$B$4,A202&gt;$D$4),"Outside coverage",IF(NOT(ISNUMBER(F202)),"Missing or invalid amount",IF(OR(K202="",L202="",N202=""),"Add vendor and office identities",IF(G202="Exclude",IF(OR(F202&lt;&gt;0,H202=""),"Review nonzero or unexplained exclusion",""),IF(G202&lt;&gt;"Include","Choose Include or Exclude",IF(COUNTIFS(AwardsData[Award ID],J202)&lt;&gt;1,"Award link needs review",IF(INDEX(AwardsData[Input check],MATCH(J202,AwardsData[Award ID],0))&lt;&gt;"","Check award inputs","")))))))))))</f>
        <v/>
      </c>
      <c r="V202" s="57" t="n">
        <f aca="false">IF(AND(I202&lt;&gt;"",U202="",G202="Include"),1,0)</f>
        <v>1</v>
      </c>
      <c r="W202" s="57" t="str">
        <f aca="false">IF(I202="","",IF(COUNTIFS(AwardsData[Award ID],J202)=1,INDEX(AwardsData[Current award type],MATCH(J202,AwardsData[Award ID],0)),"Unlinked"))</f>
        <v>Delivery Order</v>
      </c>
      <c r="X202" s="57" t="str">
        <f aca="false">IF(I202="","",IF(COUNTIFS(AwardsData[Award ID],J202)=1,INDEX(AwardsData[Current set-aside],MATCH(J202,AwardsData[Award ID],0)),"Unlinked"))</f>
        <v>Competitive 8(a)</v>
      </c>
      <c r="Y202" s="57" t="str">
        <f aca="false">IF(I202="","",IF(COUNTIFS(AwardsData[Award ID],J202)=1,INDEX(AwardsData[Performance state],MATCH(J202,AwardsData[Award ID],0)),"Unlinked"))</f>
        <v>Utah</v>
      </c>
      <c r="Z202" s="57" t="n">
        <f aca="false">IF(AND(V202=1,OR(Dashboard!$AB$2="All",K202=Dashboard!$AB$2),OR(Dashboard!$AB$3="All",L202=Dashboard!$AB$3),OR(Dashboard!$N$10="All",W202=Dashboard!$N$10)),1,0)</f>
        <v>1</v>
      </c>
      <c r="AA202" s="57" t="n">
        <f aca="false">IF(AND(Z202=1,OR(Dashboard!$B$7="All",S202=Dashboard!$B$7)),1,0)</f>
        <v>1</v>
      </c>
      <c r="AB202" s="57" t="n">
        <f aca="false">IF(AND(V202=1,F202&lt;&gt;0),1,0)</f>
        <v>0</v>
      </c>
      <c r="AC202" s="57" t="n">
        <f aca="false">IF(AND(AA202=1,AB202=1),IF(COUNTIFS($J$17:J202,J202,$AA$17:AA202,1,$AB$17:AB202,1)=1,1,0),0)</f>
        <v>0</v>
      </c>
      <c r="AD202" s="57" t="n">
        <f aca="false">IF(AND(AA202=1,AB202=1),IF(COUNTIFS($K$17:K202,K202,$AA$17:AA202,1,$AB$17:AB202,1)=1,1,0),0)</f>
        <v>0</v>
      </c>
      <c r="AE202" s="57" t="n">
        <f aca="false">IF(AND(Z202=1,AB202=1),IF(COUNTIFS($J$17:J202,J202,$S$17:S202,S202,$Z$17:Z202,1,$AB$17:AB202,1)=1,1,0),0)</f>
        <v>0</v>
      </c>
      <c r="AF202" s="57" t="n">
        <f aca="false">IF(AND(Z202=1,AB202=1),IF(COUNTIFS($K$17:K202,K202,$S$17:S202,S202,$Z$17:Z202,1,$AB$17:AB202,1)=1,1,0),0)</f>
        <v>0</v>
      </c>
      <c r="AG202" s="57" t="n">
        <f aca="false">IF(AND(AA202=1,AB202=1),IF(COUNTIFS($J$17:J202,J202,$L$17:L202,L202,$AA$17:AA202,1,$AB$17:AB202,1)=1,1,0),0)</f>
        <v>0</v>
      </c>
      <c r="AH202" s="57" t="n">
        <f aca="false">IF(AND(AA202=1,AB202=1),IF(COUNTIFS($J$17:J202,J202,$K$17:K202,K202,$AA$17:AA202,1,$AB$17:AB202,1)=1,1,0),0)</f>
        <v>0</v>
      </c>
      <c r="AI202" s="56" t="n">
        <f aca="false">IF(V202=1,MAX(F202,0),0)</f>
        <v>0</v>
      </c>
      <c r="AJ202" s="56" t="n">
        <f aca="false">IF(V202=1,MIN(F202,0),0)</f>
        <v>0</v>
      </c>
    </row>
    <row r="203" customFormat="false" ht="40" hidden="false" customHeight="true" outlineLevel="0" collapsed="false">
      <c r="A203" s="66" t="n">
        <v>45856</v>
      </c>
      <c r="B203" s="54" t="str">
        <f aca="false">IF(M203="","",IF(P203="",M203,HYPERLINK(P203,M203)))</f>
        <v>49100424A0001-49100424F0051</v>
      </c>
      <c r="C203" s="54" t="str">
        <f aca="false">IF(N203="","",IF(Q203="",N203,HYPERLINK(Q203,N203)))</f>
        <v>Spatial Front Inc.</v>
      </c>
      <c r="D203" s="60" t="s">
        <v>166</v>
      </c>
      <c r="E203" s="54" t="str">
        <f aca="false">IF(O203="","",IF(R203="",O203,HYPERLINK(R203,O203)))</f>
        <v>NSF — office not specified</v>
      </c>
      <c r="F203" s="62" t="n">
        <v>40000</v>
      </c>
      <c r="G203" s="61" t="s">
        <v>464</v>
      </c>
      <c r="H203" s="58"/>
      <c r="I203" s="58" t="s">
        <v>654</v>
      </c>
      <c r="J203" s="58" t="s">
        <v>367</v>
      </c>
      <c r="K203" s="58" t="s">
        <v>164</v>
      </c>
      <c r="L203" s="58" t="s">
        <v>213</v>
      </c>
      <c r="M203" s="58" t="s">
        <v>368</v>
      </c>
      <c r="N203" s="58" t="s">
        <v>165</v>
      </c>
      <c r="O203" s="58" t="s">
        <v>214</v>
      </c>
      <c r="P203" s="58" t="s">
        <v>369</v>
      </c>
      <c r="Q203" s="58" t="s">
        <v>167</v>
      </c>
      <c r="R203" s="58" t="s">
        <v>215</v>
      </c>
      <c r="S203" s="57" t="n">
        <f aca="false">IF(ISNUMBER(A203),YEAR(A203)+IF(MONTH(A203)&gt;=10,1,0),"")</f>
        <v>2025</v>
      </c>
      <c r="T203" s="57" t="n">
        <f aca="false">IF(ISNUMBER(A203),INT(MOD(MONTH(A203)-10,12)/3)+1,"")</f>
        <v>4</v>
      </c>
      <c r="U203" s="57" t="str">
        <f aca="false">IF(AND(I203&lt;&gt;"",D203&lt;&gt;"",OR(COUNTIFS(TransactionsData[Vendor ID],K203,TransactionsData[UEI],"&lt;&gt;"&amp;D203,TransactionsData[UEI],"?*")&gt;0,COUNTIFS(VendorGroups[Record ID],K203,VendorGroups[Source UEI],"&lt;&gt;"&amp;D203,VendorGroups[Source UEI],"?*")&gt;0)),"Conflicting vendor UEIs",IF(I203="",IF(COUNTA(A203,D203,F203:R203)&gt;0,"Missing transaction ID",""),IF(COUNTIFS(TransactionsData[Transaction ID],I203)&lt;&gt;1,"Duplicate transaction ID",IF(OR(NOT(ISNUMBER(A203)),A203&lt;1,A203&gt;DATE(2099,1,1)),"Use a valid date",IF(OR(A203&lt;$B$4,A203&gt;$D$4),"Outside coverage",IF(NOT(ISNUMBER(F203)),"Missing or invalid amount",IF(OR(K203="",L203="",N203=""),"Add vendor and office identities",IF(G203="Exclude",IF(OR(F203&lt;&gt;0,H203=""),"Review nonzero or unexplained exclusion",""),IF(G203&lt;&gt;"Include","Choose Include or Exclude",IF(COUNTIFS(AwardsData[Award ID],J203)&lt;&gt;1,"Award link needs review",IF(INDEX(AwardsData[Input check],MATCH(J203,AwardsData[Award ID],0))&lt;&gt;"","Check award inputs","")))))))))))</f>
        <v/>
      </c>
      <c r="V203" s="57" t="n">
        <f aca="false">IF(AND(I203&lt;&gt;"",U203="",G203="Include"),1,0)</f>
        <v>1</v>
      </c>
      <c r="W203" s="57" t="str">
        <f aca="false">IF(I203="","",IF(COUNTIFS(AwardsData[Award ID],J203)=1,INDEX(AwardsData[Current award type],MATCH(J203,AwardsData[Award ID],0)),"Unlinked"))</f>
        <v>BPA Call</v>
      </c>
      <c r="X203" s="57" t="str">
        <f aca="false">IF(I203="","",IF(COUNTIFS(AwardsData[Award ID],J203)=1,INDEX(AwardsData[Current set-aside],MATCH(J203,AwardsData[Award ID],0)),"Unlinked"))</f>
        <v>Total Small Business</v>
      </c>
      <c r="Y203" s="57" t="str">
        <f aca="false">IF(I203="","",IF(COUNTIFS(AwardsData[Award ID],J203)=1,INDEX(AwardsData[Performance state],MATCH(J203,AwardsData[Award ID],0)),"Unlinked"))</f>
        <v>Virginia</v>
      </c>
      <c r="Z203" s="57" t="n">
        <f aca="false">IF(AND(V203=1,OR(Dashboard!$AB$2="All",K203=Dashboard!$AB$2),OR(Dashboard!$AB$3="All",L203=Dashboard!$AB$3),OR(Dashboard!$N$10="All",W203=Dashboard!$N$10)),1,0)</f>
        <v>1</v>
      </c>
      <c r="AA203" s="57" t="n">
        <f aca="false">IF(AND(Z203=1,OR(Dashboard!$B$7="All",S203=Dashboard!$B$7)),1,0)</f>
        <v>1</v>
      </c>
      <c r="AB203" s="57" t="n">
        <f aca="false">IF(AND(V203=1,F203&lt;&gt;0),1,0)</f>
        <v>1</v>
      </c>
      <c r="AC203" s="57" t="n">
        <f aca="false">IF(AND(AA203=1,AB203=1),IF(COUNTIFS($J$17:J203,J203,$AA$17:AA203,1,$AB$17:AB203,1)=1,1,0),0)</f>
        <v>0</v>
      </c>
      <c r="AD203" s="57" t="n">
        <f aca="false">IF(AND(AA203=1,AB203=1),IF(COUNTIFS($K$17:K203,K203,$AA$17:AA203,1,$AB$17:AB203,1)=1,1,0),0)</f>
        <v>0</v>
      </c>
      <c r="AE203" s="57" t="n">
        <f aca="false">IF(AND(Z203=1,AB203=1),IF(COUNTIFS($J$17:J203,J203,$S$17:S203,S203,$Z$17:Z203,1,$AB$17:AB203,1)=1,1,0),0)</f>
        <v>0</v>
      </c>
      <c r="AF203" s="57" t="n">
        <f aca="false">IF(AND(Z203=1,AB203=1),IF(COUNTIFS($K$17:K203,K203,$S$17:S203,S203,$Z$17:Z203,1,$AB$17:AB203,1)=1,1,0),0)</f>
        <v>0</v>
      </c>
      <c r="AG203" s="57" t="n">
        <f aca="false">IF(AND(AA203=1,AB203=1),IF(COUNTIFS($J$17:J203,J203,$L$17:L203,L203,$AA$17:AA203,1,$AB$17:AB203,1)=1,1,0),0)</f>
        <v>0</v>
      </c>
      <c r="AH203" s="57" t="n">
        <f aca="false">IF(AND(AA203=1,AB203=1),IF(COUNTIFS($J$17:J203,J203,$K$17:K203,K203,$AA$17:AA203,1,$AB$17:AB203,1)=1,1,0),0)</f>
        <v>0</v>
      </c>
      <c r="AI203" s="56" t="n">
        <f aca="false">IF(V203=1,MAX(F203,0),0)</f>
        <v>40000</v>
      </c>
      <c r="AJ203" s="56" t="n">
        <f aca="false">IF(V203=1,MIN(F203,0),0)</f>
        <v>0</v>
      </c>
    </row>
    <row r="204" customFormat="false" ht="40" hidden="false" customHeight="true" outlineLevel="0" collapsed="false">
      <c r="A204" s="66" t="n">
        <v>45856</v>
      </c>
      <c r="B204" s="54" t="str">
        <f aca="false">IF(M204="","",IF(P204="",M204,HYPERLINK(P204,M204)))</f>
        <v>49100424A0001-49100424F0054</v>
      </c>
      <c r="C204" s="54" t="str">
        <f aca="false">IF(N204="","",IF(Q204="",N204,HYPERLINK(Q204,N204)))</f>
        <v>Spatial Front Inc.</v>
      </c>
      <c r="D204" s="60" t="s">
        <v>166</v>
      </c>
      <c r="E204" s="54" t="str">
        <f aca="false">IF(O204="","",IF(R204="",O204,HYPERLINK(R204,O204)))</f>
        <v>NSF — office not specified</v>
      </c>
      <c r="F204" s="62" t="n">
        <v>60000</v>
      </c>
      <c r="G204" s="61" t="s">
        <v>464</v>
      </c>
      <c r="H204" s="58"/>
      <c r="I204" s="58" t="s">
        <v>655</v>
      </c>
      <c r="J204" s="58" t="s">
        <v>376</v>
      </c>
      <c r="K204" s="58" t="s">
        <v>164</v>
      </c>
      <c r="L204" s="58" t="s">
        <v>213</v>
      </c>
      <c r="M204" s="58" t="s">
        <v>377</v>
      </c>
      <c r="N204" s="58" t="s">
        <v>165</v>
      </c>
      <c r="O204" s="58" t="s">
        <v>214</v>
      </c>
      <c r="P204" s="58" t="s">
        <v>378</v>
      </c>
      <c r="Q204" s="58" t="s">
        <v>167</v>
      </c>
      <c r="R204" s="58" t="s">
        <v>215</v>
      </c>
      <c r="S204" s="57" t="n">
        <f aca="false">IF(ISNUMBER(A204),YEAR(A204)+IF(MONTH(A204)&gt;=10,1,0),"")</f>
        <v>2025</v>
      </c>
      <c r="T204" s="57" t="n">
        <f aca="false">IF(ISNUMBER(A204),INT(MOD(MONTH(A204)-10,12)/3)+1,"")</f>
        <v>4</v>
      </c>
      <c r="U204" s="57" t="str">
        <f aca="false">IF(AND(I204&lt;&gt;"",D204&lt;&gt;"",OR(COUNTIFS(TransactionsData[Vendor ID],K204,TransactionsData[UEI],"&lt;&gt;"&amp;D204,TransactionsData[UEI],"?*")&gt;0,COUNTIFS(VendorGroups[Record ID],K204,VendorGroups[Source UEI],"&lt;&gt;"&amp;D204,VendorGroups[Source UEI],"?*")&gt;0)),"Conflicting vendor UEIs",IF(I204="",IF(COUNTA(A204,D204,F204:R204)&gt;0,"Missing transaction ID",""),IF(COUNTIFS(TransactionsData[Transaction ID],I204)&lt;&gt;1,"Duplicate transaction ID",IF(OR(NOT(ISNUMBER(A204)),A204&lt;1,A204&gt;DATE(2099,1,1)),"Use a valid date",IF(OR(A204&lt;$B$4,A204&gt;$D$4),"Outside coverage",IF(NOT(ISNUMBER(F204)),"Missing or invalid amount",IF(OR(K204="",L204="",N204=""),"Add vendor and office identities",IF(G204="Exclude",IF(OR(F204&lt;&gt;0,H204=""),"Review nonzero or unexplained exclusion",""),IF(G204&lt;&gt;"Include","Choose Include or Exclude",IF(COUNTIFS(AwardsData[Award ID],J204)&lt;&gt;1,"Award link needs review",IF(INDEX(AwardsData[Input check],MATCH(J204,AwardsData[Award ID],0))&lt;&gt;"","Check award inputs","")))))))))))</f>
        <v/>
      </c>
      <c r="V204" s="57" t="n">
        <f aca="false">IF(AND(I204&lt;&gt;"",U204="",G204="Include"),1,0)</f>
        <v>1</v>
      </c>
      <c r="W204" s="57" t="str">
        <f aca="false">IF(I204="","",IF(COUNTIFS(AwardsData[Award ID],J204)=1,INDEX(AwardsData[Current award type],MATCH(J204,AwardsData[Award ID],0)),"Unlinked"))</f>
        <v>BPA Call</v>
      </c>
      <c r="X204" s="57" t="str">
        <f aca="false">IF(I204="","",IF(COUNTIFS(AwardsData[Award ID],J204)=1,INDEX(AwardsData[Current set-aside],MATCH(J204,AwardsData[Award ID],0)),"Unlinked"))</f>
        <v>Total Small Business</v>
      </c>
      <c r="Y204" s="57" t="str">
        <f aca="false">IF(I204="","",IF(COUNTIFS(AwardsData[Award ID],J204)=1,INDEX(AwardsData[Performance state],MATCH(J204,AwardsData[Award ID],0)),"Unlinked"))</f>
        <v>Virginia</v>
      </c>
      <c r="Z204" s="57" t="n">
        <f aca="false">IF(AND(V204=1,OR(Dashboard!$AB$2="All",K204=Dashboard!$AB$2),OR(Dashboard!$AB$3="All",L204=Dashboard!$AB$3),OR(Dashboard!$N$10="All",W204=Dashboard!$N$10)),1,0)</f>
        <v>1</v>
      </c>
      <c r="AA204" s="57" t="n">
        <f aca="false">IF(AND(Z204=1,OR(Dashboard!$B$7="All",S204=Dashboard!$B$7)),1,0)</f>
        <v>1</v>
      </c>
      <c r="AB204" s="57" t="n">
        <f aca="false">IF(AND(V204=1,F204&lt;&gt;0),1,0)</f>
        <v>1</v>
      </c>
      <c r="AC204" s="57" t="n">
        <f aca="false">IF(AND(AA204=1,AB204=1),IF(COUNTIFS($J$17:J204,J204,$AA$17:AA204,1,$AB$17:AB204,1)=1,1,0),0)</f>
        <v>0</v>
      </c>
      <c r="AD204" s="57" t="n">
        <f aca="false">IF(AND(AA204=1,AB204=1),IF(COUNTIFS($K$17:K204,K204,$AA$17:AA204,1,$AB$17:AB204,1)=1,1,0),0)</f>
        <v>0</v>
      </c>
      <c r="AE204" s="57" t="n">
        <f aca="false">IF(AND(Z204=1,AB204=1),IF(COUNTIFS($J$17:J204,J204,$S$17:S204,S204,$Z$17:Z204,1,$AB$17:AB204,1)=1,1,0),0)</f>
        <v>0</v>
      </c>
      <c r="AF204" s="57" t="n">
        <f aca="false">IF(AND(Z204=1,AB204=1),IF(COUNTIFS($K$17:K204,K204,$S$17:S204,S204,$Z$17:Z204,1,$AB$17:AB204,1)=1,1,0),0)</f>
        <v>0</v>
      </c>
      <c r="AG204" s="57" t="n">
        <f aca="false">IF(AND(AA204=1,AB204=1),IF(COUNTIFS($J$17:J204,J204,$L$17:L204,L204,$AA$17:AA204,1,$AB$17:AB204,1)=1,1,0),0)</f>
        <v>0</v>
      </c>
      <c r="AH204" s="57" t="n">
        <f aca="false">IF(AND(AA204=1,AB204=1),IF(COUNTIFS($J$17:J204,J204,$K$17:K204,K204,$AA$17:AA204,1,$AB$17:AB204,1)=1,1,0),0)</f>
        <v>0</v>
      </c>
      <c r="AI204" s="56" t="n">
        <f aca="false">IF(V204=1,MAX(F204,0),0)</f>
        <v>60000</v>
      </c>
      <c r="AJ204" s="56" t="n">
        <f aca="false">IF(V204=1,MIN(F204,0),0)</f>
        <v>0</v>
      </c>
    </row>
    <row r="205" customFormat="false" ht="40" hidden="false" customHeight="true" outlineLevel="0" collapsed="false">
      <c r="A205" s="66" t="n">
        <v>45856</v>
      </c>
      <c r="B205" s="54" t="str">
        <f aca="false">IF(M205="","",IF(P205="",M205,HYPERLINK(P205,M205)))</f>
        <v>49100424A0001-49100424F0055</v>
      </c>
      <c r="C205" s="54" t="str">
        <f aca="false">IF(N205="","",IF(Q205="",N205,HYPERLINK(Q205,N205)))</f>
        <v>Spatial Front Inc.</v>
      </c>
      <c r="D205" s="60" t="s">
        <v>166</v>
      </c>
      <c r="E205" s="54" t="str">
        <f aca="false">IF(O205="","",IF(R205="",O205,HYPERLINK(R205,O205)))</f>
        <v>NSF — office not specified</v>
      </c>
      <c r="F205" s="62" t="n">
        <v>16712</v>
      </c>
      <c r="G205" s="61" t="s">
        <v>464</v>
      </c>
      <c r="H205" s="58"/>
      <c r="I205" s="58" t="s">
        <v>656</v>
      </c>
      <c r="J205" s="58" t="s">
        <v>379</v>
      </c>
      <c r="K205" s="58" t="s">
        <v>164</v>
      </c>
      <c r="L205" s="58" t="s">
        <v>213</v>
      </c>
      <c r="M205" s="58" t="s">
        <v>380</v>
      </c>
      <c r="N205" s="58" t="s">
        <v>165</v>
      </c>
      <c r="O205" s="58" t="s">
        <v>214</v>
      </c>
      <c r="P205" s="58" t="s">
        <v>381</v>
      </c>
      <c r="Q205" s="58" t="s">
        <v>167</v>
      </c>
      <c r="R205" s="58" t="s">
        <v>215</v>
      </c>
      <c r="S205" s="57" t="n">
        <f aca="false">IF(ISNUMBER(A205),YEAR(A205)+IF(MONTH(A205)&gt;=10,1,0),"")</f>
        <v>2025</v>
      </c>
      <c r="T205" s="57" t="n">
        <f aca="false">IF(ISNUMBER(A205),INT(MOD(MONTH(A205)-10,12)/3)+1,"")</f>
        <v>4</v>
      </c>
      <c r="U205" s="57" t="str">
        <f aca="false">IF(AND(I205&lt;&gt;"",D205&lt;&gt;"",OR(COUNTIFS(TransactionsData[Vendor ID],K205,TransactionsData[UEI],"&lt;&gt;"&amp;D205,TransactionsData[UEI],"?*")&gt;0,COUNTIFS(VendorGroups[Record ID],K205,VendorGroups[Source UEI],"&lt;&gt;"&amp;D205,VendorGroups[Source UEI],"?*")&gt;0)),"Conflicting vendor UEIs",IF(I205="",IF(COUNTA(A205,D205,F205:R205)&gt;0,"Missing transaction ID",""),IF(COUNTIFS(TransactionsData[Transaction ID],I205)&lt;&gt;1,"Duplicate transaction ID",IF(OR(NOT(ISNUMBER(A205)),A205&lt;1,A205&gt;DATE(2099,1,1)),"Use a valid date",IF(OR(A205&lt;$B$4,A205&gt;$D$4),"Outside coverage",IF(NOT(ISNUMBER(F205)),"Missing or invalid amount",IF(OR(K205="",L205="",N205=""),"Add vendor and office identities",IF(G205="Exclude",IF(OR(F205&lt;&gt;0,H205=""),"Review nonzero or unexplained exclusion",""),IF(G205&lt;&gt;"Include","Choose Include or Exclude",IF(COUNTIFS(AwardsData[Award ID],J205)&lt;&gt;1,"Award link needs review",IF(INDEX(AwardsData[Input check],MATCH(J205,AwardsData[Award ID],0))&lt;&gt;"","Check award inputs","")))))))))))</f>
        <v/>
      </c>
      <c r="V205" s="57" t="n">
        <f aca="false">IF(AND(I205&lt;&gt;"",U205="",G205="Include"),1,0)</f>
        <v>1</v>
      </c>
      <c r="W205" s="57" t="str">
        <f aca="false">IF(I205="","",IF(COUNTIFS(AwardsData[Award ID],J205)=1,INDEX(AwardsData[Current award type],MATCH(J205,AwardsData[Award ID],0)),"Unlinked"))</f>
        <v>BPA Call</v>
      </c>
      <c r="X205" s="57" t="str">
        <f aca="false">IF(I205="","",IF(COUNTIFS(AwardsData[Award ID],J205)=1,INDEX(AwardsData[Current set-aside],MATCH(J205,AwardsData[Award ID],0)),"Unlinked"))</f>
        <v>Total Small Business</v>
      </c>
      <c r="Y205" s="57" t="str">
        <f aca="false">IF(I205="","",IF(COUNTIFS(AwardsData[Award ID],J205)=1,INDEX(AwardsData[Performance state],MATCH(J205,AwardsData[Award ID],0)),"Unlinked"))</f>
        <v>Virginia</v>
      </c>
      <c r="Z205" s="57" t="n">
        <f aca="false">IF(AND(V205=1,OR(Dashboard!$AB$2="All",K205=Dashboard!$AB$2),OR(Dashboard!$AB$3="All",L205=Dashboard!$AB$3),OR(Dashboard!$N$10="All",W205=Dashboard!$N$10)),1,0)</f>
        <v>1</v>
      </c>
      <c r="AA205" s="57" t="n">
        <f aca="false">IF(AND(Z205=1,OR(Dashboard!$B$7="All",S205=Dashboard!$B$7)),1,0)</f>
        <v>1</v>
      </c>
      <c r="AB205" s="57" t="n">
        <f aca="false">IF(AND(V205=1,F205&lt;&gt;0),1,0)</f>
        <v>1</v>
      </c>
      <c r="AC205" s="57" t="n">
        <f aca="false">IF(AND(AA205=1,AB205=1),IF(COUNTIFS($J$17:J205,J205,$AA$17:AA205,1,$AB$17:AB205,1)=1,1,0),0)</f>
        <v>0</v>
      </c>
      <c r="AD205" s="57" t="n">
        <f aca="false">IF(AND(AA205=1,AB205=1),IF(COUNTIFS($K$17:K205,K205,$AA$17:AA205,1,$AB$17:AB205,1)=1,1,0),0)</f>
        <v>0</v>
      </c>
      <c r="AE205" s="57" t="n">
        <f aca="false">IF(AND(Z205=1,AB205=1),IF(COUNTIFS($J$17:J205,J205,$S$17:S205,S205,$Z$17:Z205,1,$AB$17:AB205,1)=1,1,0),0)</f>
        <v>0</v>
      </c>
      <c r="AF205" s="57" t="n">
        <f aca="false">IF(AND(Z205=1,AB205=1),IF(COUNTIFS($K$17:K205,K205,$S$17:S205,S205,$Z$17:Z205,1,$AB$17:AB205,1)=1,1,0),0)</f>
        <v>0</v>
      </c>
      <c r="AG205" s="57" t="n">
        <f aca="false">IF(AND(AA205=1,AB205=1),IF(COUNTIFS($J$17:J205,J205,$L$17:L205,L205,$AA$17:AA205,1,$AB$17:AB205,1)=1,1,0),0)</f>
        <v>0</v>
      </c>
      <c r="AH205" s="57" t="n">
        <f aca="false">IF(AND(AA205=1,AB205=1),IF(COUNTIFS($J$17:J205,J205,$K$17:K205,K205,$AA$17:AA205,1,$AB$17:AB205,1)=1,1,0),0)</f>
        <v>0</v>
      </c>
      <c r="AI205" s="56" t="n">
        <f aca="false">IF(V205=1,MAX(F205,0),0)</f>
        <v>16712</v>
      </c>
      <c r="AJ205" s="56" t="n">
        <f aca="false">IF(V205=1,MIN(F205,0),0)</f>
        <v>0</v>
      </c>
    </row>
    <row r="206" customFormat="false" ht="40" hidden="false" customHeight="true" outlineLevel="0" collapsed="false">
      <c r="A206" s="66" t="n">
        <v>45861</v>
      </c>
      <c r="B206" s="54" t="str">
        <f aca="false">IF(M206="","",IF(P206="",M206,HYPERLINK(P206,M206)))</f>
        <v>47QTCB21D0005-49100423F0061</v>
      </c>
      <c r="C206" s="54" t="str">
        <f aca="false">IF(N206="","",IF(Q206="",N206,HYPERLINK(Q206,N206)))</f>
        <v>GBS Solutions Corp</v>
      </c>
      <c r="D206" s="60" t="s">
        <v>139</v>
      </c>
      <c r="E206" s="54" t="str">
        <f aca="false">IF(O206="","",IF(R206="",O206,HYPERLINK(R206,O206)))</f>
        <v>NSF — office not specified</v>
      </c>
      <c r="F206" s="62" t="n">
        <v>-112336.2</v>
      </c>
      <c r="G206" s="61" t="s">
        <v>464</v>
      </c>
      <c r="H206" s="58"/>
      <c r="I206" s="58" t="s">
        <v>657</v>
      </c>
      <c r="J206" s="58" t="s">
        <v>279</v>
      </c>
      <c r="K206" s="58" t="s">
        <v>137</v>
      </c>
      <c r="L206" s="58" t="s">
        <v>213</v>
      </c>
      <c r="M206" s="58" t="s">
        <v>280</v>
      </c>
      <c r="N206" s="58" t="s">
        <v>138</v>
      </c>
      <c r="O206" s="58" t="s">
        <v>214</v>
      </c>
      <c r="P206" s="58" t="s">
        <v>281</v>
      </c>
      <c r="Q206" s="58" t="s">
        <v>140</v>
      </c>
      <c r="R206" s="58" t="s">
        <v>215</v>
      </c>
      <c r="S206" s="57" t="n">
        <f aca="false">IF(ISNUMBER(A206),YEAR(A206)+IF(MONTH(A206)&gt;=10,1,0),"")</f>
        <v>2025</v>
      </c>
      <c r="T206" s="57" t="n">
        <f aca="false">IF(ISNUMBER(A206),INT(MOD(MONTH(A206)-10,12)/3)+1,"")</f>
        <v>4</v>
      </c>
      <c r="U206" s="57" t="str">
        <f aca="false">IF(AND(I206&lt;&gt;"",D206&lt;&gt;"",OR(COUNTIFS(TransactionsData[Vendor ID],K206,TransactionsData[UEI],"&lt;&gt;"&amp;D206,TransactionsData[UEI],"?*")&gt;0,COUNTIFS(VendorGroups[Record ID],K206,VendorGroups[Source UEI],"&lt;&gt;"&amp;D206,VendorGroups[Source UEI],"?*")&gt;0)),"Conflicting vendor UEIs",IF(I206="",IF(COUNTA(A206,D206,F206:R206)&gt;0,"Missing transaction ID",""),IF(COUNTIFS(TransactionsData[Transaction ID],I206)&lt;&gt;1,"Duplicate transaction ID",IF(OR(NOT(ISNUMBER(A206)),A206&lt;1,A206&gt;DATE(2099,1,1)),"Use a valid date",IF(OR(A206&lt;$B$4,A206&gt;$D$4),"Outside coverage",IF(NOT(ISNUMBER(F206)),"Missing or invalid amount",IF(OR(K206="",L206="",N206=""),"Add vendor and office identities",IF(G206="Exclude",IF(OR(F206&lt;&gt;0,H206=""),"Review nonzero or unexplained exclusion",""),IF(G206&lt;&gt;"Include","Choose Include or Exclude",IF(COUNTIFS(AwardsData[Award ID],J206)&lt;&gt;1,"Award link needs review",IF(INDEX(AwardsData[Input check],MATCH(J206,AwardsData[Award ID],0))&lt;&gt;"","Check award inputs","")))))))))))</f>
        <v/>
      </c>
      <c r="V206" s="57" t="n">
        <f aca="false">IF(AND(I206&lt;&gt;"",U206="",G206="Include"),1,0)</f>
        <v>1</v>
      </c>
      <c r="W206" s="57" t="str">
        <f aca="false">IF(I206="","",IF(COUNTIFS(AwardsData[Award ID],J206)=1,INDEX(AwardsData[Current award type],MATCH(J206,AwardsData[Award ID],0)),"Unlinked"))</f>
        <v>Delivery Order</v>
      </c>
      <c r="X206" s="57" t="str">
        <f aca="false">IF(I206="","",IF(COUNTIFS(AwardsData[Award ID],J206)=1,INDEX(AwardsData[Current set-aside],MATCH(J206,AwardsData[Award ID],0)),"Unlinked"))</f>
        <v>No Set-Aside Used</v>
      </c>
      <c r="Y206" s="57" t="str">
        <f aca="false">IF(I206="","",IF(COUNTIFS(AwardsData[Award ID],J206)=1,INDEX(AwardsData[Performance state],MATCH(J206,AwardsData[Award ID],0)),"Unlinked"))</f>
        <v>Utah</v>
      </c>
      <c r="Z206" s="57" t="n">
        <f aca="false">IF(AND(V206=1,OR(Dashboard!$AB$2="All",K206=Dashboard!$AB$2),OR(Dashboard!$AB$3="All",L206=Dashboard!$AB$3),OR(Dashboard!$N$10="All",W206=Dashboard!$N$10)),1,0)</f>
        <v>1</v>
      </c>
      <c r="AA206" s="57" t="n">
        <f aca="false">IF(AND(Z206=1,OR(Dashboard!$B$7="All",S206=Dashboard!$B$7)),1,0)</f>
        <v>1</v>
      </c>
      <c r="AB206" s="57" t="n">
        <f aca="false">IF(AND(V206=1,F206&lt;&gt;0),1,0)</f>
        <v>1</v>
      </c>
      <c r="AC206" s="57" t="n">
        <f aca="false">IF(AND(AA206=1,AB206=1),IF(COUNTIFS($J$17:J206,J206,$AA$17:AA206,1,$AB$17:AB206,1)=1,1,0),0)</f>
        <v>1</v>
      </c>
      <c r="AD206" s="57" t="n">
        <f aca="false">IF(AND(AA206=1,AB206=1),IF(COUNTIFS($K$17:K206,K206,$AA$17:AA206,1,$AB$17:AB206,1)=1,1,0),0)</f>
        <v>0</v>
      </c>
      <c r="AE206" s="57" t="n">
        <f aca="false">IF(AND(Z206=1,AB206=1),IF(COUNTIFS($J$17:J206,J206,$S$17:S206,S206,$Z$17:Z206,1,$AB$17:AB206,1)=1,1,0),0)</f>
        <v>1</v>
      </c>
      <c r="AF206" s="57" t="n">
        <f aca="false">IF(AND(Z206=1,AB206=1),IF(COUNTIFS($K$17:K206,K206,$S$17:S206,S206,$Z$17:Z206,1,$AB$17:AB206,1)=1,1,0),0)</f>
        <v>0</v>
      </c>
      <c r="AG206" s="57" t="n">
        <f aca="false">IF(AND(AA206=1,AB206=1),IF(COUNTIFS($J$17:J206,J206,$L$17:L206,L206,$AA$17:AA206,1,$AB$17:AB206,1)=1,1,0),0)</f>
        <v>1</v>
      </c>
      <c r="AH206" s="57" t="n">
        <f aca="false">IF(AND(AA206=1,AB206=1),IF(COUNTIFS($J$17:J206,J206,$K$17:K206,K206,$AA$17:AA206,1,$AB$17:AB206,1)=1,1,0),0)</f>
        <v>1</v>
      </c>
      <c r="AI206" s="56" t="n">
        <f aca="false">IF(V206=1,MAX(F206,0),0)</f>
        <v>0</v>
      </c>
      <c r="AJ206" s="56" t="n">
        <f aca="false">IF(V206=1,MIN(F206,0),0)</f>
        <v>-112336.2</v>
      </c>
    </row>
    <row r="207" customFormat="false" ht="40" hidden="false" customHeight="true" outlineLevel="0" collapsed="false">
      <c r="A207" s="66" t="n">
        <v>45862</v>
      </c>
      <c r="B207" s="54" t="str">
        <f aca="false">IF(M207="","",IF(P207="",M207,HYPERLINK(P207,M207)))</f>
        <v>NNG15SC90B-49100424F0064</v>
      </c>
      <c r="C207" s="54" t="str">
        <f aca="false">IF(N207="","",IF(Q207="",N207,HYPERLINK(Q207,N207)))</f>
        <v>Strategic Communications LLC</v>
      </c>
      <c r="D207" s="60" t="s">
        <v>170</v>
      </c>
      <c r="E207" s="54" t="str">
        <f aca="false">IF(O207="","",IF(R207="",O207,HYPERLINK(R207,O207)))</f>
        <v>NSF — office not specified</v>
      </c>
      <c r="F207" s="62" t="n">
        <v>0</v>
      </c>
      <c r="G207" s="61" t="s">
        <v>464</v>
      </c>
      <c r="H207" s="58"/>
      <c r="I207" s="58" t="s">
        <v>658</v>
      </c>
      <c r="J207" s="58" t="s">
        <v>418</v>
      </c>
      <c r="K207" s="58" t="s">
        <v>168</v>
      </c>
      <c r="L207" s="58" t="s">
        <v>213</v>
      </c>
      <c r="M207" s="58" t="s">
        <v>419</v>
      </c>
      <c r="N207" s="58" t="s">
        <v>169</v>
      </c>
      <c r="O207" s="58" t="s">
        <v>214</v>
      </c>
      <c r="P207" s="58" t="s">
        <v>420</v>
      </c>
      <c r="Q207" s="58" t="s">
        <v>171</v>
      </c>
      <c r="R207" s="58" t="s">
        <v>215</v>
      </c>
      <c r="S207" s="57" t="n">
        <f aca="false">IF(ISNUMBER(A207),YEAR(A207)+IF(MONTH(A207)&gt;=10,1,0),"")</f>
        <v>2025</v>
      </c>
      <c r="T207" s="57" t="n">
        <f aca="false">IF(ISNUMBER(A207),INT(MOD(MONTH(A207)-10,12)/3)+1,"")</f>
        <v>4</v>
      </c>
      <c r="U207" s="57" t="str">
        <f aca="false">IF(AND(I207&lt;&gt;"",D207&lt;&gt;"",OR(COUNTIFS(TransactionsData[Vendor ID],K207,TransactionsData[UEI],"&lt;&gt;"&amp;D207,TransactionsData[UEI],"?*")&gt;0,COUNTIFS(VendorGroups[Record ID],K207,VendorGroups[Source UEI],"&lt;&gt;"&amp;D207,VendorGroups[Source UEI],"?*")&gt;0)),"Conflicting vendor UEIs",IF(I207="",IF(COUNTA(A207,D207,F207:R207)&gt;0,"Missing transaction ID",""),IF(COUNTIFS(TransactionsData[Transaction ID],I207)&lt;&gt;1,"Duplicate transaction ID",IF(OR(NOT(ISNUMBER(A207)),A207&lt;1,A207&gt;DATE(2099,1,1)),"Use a valid date",IF(OR(A207&lt;$B$4,A207&gt;$D$4),"Outside coverage",IF(NOT(ISNUMBER(F207)),"Missing or invalid amount",IF(OR(K207="",L207="",N207=""),"Add vendor and office identities",IF(G207="Exclude",IF(OR(F207&lt;&gt;0,H207=""),"Review nonzero or unexplained exclusion",""),IF(G207&lt;&gt;"Include","Choose Include or Exclude",IF(COUNTIFS(AwardsData[Award ID],J207)&lt;&gt;1,"Award link needs review",IF(INDEX(AwardsData[Input check],MATCH(J207,AwardsData[Award ID],0))&lt;&gt;"","Check award inputs","")))))))))))</f>
        <v/>
      </c>
      <c r="V207" s="57" t="n">
        <f aca="false">IF(AND(I207&lt;&gt;"",U207="",G207="Include"),1,0)</f>
        <v>1</v>
      </c>
      <c r="W207" s="57" t="str">
        <f aca="false">IF(I207="","",IF(COUNTIFS(AwardsData[Award ID],J207)=1,INDEX(AwardsData[Current award type],MATCH(J207,AwardsData[Award ID],0)),"Unlinked"))</f>
        <v>Delivery Order</v>
      </c>
      <c r="X207" s="57" t="str">
        <f aca="false">IF(I207="","",IF(COUNTIFS(AwardsData[Award ID],J207)=1,INDEX(AwardsData[Current set-aside],MATCH(J207,AwardsData[Award ID],0)),"Unlinked"))</f>
        <v>Total Small Business</v>
      </c>
      <c r="Y207" s="57" t="str">
        <f aca="false">IF(I207="","",IF(COUNTIFS(AwardsData[Award ID],J207)=1,INDEX(AwardsData[Performance state],MATCH(J207,AwardsData[Award ID],0)),"Unlinked"))</f>
        <v>Virginia</v>
      </c>
      <c r="Z207" s="57" t="n">
        <f aca="false">IF(AND(V207=1,OR(Dashboard!$AB$2="All",K207=Dashboard!$AB$2),OR(Dashboard!$AB$3="All",L207=Dashboard!$AB$3),OR(Dashboard!$N$10="All",W207=Dashboard!$N$10)),1,0)</f>
        <v>1</v>
      </c>
      <c r="AA207" s="57" t="n">
        <f aca="false">IF(AND(Z207=1,OR(Dashboard!$B$7="All",S207=Dashboard!$B$7)),1,0)</f>
        <v>1</v>
      </c>
      <c r="AB207" s="57" t="n">
        <f aca="false">IF(AND(V207=1,F207&lt;&gt;0),1,0)</f>
        <v>0</v>
      </c>
      <c r="AC207" s="57" t="n">
        <f aca="false">IF(AND(AA207=1,AB207=1),IF(COUNTIFS($J$17:J207,J207,$AA$17:AA207,1,$AB$17:AB207,1)=1,1,0),0)</f>
        <v>0</v>
      </c>
      <c r="AD207" s="57" t="n">
        <f aca="false">IF(AND(AA207=1,AB207=1),IF(COUNTIFS($K$17:K207,K207,$AA$17:AA207,1,$AB$17:AB207,1)=1,1,0),0)</f>
        <v>0</v>
      </c>
      <c r="AE207" s="57" t="n">
        <f aca="false">IF(AND(Z207=1,AB207=1),IF(COUNTIFS($J$17:J207,J207,$S$17:S207,S207,$Z$17:Z207,1,$AB$17:AB207,1)=1,1,0),0)</f>
        <v>0</v>
      </c>
      <c r="AF207" s="57" t="n">
        <f aca="false">IF(AND(Z207=1,AB207=1),IF(COUNTIFS($K$17:K207,K207,$S$17:S207,S207,$Z$17:Z207,1,$AB$17:AB207,1)=1,1,0),0)</f>
        <v>0</v>
      </c>
      <c r="AG207" s="57" t="n">
        <f aca="false">IF(AND(AA207=1,AB207=1),IF(COUNTIFS($J$17:J207,J207,$L$17:L207,L207,$AA$17:AA207,1,$AB$17:AB207,1)=1,1,0),0)</f>
        <v>0</v>
      </c>
      <c r="AH207" s="57" t="n">
        <f aca="false">IF(AND(AA207=1,AB207=1),IF(COUNTIFS($J$17:J207,J207,$K$17:K207,K207,$AA$17:AA207,1,$AB$17:AB207,1)=1,1,0),0)</f>
        <v>0</v>
      </c>
      <c r="AI207" s="56" t="n">
        <f aca="false">IF(V207=1,MAX(F207,0),0)</f>
        <v>0</v>
      </c>
      <c r="AJ207" s="56" t="n">
        <f aca="false">IF(V207=1,MIN(F207,0),0)</f>
        <v>0</v>
      </c>
    </row>
    <row r="208" customFormat="false" ht="40" hidden="false" customHeight="true" outlineLevel="0" collapsed="false">
      <c r="A208" s="66" t="n">
        <v>45867</v>
      </c>
      <c r="B208" s="54" t="str">
        <f aca="false">IF(M208="","",IF(P208="",M208,HYPERLINK(P208,M208)))</f>
        <v>49100424A0001-49100424F0052</v>
      </c>
      <c r="C208" s="54" t="str">
        <f aca="false">IF(N208="","",IF(Q208="",N208,HYPERLINK(Q208,N208)))</f>
        <v>Spatial Front Inc.</v>
      </c>
      <c r="D208" s="60" t="s">
        <v>166</v>
      </c>
      <c r="E208" s="54" t="str">
        <f aca="false">IF(O208="","",IF(R208="",O208,HYPERLINK(R208,O208)))</f>
        <v>Division of Information Systems</v>
      </c>
      <c r="F208" s="62" t="n">
        <v>0</v>
      </c>
      <c r="G208" s="61" t="s">
        <v>464</v>
      </c>
      <c r="H208" s="58"/>
      <c r="I208" s="58" t="s">
        <v>659</v>
      </c>
      <c r="J208" s="58" t="s">
        <v>370</v>
      </c>
      <c r="K208" s="58" t="s">
        <v>164</v>
      </c>
      <c r="L208" s="58" t="s">
        <v>197</v>
      </c>
      <c r="M208" s="58" t="s">
        <v>371</v>
      </c>
      <c r="N208" s="58" t="s">
        <v>165</v>
      </c>
      <c r="O208" s="58" t="s">
        <v>198</v>
      </c>
      <c r="P208" s="58" t="s">
        <v>372</v>
      </c>
      <c r="Q208" s="58" t="s">
        <v>167</v>
      </c>
      <c r="R208" s="58" t="s">
        <v>200</v>
      </c>
      <c r="S208" s="57" t="n">
        <f aca="false">IF(ISNUMBER(A208),YEAR(A208)+IF(MONTH(A208)&gt;=10,1,0),"")</f>
        <v>2025</v>
      </c>
      <c r="T208" s="57" t="n">
        <f aca="false">IF(ISNUMBER(A208),INT(MOD(MONTH(A208)-10,12)/3)+1,"")</f>
        <v>4</v>
      </c>
      <c r="U208" s="57" t="str">
        <f aca="false">IF(AND(I208&lt;&gt;"",D208&lt;&gt;"",OR(COUNTIFS(TransactionsData[Vendor ID],K208,TransactionsData[UEI],"&lt;&gt;"&amp;D208,TransactionsData[UEI],"?*")&gt;0,COUNTIFS(VendorGroups[Record ID],K208,VendorGroups[Source UEI],"&lt;&gt;"&amp;D208,VendorGroups[Source UEI],"?*")&gt;0)),"Conflicting vendor UEIs",IF(I208="",IF(COUNTA(A208,D208,F208:R208)&gt;0,"Missing transaction ID",""),IF(COUNTIFS(TransactionsData[Transaction ID],I208)&lt;&gt;1,"Duplicate transaction ID",IF(OR(NOT(ISNUMBER(A208)),A208&lt;1,A208&gt;DATE(2099,1,1)),"Use a valid date",IF(OR(A208&lt;$B$4,A208&gt;$D$4),"Outside coverage",IF(NOT(ISNUMBER(F208)),"Missing or invalid amount",IF(OR(K208="",L208="",N208=""),"Add vendor and office identities",IF(G208="Exclude",IF(OR(F208&lt;&gt;0,H208=""),"Review nonzero or unexplained exclusion",""),IF(G208&lt;&gt;"Include","Choose Include or Exclude",IF(COUNTIFS(AwardsData[Award ID],J208)&lt;&gt;1,"Award link needs review",IF(INDEX(AwardsData[Input check],MATCH(J208,AwardsData[Award ID],0))&lt;&gt;"","Check award inputs","")))))))))))</f>
        <v/>
      </c>
      <c r="V208" s="57" t="n">
        <f aca="false">IF(AND(I208&lt;&gt;"",U208="",G208="Include"),1,0)</f>
        <v>1</v>
      </c>
      <c r="W208" s="57" t="str">
        <f aca="false">IF(I208="","",IF(COUNTIFS(AwardsData[Award ID],J208)=1,INDEX(AwardsData[Current award type],MATCH(J208,AwardsData[Award ID],0)),"Unlinked"))</f>
        <v>BPA Call</v>
      </c>
      <c r="X208" s="57" t="str">
        <f aca="false">IF(I208="","",IF(COUNTIFS(AwardsData[Award ID],J208)=1,INDEX(AwardsData[Current set-aside],MATCH(J208,AwardsData[Award ID],0)),"Unlinked"))</f>
        <v>No Set-Aside Used</v>
      </c>
      <c r="Y208" s="57" t="str">
        <f aca="false">IF(I208="","",IF(COUNTIFS(AwardsData[Award ID],J208)=1,INDEX(AwardsData[Performance state],MATCH(J208,AwardsData[Award ID],0)),"Unlinked"))</f>
        <v>Virginia</v>
      </c>
      <c r="Z208" s="57" t="n">
        <f aca="false">IF(AND(V208=1,OR(Dashboard!$AB$2="All",K208=Dashboard!$AB$2),OR(Dashboard!$AB$3="All",L208=Dashboard!$AB$3),OR(Dashboard!$N$10="All",W208=Dashboard!$N$10)),1,0)</f>
        <v>1</v>
      </c>
      <c r="AA208" s="57" t="n">
        <f aca="false">IF(AND(Z208=1,OR(Dashboard!$B$7="All",S208=Dashboard!$B$7)),1,0)</f>
        <v>1</v>
      </c>
      <c r="AB208" s="57" t="n">
        <f aca="false">IF(AND(V208=1,F208&lt;&gt;0),1,0)</f>
        <v>0</v>
      </c>
      <c r="AC208" s="57" t="n">
        <f aca="false">IF(AND(AA208=1,AB208=1),IF(COUNTIFS($J$17:J208,J208,$AA$17:AA208,1,$AB$17:AB208,1)=1,1,0),0)</f>
        <v>0</v>
      </c>
      <c r="AD208" s="57" t="n">
        <f aca="false">IF(AND(AA208=1,AB208=1),IF(COUNTIFS($K$17:K208,K208,$AA$17:AA208,1,$AB$17:AB208,1)=1,1,0),0)</f>
        <v>0</v>
      </c>
      <c r="AE208" s="57" t="n">
        <f aca="false">IF(AND(Z208=1,AB208=1),IF(COUNTIFS($J$17:J208,J208,$S$17:S208,S208,$Z$17:Z208,1,$AB$17:AB208,1)=1,1,0),0)</f>
        <v>0</v>
      </c>
      <c r="AF208" s="57" t="n">
        <f aca="false">IF(AND(Z208=1,AB208=1),IF(COUNTIFS($K$17:K208,K208,$S$17:S208,S208,$Z$17:Z208,1,$AB$17:AB208,1)=1,1,0),0)</f>
        <v>0</v>
      </c>
      <c r="AG208" s="57" t="n">
        <f aca="false">IF(AND(AA208=1,AB208=1),IF(COUNTIFS($J$17:J208,J208,$L$17:L208,L208,$AA$17:AA208,1,$AB$17:AB208,1)=1,1,0),0)</f>
        <v>0</v>
      </c>
      <c r="AH208" s="57" t="n">
        <f aca="false">IF(AND(AA208=1,AB208=1),IF(COUNTIFS($J$17:J208,J208,$K$17:K208,K208,$AA$17:AA208,1,$AB$17:AB208,1)=1,1,0),0)</f>
        <v>0</v>
      </c>
      <c r="AI208" s="56" t="n">
        <f aca="false">IF(V208=1,MAX(F208,0),0)</f>
        <v>0</v>
      </c>
      <c r="AJ208" s="56" t="n">
        <f aca="false">IF(V208=1,MIN(F208,0),0)</f>
        <v>0</v>
      </c>
    </row>
    <row r="209" customFormat="false" ht="40" hidden="false" customHeight="true" outlineLevel="0" collapsed="false">
      <c r="A209" s="66" t="n">
        <v>45873</v>
      </c>
      <c r="B209" s="54" t="str">
        <f aca="false">IF(M209="","",IF(P209="",M209,HYPERLINK(P209,M209)))</f>
        <v>49100424C0051</v>
      </c>
      <c r="C209" s="54" t="str">
        <f aca="false">IF(N209="","",IF(Q209="",N209,HYPERLINK(Q209,N209)))</f>
        <v>Rei Systems, Inc.</v>
      </c>
      <c r="D209" s="60" t="s">
        <v>158</v>
      </c>
      <c r="E209" s="54" t="str">
        <f aca="false">IF(O209="","",IF(R209="",O209,HYPERLINK(R209,O209)))</f>
        <v>NSF — office not specified</v>
      </c>
      <c r="F209" s="62" t="n">
        <v>208317.21</v>
      </c>
      <c r="G209" s="61" t="s">
        <v>464</v>
      </c>
      <c r="H209" s="58"/>
      <c r="I209" s="58" t="s">
        <v>660</v>
      </c>
      <c r="J209" s="58" t="s">
        <v>400</v>
      </c>
      <c r="K209" s="58" t="s">
        <v>156</v>
      </c>
      <c r="L209" s="58" t="s">
        <v>213</v>
      </c>
      <c r="M209" s="58" t="s">
        <v>400</v>
      </c>
      <c r="N209" s="58" t="s">
        <v>157</v>
      </c>
      <c r="O209" s="58" t="s">
        <v>214</v>
      </c>
      <c r="P209" s="58" t="s">
        <v>401</v>
      </c>
      <c r="Q209" s="58" t="s">
        <v>159</v>
      </c>
      <c r="R209" s="58" t="s">
        <v>215</v>
      </c>
      <c r="S209" s="57" t="n">
        <f aca="false">IF(ISNUMBER(A209),YEAR(A209)+IF(MONTH(A209)&gt;=10,1,0),"")</f>
        <v>2025</v>
      </c>
      <c r="T209" s="57" t="n">
        <f aca="false">IF(ISNUMBER(A209),INT(MOD(MONTH(A209)-10,12)/3)+1,"")</f>
        <v>4</v>
      </c>
      <c r="U209" s="57" t="str">
        <f aca="false">IF(AND(I209&lt;&gt;"",D209&lt;&gt;"",OR(COUNTIFS(TransactionsData[Vendor ID],K209,TransactionsData[UEI],"&lt;&gt;"&amp;D209,TransactionsData[UEI],"?*")&gt;0,COUNTIFS(VendorGroups[Record ID],K209,VendorGroups[Source UEI],"&lt;&gt;"&amp;D209,VendorGroups[Source UEI],"?*")&gt;0)),"Conflicting vendor UEIs",IF(I209="",IF(COUNTA(A209,D209,F209:R209)&gt;0,"Missing transaction ID",""),IF(COUNTIFS(TransactionsData[Transaction ID],I209)&lt;&gt;1,"Duplicate transaction ID",IF(OR(NOT(ISNUMBER(A209)),A209&lt;1,A209&gt;DATE(2099,1,1)),"Use a valid date",IF(OR(A209&lt;$B$4,A209&gt;$D$4),"Outside coverage",IF(NOT(ISNUMBER(F209)),"Missing or invalid amount",IF(OR(K209="",L209="",N209=""),"Add vendor and office identities",IF(G209="Exclude",IF(OR(F209&lt;&gt;0,H209=""),"Review nonzero or unexplained exclusion",""),IF(G209&lt;&gt;"Include","Choose Include or Exclude",IF(COUNTIFS(AwardsData[Award ID],J209)&lt;&gt;1,"Award link needs review",IF(INDEX(AwardsData[Input check],MATCH(J209,AwardsData[Award ID],0))&lt;&gt;"","Check award inputs","")))))))))))</f>
        <v/>
      </c>
      <c r="V209" s="57" t="n">
        <f aca="false">IF(AND(I209&lt;&gt;"",U209="",G209="Include"),1,0)</f>
        <v>1</v>
      </c>
      <c r="W209" s="57" t="str">
        <f aca="false">IF(I209="","",IF(COUNTIFS(AwardsData[Award ID],J209)=1,INDEX(AwardsData[Current award type],MATCH(J209,AwardsData[Award ID],0)),"Unlinked"))</f>
        <v>Definitive Contract</v>
      </c>
      <c r="X209" s="57" t="str">
        <f aca="false">IF(I209="","",IF(COUNTIFS(AwardsData[Award ID],J209)=1,INDEX(AwardsData[Current set-aside],MATCH(J209,AwardsData[Award ID],0)),"Unlinked"))</f>
        <v>No Set-Aside Used</v>
      </c>
      <c r="Y209" s="57" t="str">
        <f aca="false">IF(I209="","",IF(COUNTIFS(AwardsData[Award ID],J209)=1,INDEX(AwardsData[Performance state],MATCH(J209,AwardsData[Award ID],0)),"Unlinked"))</f>
        <v>Virginia</v>
      </c>
      <c r="Z209" s="57" t="n">
        <f aca="false">IF(AND(V209=1,OR(Dashboard!$AB$2="All",K209=Dashboard!$AB$2),OR(Dashboard!$AB$3="All",L209=Dashboard!$AB$3),OR(Dashboard!$N$10="All",W209=Dashboard!$N$10)),1,0)</f>
        <v>1</v>
      </c>
      <c r="AA209" s="57" t="n">
        <f aca="false">IF(AND(Z209=1,OR(Dashboard!$B$7="All",S209=Dashboard!$B$7)),1,0)</f>
        <v>1</v>
      </c>
      <c r="AB209" s="57" t="n">
        <f aca="false">IF(AND(V209=1,F209&lt;&gt;0),1,0)</f>
        <v>1</v>
      </c>
      <c r="AC209" s="57" t="n">
        <f aca="false">IF(AND(AA209=1,AB209=1),IF(COUNTIFS($J$17:J209,J209,$AA$17:AA209,1,$AB$17:AB209,1)=1,1,0),0)</f>
        <v>0</v>
      </c>
      <c r="AD209" s="57" t="n">
        <f aca="false">IF(AND(AA209=1,AB209=1),IF(COUNTIFS($K$17:K209,K209,$AA$17:AA209,1,$AB$17:AB209,1)=1,1,0),0)</f>
        <v>0</v>
      </c>
      <c r="AE209" s="57" t="n">
        <f aca="false">IF(AND(Z209=1,AB209=1),IF(COUNTIFS($J$17:J209,J209,$S$17:S209,S209,$Z$17:Z209,1,$AB$17:AB209,1)=1,1,0),0)</f>
        <v>0</v>
      </c>
      <c r="AF209" s="57" t="n">
        <f aca="false">IF(AND(Z209=1,AB209=1),IF(COUNTIFS($K$17:K209,K209,$S$17:S209,S209,$Z$17:Z209,1,$AB$17:AB209,1)=1,1,0),0)</f>
        <v>0</v>
      </c>
      <c r="AG209" s="57" t="n">
        <f aca="false">IF(AND(AA209=1,AB209=1),IF(COUNTIFS($J$17:J209,J209,$L$17:L209,L209,$AA$17:AA209,1,$AB$17:AB209,1)=1,1,0),0)</f>
        <v>0</v>
      </c>
      <c r="AH209" s="57" t="n">
        <f aca="false">IF(AND(AA209=1,AB209=1),IF(COUNTIFS($J$17:J209,J209,$K$17:K209,K209,$AA$17:AA209,1,$AB$17:AB209,1)=1,1,0),0)</f>
        <v>0</v>
      </c>
      <c r="AI209" s="56" t="n">
        <f aca="false">IF(V209=1,MAX(F209,0),0)</f>
        <v>208317.21</v>
      </c>
      <c r="AJ209" s="56" t="n">
        <f aca="false">IF(V209=1,MIN(F209,0),0)</f>
        <v>0</v>
      </c>
    </row>
    <row r="210" customFormat="false" ht="40" hidden="false" customHeight="true" outlineLevel="0" collapsed="false">
      <c r="A210" s="66" t="n">
        <v>45874</v>
      </c>
      <c r="B210" s="54" t="str">
        <f aca="false">IF(M210="","",IF(P210="",M210,HYPERLINK(P210,M210)))</f>
        <v>47QTCA23D0037-49100424F0196</v>
      </c>
      <c r="C210" s="54" t="str">
        <f aca="false">IF(N210="","",IF(Q210="",N210,HYPERLINK(Q210,N210)))</f>
        <v>Criterion Systems, L.L.C.</v>
      </c>
      <c r="D210" s="60" t="s">
        <v>119</v>
      </c>
      <c r="E210" s="54" t="str">
        <f aca="false">IF(O210="","",IF(R210="",O210,HYPERLINK(R210,O210)))</f>
        <v>NSF — office not specified</v>
      </c>
      <c r="F210" s="62" t="n">
        <v>393511.38</v>
      </c>
      <c r="G210" s="61" t="s">
        <v>464</v>
      </c>
      <c r="H210" s="58"/>
      <c r="I210" s="58" t="s">
        <v>661</v>
      </c>
      <c r="J210" s="58" t="s">
        <v>264</v>
      </c>
      <c r="K210" s="58" t="s">
        <v>117</v>
      </c>
      <c r="L210" s="58" t="s">
        <v>213</v>
      </c>
      <c r="M210" s="58" t="s">
        <v>265</v>
      </c>
      <c r="N210" s="58" t="s">
        <v>118</v>
      </c>
      <c r="O210" s="58" t="s">
        <v>214</v>
      </c>
      <c r="P210" s="58" t="s">
        <v>266</v>
      </c>
      <c r="Q210" s="58" t="s">
        <v>120</v>
      </c>
      <c r="R210" s="58" t="s">
        <v>215</v>
      </c>
      <c r="S210" s="57" t="n">
        <f aca="false">IF(ISNUMBER(A210),YEAR(A210)+IF(MONTH(A210)&gt;=10,1,0),"")</f>
        <v>2025</v>
      </c>
      <c r="T210" s="57" t="n">
        <f aca="false">IF(ISNUMBER(A210),INT(MOD(MONTH(A210)-10,12)/3)+1,"")</f>
        <v>4</v>
      </c>
      <c r="U210" s="57" t="str">
        <f aca="false">IF(AND(I210&lt;&gt;"",D210&lt;&gt;"",OR(COUNTIFS(TransactionsData[Vendor ID],K210,TransactionsData[UEI],"&lt;&gt;"&amp;D210,TransactionsData[UEI],"?*")&gt;0,COUNTIFS(VendorGroups[Record ID],K210,VendorGroups[Source UEI],"&lt;&gt;"&amp;D210,VendorGroups[Source UEI],"?*")&gt;0)),"Conflicting vendor UEIs",IF(I210="",IF(COUNTA(A210,D210,F210:R210)&gt;0,"Missing transaction ID",""),IF(COUNTIFS(TransactionsData[Transaction ID],I210)&lt;&gt;1,"Duplicate transaction ID",IF(OR(NOT(ISNUMBER(A210)),A210&lt;1,A210&gt;DATE(2099,1,1)),"Use a valid date",IF(OR(A210&lt;$B$4,A210&gt;$D$4),"Outside coverage",IF(NOT(ISNUMBER(F210)),"Missing or invalid amount",IF(OR(K210="",L210="",N210=""),"Add vendor and office identities",IF(G210="Exclude",IF(OR(F210&lt;&gt;0,H210=""),"Review nonzero or unexplained exclusion",""),IF(G210&lt;&gt;"Include","Choose Include or Exclude",IF(COUNTIFS(AwardsData[Award ID],J210)&lt;&gt;1,"Award link needs review",IF(INDEX(AwardsData[Input check],MATCH(J210,AwardsData[Award ID],0))&lt;&gt;"","Check award inputs","")))))))))))</f>
        <v/>
      </c>
      <c r="V210" s="57" t="n">
        <f aca="false">IF(AND(I210&lt;&gt;"",U210="",G210="Include"),1,0)</f>
        <v>1</v>
      </c>
      <c r="W210" s="57" t="str">
        <f aca="false">IF(I210="","",IF(COUNTIFS(AwardsData[Award ID],J210)=1,INDEX(AwardsData[Current award type],MATCH(J210,AwardsData[Award ID],0)),"Unlinked"))</f>
        <v>Delivery Order</v>
      </c>
      <c r="X210" s="57" t="str">
        <f aca="false">IF(I210="","",IF(COUNTIFS(AwardsData[Award ID],J210)=1,INDEX(AwardsData[Current set-aside],MATCH(J210,AwardsData[Award ID],0)),"Unlinked"))</f>
        <v>No Set-Aside Used</v>
      </c>
      <c r="Y210" s="57" t="str">
        <f aca="false">IF(I210="","",IF(COUNTIFS(AwardsData[Award ID],J210)=1,INDEX(AwardsData[Performance state],MATCH(J210,AwardsData[Award ID],0)),"Unlinked"))</f>
        <v>Virginia</v>
      </c>
      <c r="Z210" s="57" t="n">
        <f aca="false">IF(AND(V210=1,OR(Dashboard!$AB$2="All",K210=Dashboard!$AB$2),OR(Dashboard!$AB$3="All",L210=Dashboard!$AB$3),OR(Dashboard!$N$10="All",W210=Dashboard!$N$10)),1,0)</f>
        <v>1</v>
      </c>
      <c r="AA210" s="57" t="n">
        <f aca="false">IF(AND(Z210=1,OR(Dashboard!$B$7="All",S210=Dashboard!$B$7)),1,0)</f>
        <v>1</v>
      </c>
      <c r="AB210" s="57" t="n">
        <f aca="false">IF(AND(V210=1,F210&lt;&gt;0),1,0)</f>
        <v>1</v>
      </c>
      <c r="AC210" s="57" t="n">
        <f aca="false">IF(AND(AA210=1,AB210=1),IF(COUNTIFS($J$17:J210,J210,$AA$17:AA210,1,$AB$17:AB210,1)=1,1,0),0)</f>
        <v>0</v>
      </c>
      <c r="AD210" s="57" t="n">
        <f aca="false">IF(AND(AA210=1,AB210=1),IF(COUNTIFS($K$17:K210,K210,$AA$17:AA210,1,$AB$17:AB210,1)=1,1,0),0)</f>
        <v>0</v>
      </c>
      <c r="AE210" s="57" t="n">
        <f aca="false">IF(AND(Z210=1,AB210=1),IF(COUNTIFS($J$17:J210,J210,$S$17:S210,S210,$Z$17:Z210,1,$AB$17:AB210,1)=1,1,0),0)</f>
        <v>0</v>
      </c>
      <c r="AF210" s="57" t="n">
        <f aca="false">IF(AND(Z210=1,AB210=1),IF(COUNTIFS($K$17:K210,K210,$S$17:S210,S210,$Z$17:Z210,1,$AB$17:AB210,1)=1,1,0),0)</f>
        <v>0</v>
      </c>
      <c r="AG210" s="57" t="n">
        <f aca="false">IF(AND(AA210=1,AB210=1),IF(COUNTIFS($J$17:J210,J210,$L$17:L210,L210,$AA$17:AA210,1,$AB$17:AB210,1)=1,1,0),0)</f>
        <v>0</v>
      </c>
      <c r="AH210" s="57" t="n">
        <f aca="false">IF(AND(AA210=1,AB210=1),IF(COUNTIFS($J$17:J210,J210,$K$17:K210,K210,$AA$17:AA210,1,$AB$17:AB210,1)=1,1,0),0)</f>
        <v>0</v>
      </c>
      <c r="AI210" s="56" t="n">
        <f aca="false">IF(V210=1,MAX(F210,0),0)</f>
        <v>393511.38</v>
      </c>
      <c r="AJ210" s="56" t="n">
        <f aca="false">IF(V210=1,MIN(F210,0),0)</f>
        <v>0</v>
      </c>
    </row>
    <row r="211" customFormat="false" ht="40" hidden="false" customHeight="true" outlineLevel="0" collapsed="false">
      <c r="A211" s="66" t="n">
        <v>45874</v>
      </c>
      <c r="B211" s="54" t="str">
        <f aca="false">IF(M211="","",IF(P211="",M211,HYPERLINK(P211,M211)))</f>
        <v>49100424A0001-49100424F0051</v>
      </c>
      <c r="C211" s="54" t="str">
        <f aca="false">IF(N211="","",IF(Q211="",N211,HYPERLINK(Q211,N211)))</f>
        <v>Spatial Front Inc.</v>
      </c>
      <c r="D211" s="60" t="s">
        <v>166</v>
      </c>
      <c r="E211" s="54" t="str">
        <f aca="false">IF(O211="","",IF(R211="",O211,HYPERLINK(R211,O211)))</f>
        <v>NSF — office not specified</v>
      </c>
      <c r="F211" s="62" t="n">
        <v>221250</v>
      </c>
      <c r="G211" s="61" t="s">
        <v>464</v>
      </c>
      <c r="H211" s="58"/>
      <c r="I211" s="58" t="s">
        <v>662</v>
      </c>
      <c r="J211" s="58" t="s">
        <v>367</v>
      </c>
      <c r="K211" s="58" t="s">
        <v>164</v>
      </c>
      <c r="L211" s="58" t="s">
        <v>213</v>
      </c>
      <c r="M211" s="58" t="s">
        <v>368</v>
      </c>
      <c r="N211" s="58" t="s">
        <v>165</v>
      </c>
      <c r="O211" s="58" t="s">
        <v>214</v>
      </c>
      <c r="P211" s="58" t="s">
        <v>369</v>
      </c>
      <c r="Q211" s="58" t="s">
        <v>167</v>
      </c>
      <c r="R211" s="58" t="s">
        <v>215</v>
      </c>
      <c r="S211" s="57" t="n">
        <f aca="false">IF(ISNUMBER(A211),YEAR(A211)+IF(MONTH(A211)&gt;=10,1,0),"")</f>
        <v>2025</v>
      </c>
      <c r="T211" s="57" t="n">
        <f aca="false">IF(ISNUMBER(A211),INT(MOD(MONTH(A211)-10,12)/3)+1,"")</f>
        <v>4</v>
      </c>
      <c r="U211" s="57" t="str">
        <f aca="false">IF(AND(I211&lt;&gt;"",D211&lt;&gt;"",OR(COUNTIFS(TransactionsData[Vendor ID],K211,TransactionsData[UEI],"&lt;&gt;"&amp;D211,TransactionsData[UEI],"?*")&gt;0,COUNTIFS(VendorGroups[Record ID],K211,VendorGroups[Source UEI],"&lt;&gt;"&amp;D211,VendorGroups[Source UEI],"?*")&gt;0)),"Conflicting vendor UEIs",IF(I211="",IF(COUNTA(A211,D211,F211:R211)&gt;0,"Missing transaction ID",""),IF(COUNTIFS(TransactionsData[Transaction ID],I211)&lt;&gt;1,"Duplicate transaction ID",IF(OR(NOT(ISNUMBER(A211)),A211&lt;1,A211&gt;DATE(2099,1,1)),"Use a valid date",IF(OR(A211&lt;$B$4,A211&gt;$D$4),"Outside coverage",IF(NOT(ISNUMBER(F211)),"Missing or invalid amount",IF(OR(K211="",L211="",N211=""),"Add vendor and office identities",IF(G211="Exclude",IF(OR(F211&lt;&gt;0,H211=""),"Review nonzero or unexplained exclusion",""),IF(G211&lt;&gt;"Include","Choose Include or Exclude",IF(COUNTIFS(AwardsData[Award ID],J211)&lt;&gt;1,"Award link needs review",IF(INDEX(AwardsData[Input check],MATCH(J211,AwardsData[Award ID],0))&lt;&gt;"","Check award inputs","")))))))))))</f>
        <v/>
      </c>
      <c r="V211" s="57" t="n">
        <f aca="false">IF(AND(I211&lt;&gt;"",U211="",G211="Include"),1,0)</f>
        <v>1</v>
      </c>
      <c r="W211" s="57" t="str">
        <f aca="false">IF(I211="","",IF(COUNTIFS(AwardsData[Award ID],J211)=1,INDEX(AwardsData[Current award type],MATCH(J211,AwardsData[Award ID],0)),"Unlinked"))</f>
        <v>BPA Call</v>
      </c>
      <c r="X211" s="57" t="str">
        <f aca="false">IF(I211="","",IF(COUNTIFS(AwardsData[Award ID],J211)=1,INDEX(AwardsData[Current set-aside],MATCH(J211,AwardsData[Award ID],0)),"Unlinked"))</f>
        <v>Total Small Business</v>
      </c>
      <c r="Y211" s="57" t="str">
        <f aca="false">IF(I211="","",IF(COUNTIFS(AwardsData[Award ID],J211)=1,INDEX(AwardsData[Performance state],MATCH(J211,AwardsData[Award ID],0)),"Unlinked"))</f>
        <v>Virginia</v>
      </c>
      <c r="Z211" s="57" t="n">
        <f aca="false">IF(AND(V211=1,OR(Dashboard!$AB$2="All",K211=Dashboard!$AB$2),OR(Dashboard!$AB$3="All",L211=Dashboard!$AB$3),OR(Dashboard!$N$10="All",W211=Dashboard!$N$10)),1,0)</f>
        <v>1</v>
      </c>
      <c r="AA211" s="57" t="n">
        <f aca="false">IF(AND(Z211=1,OR(Dashboard!$B$7="All",S211=Dashboard!$B$7)),1,0)</f>
        <v>1</v>
      </c>
      <c r="AB211" s="57" t="n">
        <f aca="false">IF(AND(V211=1,F211&lt;&gt;0),1,0)</f>
        <v>1</v>
      </c>
      <c r="AC211" s="57" t="n">
        <f aca="false">IF(AND(AA211=1,AB211=1),IF(COUNTIFS($J$17:J211,J211,$AA$17:AA211,1,$AB$17:AB211,1)=1,1,0),0)</f>
        <v>0</v>
      </c>
      <c r="AD211" s="57" t="n">
        <f aca="false">IF(AND(AA211=1,AB211=1),IF(COUNTIFS($K$17:K211,K211,$AA$17:AA211,1,$AB$17:AB211,1)=1,1,0),0)</f>
        <v>0</v>
      </c>
      <c r="AE211" s="57" t="n">
        <f aca="false">IF(AND(Z211=1,AB211=1),IF(COUNTIFS($J$17:J211,J211,$S$17:S211,S211,$Z$17:Z211,1,$AB$17:AB211,1)=1,1,0),0)</f>
        <v>0</v>
      </c>
      <c r="AF211" s="57" t="n">
        <f aca="false">IF(AND(Z211=1,AB211=1),IF(COUNTIFS($K$17:K211,K211,$S$17:S211,S211,$Z$17:Z211,1,$AB$17:AB211,1)=1,1,0),0)</f>
        <v>0</v>
      </c>
      <c r="AG211" s="57" t="n">
        <f aca="false">IF(AND(AA211=1,AB211=1),IF(COUNTIFS($J$17:J211,J211,$L$17:L211,L211,$AA$17:AA211,1,$AB$17:AB211,1)=1,1,0),0)</f>
        <v>0</v>
      </c>
      <c r="AH211" s="57" t="n">
        <f aca="false">IF(AND(AA211=1,AB211=1),IF(COUNTIFS($J$17:J211,J211,$K$17:K211,K211,$AA$17:AA211,1,$AB$17:AB211,1)=1,1,0),0)</f>
        <v>0</v>
      </c>
      <c r="AI211" s="56" t="n">
        <f aca="false">IF(V211=1,MAX(F211,0),0)</f>
        <v>221250</v>
      </c>
      <c r="AJ211" s="56" t="n">
        <f aca="false">IF(V211=1,MIN(F211,0),0)</f>
        <v>0</v>
      </c>
    </row>
    <row r="212" customFormat="false" ht="40" hidden="false" customHeight="true" outlineLevel="0" collapsed="false">
      <c r="A212" s="66" t="n">
        <v>45875</v>
      </c>
      <c r="B212" s="54" t="str">
        <f aca="false">IF(M212="","",IF(P212="",M212,HYPERLINK(P212,M212)))</f>
        <v>49100424A0001-49100424F0055</v>
      </c>
      <c r="C212" s="54" t="str">
        <f aca="false">IF(N212="","",IF(Q212="",N212,HYPERLINK(Q212,N212)))</f>
        <v>Spatial Front Inc.</v>
      </c>
      <c r="D212" s="60" t="s">
        <v>166</v>
      </c>
      <c r="E212" s="54" t="str">
        <f aca="false">IF(O212="","",IF(R212="",O212,HYPERLINK(R212,O212)))</f>
        <v>NSF — office not specified</v>
      </c>
      <c r="F212" s="62" t="n">
        <v>65000</v>
      </c>
      <c r="G212" s="61" t="s">
        <v>464</v>
      </c>
      <c r="H212" s="58"/>
      <c r="I212" s="58" t="s">
        <v>663</v>
      </c>
      <c r="J212" s="58" t="s">
        <v>379</v>
      </c>
      <c r="K212" s="58" t="s">
        <v>164</v>
      </c>
      <c r="L212" s="58" t="s">
        <v>213</v>
      </c>
      <c r="M212" s="58" t="s">
        <v>380</v>
      </c>
      <c r="N212" s="58" t="s">
        <v>165</v>
      </c>
      <c r="O212" s="58" t="s">
        <v>214</v>
      </c>
      <c r="P212" s="58" t="s">
        <v>381</v>
      </c>
      <c r="Q212" s="58" t="s">
        <v>167</v>
      </c>
      <c r="R212" s="58" t="s">
        <v>215</v>
      </c>
      <c r="S212" s="57" t="n">
        <f aca="false">IF(ISNUMBER(A212),YEAR(A212)+IF(MONTH(A212)&gt;=10,1,0),"")</f>
        <v>2025</v>
      </c>
      <c r="T212" s="57" t="n">
        <f aca="false">IF(ISNUMBER(A212),INT(MOD(MONTH(A212)-10,12)/3)+1,"")</f>
        <v>4</v>
      </c>
      <c r="U212" s="57" t="str">
        <f aca="false">IF(AND(I212&lt;&gt;"",D212&lt;&gt;"",OR(COUNTIFS(TransactionsData[Vendor ID],K212,TransactionsData[UEI],"&lt;&gt;"&amp;D212,TransactionsData[UEI],"?*")&gt;0,COUNTIFS(VendorGroups[Record ID],K212,VendorGroups[Source UEI],"&lt;&gt;"&amp;D212,VendorGroups[Source UEI],"?*")&gt;0)),"Conflicting vendor UEIs",IF(I212="",IF(COUNTA(A212,D212,F212:R212)&gt;0,"Missing transaction ID",""),IF(COUNTIFS(TransactionsData[Transaction ID],I212)&lt;&gt;1,"Duplicate transaction ID",IF(OR(NOT(ISNUMBER(A212)),A212&lt;1,A212&gt;DATE(2099,1,1)),"Use a valid date",IF(OR(A212&lt;$B$4,A212&gt;$D$4),"Outside coverage",IF(NOT(ISNUMBER(F212)),"Missing or invalid amount",IF(OR(K212="",L212="",N212=""),"Add vendor and office identities",IF(G212="Exclude",IF(OR(F212&lt;&gt;0,H212=""),"Review nonzero or unexplained exclusion",""),IF(G212&lt;&gt;"Include","Choose Include or Exclude",IF(COUNTIFS(AwardsData[Award ID],J212)&lt;&gt;1,"Award link needs review",IF(INDEX(AwardsData[Input check],MATCH(J212,AwardsData[Award ID],0))&lt;&gt;"","Check award inputs","")))))))))))</f>
        <v/>
      </c>
      <c r="V212" s="57" t="n">
        <f aca="false">IF(AND(I212&lt;&gt;"",U212="",G212="Include"),1,0)</f>
        <v>1</v>
      </c>
      <c r="W212" s="57" t="str">
        <f aca="false">IF(I212="","",IF(COUNTIFS(AwardsData[Award ID],J212)=1,INDEX(AwardsData[Current award type],MATCH(J212,AwardsData[Award ID],0)),"Unlinked"))</f>
        <v>BPA Call</v>
      </c>
      <c r="X212" s="57" t="str">
        <f aca="false">IF(I212="","",IF(COUNTIFS(AwardsData[Award ID],J212)=1,INDEX(AwardsData[Current set-aside],MATCH(J212,AwardsData[Award ID],0)),"Unlinked"))</f>
        <v>Total Small Business</v>
      </c>
      <c r="Y212" s="57" t="str">
        <f aca="false">IF(I212="","",IF(COUNTIFS(AwardsData[Award ID],J212)=1,INDEX(AwardsData[Performance state],MATCH(J212,AwardsData[Award ID],0)),"Unlinked"))</f>
        <v>Virginia</v>
      </c>
      <c r="Z212" s="57" t="n">
        <f aca="false">IF(AND(V212=1,OR(Dashboard!$AB$2="All",K212=Dashboard!$AB$2),OR(Dashboard!$AB$3="All",L212=Dashboard!$AB$3),OR(Dashboard!$N$10="All",W212=Dashboard!$N$10)),1,0)</f>
        <v>1</v>
      </c>
      <c r="AA212" s="57" t="n">
        <f aca="false">IF(AND(Z212=1,OR(Dashboard!$B$7="All",S212=Dashboard!$B$7)),1,0)</f>
        <v>1</v>
      </c>
      <c r="AB212" s="57" t="n">
        <f aca="false">IF(AND(V212=1,F212&lt;&gt;0),1,0)</f>
        <v>1</v>
      </c>
      <c r="AC212" s="57" t="n">
        <f aca="false">IF(AND(AA212=1,AB212=1),IF(COUNTIFS($J$17:J212,J212,$AA$17:AA212,1,$AB$17:AB212,1)=1,1,0),0)</f>
        <v>0</v>
      </c>
      <c r="AD212" s="57" t="n">
        <f aca="false">IF(AND(AA212=1,AB212=1),IF(COUNTIFS($K$17:K212,K212,$AA$17:AA212,1,$AB$17:AB212,1)=1,1,0),0)</f>
        <v>0</v>
      </c>
      <c r="AE212" s="57" t="n">
        <f aca="false">IF(AND(Z212=1,AB212=1),IF(COUNTIFS($J$17:J212,J212,$S$17:S212,S212,$Z$17:Z212,1,$AB$17:AB212,1)=1,1,0),0)</f>
        <v>0</v>
      </c>
      <c r="AF212" s="57" t="n">
        <f aca="false">IF(AND(Z212=1,AB212=1),IF(COUNTIFS($K$17:K212,K212,$S$17:S212,S212,$Z$17:Z212,1,$AB$17:AB212,1)=1,1,0),0)</f>
        <v>0</v>
      </c>
      <c r="AG212" s="57" t="n">
        <f aca="false">IF(AND(AA212=1,AB212=1),IF(COUNTIFS($J$17:J212,J212,$L$17:L212,L212,$AA$17:AA212,1,$AB$17:AB212,1)=1,1,0),0)</f>
        <v>0</v>
      </c>
      <c r="AH212" s="57" t="n">
        <f aca="false">IF(AND(AA212=1,AB212=1),IF(COUNTIFS($J$17:J212,J212,$K$17:K212,K212,$AA$17:AA212,1,$AB$17:AB212,1)=1,1,0),0)</f>
        <v>0</v>
      </c>
      <c r="AI212" s="56" t="n">
        <f aca="false">IF(V212=1,MAX(F212,0),0)</f>
        <v>65000</v>
      </c>
      <c r="AJ212" s="56" t="n">
        <f aca="false">IF(V212=1,MIN(F212,0),0)</f>
        <v>0</v>
      </c>
    </row>
    <row r="213" customFormat="false" ht="40" hidden="false" customHeight="true" outlineLevel="0" collapsed="false">
      <c r="A213" s="66" t="n">
        <v>45877</v>
      </c>
      <c r="B213" s="54" t="str">
        <f aca="false">IF(M213="","",IF(P213="",M213,HYPERLINK(P213,M213)))</f>
        <v>47QTCK18D0004-49100424F0001</v>
      </c>
      <c r="C213" s="54" t="str">
        <f aca="false">IF(N213="","",IF(Q213="",N213,HYPERLINK(Q213,N213)))</f>
        <v>Booz Allen Hamilton Inc.</v>
      </c>
      <c r="D213" s="60" t="s">
        <v>111</v>
      </c>
      <c r="E213" s="54" t="str">
        <f aca="false">IF(O213="","",IF(R213="",O213,HYPERLINK(R213,O213)))</f>
        <v>NSF — office not specified</v>
      </c>
      <c r="F213" s="62" t="n">
        <v>3500000</v>
      </c>
      <c r="G213" s="61" t="s">
        <v>464</v>
      </c>
      <c r="H213" s="58"/>
      <c r="I213" s="58" t="s">
        <v>664</v>
      </c>
      <c r="J213" s="58" t="s">
        <v>297</v>
      </c>
      <c r="K213" s="58" t="s">
        <v>109</v>
      </c>
      <c r="L213" s="58" t="s">
        <v>213</v>
      </c>
      <c r="M213" s="58" t="s">
        <v>298</v>
      </c>
      <c r="N213" s="58" t="s">
        <v>110</v>
      </c>
      <c r="O213" s="58" t="s">
        <v>214</v>
      </c>
      <c r="P213" s="58" t="s">
        <v>299</v>
      </c>
      <c r="Q213" s="58" t="s">
        <v>112</v>
      </c>
      <c r="R213" s="58" t="s">
        <v>215</v>
      </c>
      <c r="S213" s="57" t="n">
        <f aca="false">IF(ISNUMBER(A213),YEAR(A213)+IF(MONTH(A213)&gt;=10,1,0),"")</f>
        <v>2025</v>
      </c>
      <c r="T213" s="57" t="n">
        <f aca="false">IF(ISNUMBER(A213),INT(MOD(MONTH(A213)-10,12)/3)+1,"")</f>
        <v>4</v>
      </c>
      <c r="U213" s="57" t="str">
        <f aca="false">IF(AND(I213&lt;&gt;"",D213&lt;&gt;"",OR(COUNTIFS(TransactionsData[Vendor ID],K213,TransactionsData[UEI],"&lt;&gt;"&amp;D213,TransactionsData[UEI],"?*")&gt;0,COUNTIFS(VendorGroups[Record ID],K213,VendorGroups[Source UEI],"&lt;&gt;"&amp;D213,VendorGroups[Source UEI],"?*")&gt;0)),"Conflicting vendor UEIs",IF(I213="",IF(COUNTA(A213,D213,F213:R213)&gt;0,"Missing transaction ID",""),IF(COUNTIFS(TransactionsData[Transaction ID],I213)&lt;&gt;1,"Duplicate transaction ID",IF(OR(NOT(ISNUMBER(A213)),A213&lt;1,A213&gt;DATE(2099,1,1)),"Use a valid date",IF(OR(A213&lt;$B$4,A213&gt;$D$4),"Outside coverage",IF(NOT(ISNUMBER(F213)),"Missing or invalid amount",IF(OR(K213="",L213="",N213=""),"Add vendor and office identities",IF(G213="Exclude",IF(OR(F213&lt;&gt;0,H213=""),"Review nonzero or unexplained exclusion",""),IF(G213&lt;&gt;"Include","Choose Include or Exclude",IF(COUNTIFS(AwardsData[Award ID],J213)&lt;&gt;1,"Award link needs review",IF(INDEX(AwardsData[Input check],MATCH(J213,AwardsData[Award ID],0))&lt;&gt;"","Check award inputs","")))))))))))</f>
        <v/>
      </c>
      <c r="V213" s="57" t="n">
        <f aca="false">IF(AND(I213&lt;&gt;"",U213="",G213="Include"),1,0)</f>
        <v>1</v>
      </c>
      <c r="W213" s="57" t="str">
        <f aca="false">IF(I213="","",IF(COUNTIFS(AwardsData[Award ID],J213)=1,INDEX(AwardsData[Current award type],MATCH(J213,AwardsData[Award ID],0)),"Unlinked"))</f>
        <v>Delivery Order</v>
      </c>
      <c r="X213" s="57" t="str">
        <f aca="false">IF(I213="","",IF(COUNTIFS(AwardsData[Award ID],J213)=1,INDEX(AwardsData[Current set-aside],MATCH(J213,AwardsData[Award ID],0)),"Unlinked"))</f>
        <v>No Set-Aside Used</v>
      </c>
      <c r="Y213" s="57" t="str">
        <f aca="false">IF(I213="","",IF(COUNTIFS(AwardsData[Award ID],J213)=1,INDEX(AwardsData[Performance state],MATCH(J213,AwardsData[Award ID],0)),"Unlinked"))</f>
        <v>Virginia</v>
      </c>
      <c r="Z213" s="57" t="n">
        <f aca="false">IF(AND(V213=1,OR(Dashboard!$AB$2="All",K213=Dashboard!$AB$2),OR(Dashboard!$AB$3="All",L213=Dashboard!$AB$3),OR(Dashboard!$N$10="All",W213=Dashboard!$N$10)),1,0)</f>
        <v>1</v>
      </c>
      <c r="AA213" s="57" t="n">
        <f aca="false">IF(AND(Z213=1,OR(Dashboard!$B$7="All",S213=Dashboard!$B$7)),1,0)</f>
        <v>1</v>
      </c>
      <c r="AB213" s="57" t="n">
        <f aca="false">IF(AND(V213=1,F213&lt;&gt;0),1,0)</f>
        <v>1</v>
      </c>
      <c r="AC213" s="57" t="n">
        <f aca="false">IF(AND(AA213=1,AB213=1),IF(COUNTIFS($J$17:J213,J213,$AA$17:AA213,1,$AB$17:AB213,1)=1,1,0),0)</f>
        <v>0</v>
      </c>
      <c r="AD213" s="57" t="n">
        <f aca="false">IF(AND(AA213=1,AB213=1),IF(COUNTIFS($K$17:K213,K213,$AA$17:AA213,1,$AB$17:AB213,1)=1,1,0),0)</f>
        <v>0</v>
      </c>
      <c r="AE213" s="57" t="n">
        <f aca="false">IF(AND(Z213=1,AB213=1),IF(COUNTIFS($J$17:J213,J213,$S$17:S213,S213,$Z$17:Z213,1,$AB$17:AB213,1)=1,1,0),0)</f>
        <v>0</v>
      </c>
      <c r="AF213" s="57" t="n">
        <f aca="false">IF(AND(Z213=1,AB213=1),IF(COUNTIFS($K$17:K213,K213,$S$17:S213,S213,$Z$17:Z213,1,$AB$17:AB213,1)=1,1,0),0)</f>
        <v>0</v>
      </c>
      <c r="AG213" s="57" t="n">
        <f aca="false">IF(AND(AA213=1,AB213=1),IF(COUNTIFS($J$17:J213,J213,$L$17:L213,L213,$AA$17:AA213,1,$AB$17:AB213,1)=1,1,0),0)</f>
        <v>0</v>
      </c>
      <c r="AH213" s="57" t="n">
        <f aca="false">IF(AND(AA213=1,AB213=1),IF(COUNTIFS($J$17:J213,J213,$K$17:K213,K213,$AA$17:AA213,1,$AB$17:AB213,1)=1,1,0),0)</f>
        <v>0</v>
      </c>
      <c r="AI213" s="56" t="n">
        <f aca="false">IF(V213=1,MAX(F213,0),0)</f>
        <v>3500000</v>
      </c>
      <c r="AJ213" s="56" t="n">
        <f aca="false">IF(V213=1,MIN(F213,0),0)</f>
        <v>0</v>
      </c>
    </row>
    <row r="214" customFormat="false" ht="40" hidden="false" customHeight="true" outlineLevel="0" collapsed="false">
      <c r="A214" s="66" t="n">
        <v>45882</v>
      </c>
      <c r="B214" s="54" t="str">
        <f aca="false">IF(M214="","",IF(P214="",M214,HYPERLINK(P214,M214)))</f>
        <v>GS35F337BA-49100421F0078</v>
      </c>
      <c r="C214" s="54" t="str">
        <f aca="false">IF(N214="","",IF(Q214="",N214,HYPERLINK(Q214,N214)))</f>
        <v>Civicactions, Inc.</v>
      </c>
      <c r="D214" s="60" t="s">
        <v>115</v>
      </c>
      <c r="E214" s="54" t="str">
        <f aca="false">IF(O214="","",IF(R214="",O214,HYPERLINK(R214,O214)))</f>
        <v>NSF — office not specified</v>
      </c>
      <c r="F214" s="62" t="n">
        <v>950000</v>
      </c>
      <c r="G214" s="61" t="s">
        <v>464</v>
      </c>
      <c r="H214" s="58"/>
      <c r="I214" s="58" t="s">
        <v>665</v>
      </c>
      <c r="J214" s="58" t="s">
        <v>414</v>
      </c>
      <c r="K214" s="58" t="s">
        <v>113</v>
      </c>
      <c r="L214" s="58" t="s">
        <v>213</v>
      </c>
      <c r="M214" s="58" t="s">
        <v>415</v>
      </c>
      <c r="N214" s="58" t="s">
        <v>114</v>
      </c>
      <c r="O214" s="58" t="s">
        <v>214</v>
      </c>
      <c r="P214" s="58" t="s">
        <v>416</v>
      </c>
      <c r="Q214" s="58" t="s">
        <v>116</v>
      </c>
      <c r="R214" s="58" t="s">
        <v>215</v>
      </c>
      <c r="S214" s="57" t="n">
        <f aca="false">IF(ISNUMBER(A214),YEAR(A214)+IF(MONTH(A214)&gt;=10,1,0),"")</f>
        <v>2025</v>
      </c>
      <c r="T214" s="57" t="n">
        <f aca="false">IF(ISNUMBER(A214),INT(MOD(MONTH(A214)-10,12)/3)+1,"")</f>
        <v>4</v>
      </c>
      <c r="U214" s="57" t="str">
        <f aca="false">IF(AND(I214&lt;&gt;"",D214&lt;&gt;"",OR(COUNTIFS(TransactionsData[Vendor ID],K214,TransactionsData[UEI],"&lt;&gt;"&amp;D214,TransactionsData[UEI],"?*")&gt;0,COUNTIFS(VendorGroups[Record ID],K214,VendorGroups[Source UEI],"&lt;&gt;"&amp;D214,VendorGroups[Source UEI],"?*")&gt;0)),"Conflicting vendor UEIs",IF(I214="",IF(COUNTA(A214,D214,F214:R214)&gt;0,"Missing transaction ID",""),IF(COUNTIFS(TransactionsData[Transaction ID],I214)&lt;&gt;1,"Duplicate transaction ID",IF(OR(NOT(ISNUMBER(A214)),A214&lt;1,A214&gt;DATE(2099,1,1)),"Use a valid date",IF(OR(A214&lt;$B$4,A214&gt;$D$4),"Outside coverage",IF(NOT(ISNUMBER(F214)),"Missing or invalid amount",IF(OR(K214="",L214="",N214=""),"Add vendor and office identities",IF(G214="Exclude",IF(OR(F214&lt;&gt;0,H214=""),"Review nonzero or unexplained exclusion",""),IF(G214&lt;&gt;"Include","Choose Include or Exclude",IF(COUNTIFS(AwardsData[Award ID],J214)&lt;&gt;1,"Award link needs review",IF(INDEX(AwardsData[Input check],MATCH(J214,AwardsData[Award ID],0))&lt;&gt;"","Check award inputs","")))))))))))</f>
        <v/>
      </c>
      <c r="V214" s="57" t="n">
        <f aca="false">IF(AND(I214&lt;&gt;"",U214="",G214="Include"),1,0)</f>
        <v>1</v>
      </c>
      <c r="W214" s="57" t="str">
        <f aca="false">IF(I214="","",IF(COUNTIFS(AwardsData[Award ID],J214)=1,INDEX(AwardsData[Current award type],MATCH(J214,AwardsData[Award ID],0)),"Unlinked"))</f>
        <v>Delivery Order</v>
      </c>
      <c r="X214" s="57" t="str">
        <f aca="false">IF(I214="","",IF(COUNTIFS(AwardsData[Award ID],J214)=1,INDEX(AwardsData[Current set-aside],MATCH(J214,AwardsData[Award ID],0)),"Unlinked"))</f>
        <v>Total Small Business</v>
      </c>
      <c r="Y214" s="57" t="str">
        <f aca="false">IF(I214="","",IF(COUNTIFS(AwardsData[Award ID],J214)=1,INDEX(AwardsData[Performance state],MATCH(J214,AwardsData[Award ID],0)),"Unlinked"))</f>
        <v>California</v>
      </c>
      <c r="Z214" s="57" t="n">
        <f aca="false">IF(AND(V214=1,OR(Dashboard!$AB$2="All",K214=Dashboard!$AB$2),OR(Dashboard!$AB$3="All",L214=Dashboard!$AB$3),OR(Dashboard!$N$10="All",W214=Dashboard!$N$10)),1,0)</f>
        <v>1</v>
      </c>
      <c r="AA214" s="57" t="n">
        <f aca="false">IF(AND(Z214=1,OR(Dashboard!$B$7="All",S214=Dashboard!$B$7)),1,0)</f>
        <v>1</v>
      </c>
      <c r="AB214" s="57" t="n">
        <f aca="false">IF(AND(V214=1,F214&lt;&gt;0),1,0)</f>
        <v>1</v>
      </c>
      <c r="AC214" s="57" t="n">
        <f aca="false">IF(AND(AA214=1,AB214=1),IF(COUNTIFS($J$17:J214,J214,$AA$17:AA214,1,$AB$17:AB214,1)=1,1,0),0)</f>
        <v>0</v>
      </c>
      <c r="AD214" s="57" t="n">
        <f aca="false">IF(AND(AA214=1,AB214=1),IF(COUNTIFS($K$17:K214,K214,$AA$17:AA214,1,$AB$17:AB214,1)=1,1,0),0)</f>
        <v>0</v>
      </c>
      <c r="AE214" s="57" t="n">
        <f aca="false">IF(AND(Z214=1,AB214=1),IF(COUNTIFS($J$17:J214,J214,$S$17:S214,S214,$Z$17:Z214,1,$AB$17:AB214,1)=1,1,0),0)</f>
        <v>0</v>
      </c>
      <c r="AF214" s="57" t="n">
        <f aca="false">IF(AND(Z214=1,AB214=1),IF(COUNTIFS($K$17:K214,K214,$S$17:S214,S214,$Z$17:Z214,1,$AB$17:AB214,1)=1,1,0),0)</f>
        <v>0</v>
      </c>
      <c r="AG214" s="57" t="n">
        <f aca="false">IF(AND(AA214=1,AB214=1),IF(COUNTIFS($J$17:J214,J214,$L$17:L214,L214,$AA$17:AA214,1,$AB$17:AB214,1)=1,1,0),0)</f>
        <v>0</v>
      </c>
      <c r="AH214" s="57" t="n">
        <f aca="false">IF(AND(AA214=1,AB214=1),IF(COUNTIFS($J$17:J214,J214,$K$17:K214,K214,$AA$17:AA214,1,$AB$17:AB214,1)=1,1,0),0)</f>
        <v>0</v>
      </c>
      <c r="AI214" s="56" t="n">
        <f aca="false">IF(V214=1,MAX(F214,0),0)</f>
        <v>950000</v>
      </c>
      <c r="AJ214" s="56" t="n">
        <f aca="false">IF(V214=1,MIN(F214,0),0)</f>
        <v>0</v>
      </c>
    </row>
    <row r="215" customFormat="false" ht="40" hidden="false" customHeight="true" outlineLevel="0" collapsed="false">
      <c r="A215" s="66" t="n">
        <v>45886</v>
      </c>
      <c r="B215" s="54" t="str">
        <f aca="false">IF(M215="","",IF(P215="",M215,HYPERLINK(P215,M215)))</f>
        <v>49100424A0006-49100424F0073</v>
      </c>
      <c r="C215" s="54" t="str">
        <f aca="false">IF(N215="","",IF(Q215="",N215,HYPERLINK(Q215,N215)))</f>
        <v>Anika Systems Incorporated</v>
      </c>
      <c r="D215" s="60" t="s">
        <v>107</v>
      </c>
      <c r="E215" s="54" t="str">
        <f aca="false">IF(O215="","",IF(R215="",O215,HYPERLINK(R215,O215)))</f>
        <v>NSF — office not specified</v>
      </c>
      <c r="F215" s="62" t="n">
        <v>0</v>
      </c>
      <c r="G215" s="61" t="s">
        <v>464</v>
      </c>
      <c r="H215" s="58"/>
      <c r="I215" s="58" t="s">
        <v>666</v>
      </c>
      <c r="J215" s="58" t="s">
        <v>393</v>
      </c>
      <c r="K215" s="58" t="s">
        <v>105</v>
      </c>
      <c r="L215" s="58" t="s">
        <v>213</v>
      </c>
      <c r="M215" s="58" t="s">
        <v>394</v>
      </c>
      <c r="N215" s="58" t="s">
        <v>106</v>
      </c>
      <c r="O215" s="58" t="s">
        <v>214</v>
      </c>
      <c r="P215" s="58" t="s">
        <v>395</v>
      </c>
      <c r="Q215" s="58" t="s">
        <v>108</v>
      </c>
      <c r="R215" s="58" t="s">
        <v>215</v>
      </c>
      <c r="S215" s="57" t="n">
        <f aca="false">IF(ISNUMBER(A215),YEAR(A215)+IF(MONTH(A215)&gt;=10,1,0),"")</f>
        <v>2025</v>
      </c>
      <c r="T215" s="57" t="n">
        <f aca="false">IF(ISNUMBER(A215),INT(MOD(MONTH(A215)-10,12)/3)+1,"")</f>
        <v>4</v>
      </c>
      <c r="U215" s="57" t="str">
        <f aca="false">IF(AND(I215&lt;&gt;"",D215&lt;&gt;"",OR(COUNTIFS(TransactionsData[Vendor ID],K215,TransactionsData[UEI],"&lt;&gt;"&amp;D215,TransactionsData[UEI],"?*")&gt;0,COUNTIFS(VendorGroups[Record ID],K215,VendorGroups[Source UEI],"&lt;&gt;"&amp;D215,VendorGroups[Source UEI],"?*")&gt;0)),"Conflicting vendor UEIs",IF(I215="",IF(COUNTA(A215,D215,F215:R215)&gt;0,"Missing transaction ID",""),IF(COUNTIFS(TransactionsData[Transaction ID],I215)&lt;&gt;1,"Duplicate transaction ID",IF(OR(NOT(ISNUMBER(A215)),A215&lt;1,A215&gt;DATE(2099,1,1)),"Use a valid date",IF(OR(A215&lt;$B$4,A215&gt;$D$4),"Outside coverage",IF(NOT(ISNUMBER(F215)),"Missing or invalid amount",IF(OR(K215="",L215="",N215=""),"Add vendor and office identities",IF(G215="Exclude",IF(OR(F215&lt;&gt;0,H215=""),"Review nonzero or unexplained exclusion",""),IF(G215&lt;&gt;"Include","Choose Include or Exclude",IF(COUNTIFS(AwardsData[Award ID],J215)&lt;&gt;1,"Award link needs review",IF(INDEX(AwardsData[Input check],MATCH(J215,AwardsData[Award ID],0))&lt;&gt;"","Check award inputs","")))))))))))</f>
        <v/>
      </c>
      <c r="V215" s="57" t="n">
        <f aca="false">IF(AND(I215&lt;&gt;"",U215="",G215="Include"),1,0)</f>
        <v>1</v>
      </c>
      <c r="W215" s="57" t="str">
        <f aca="false">IF(I215="","",IF(COUNTIFS(AwardsData[Award ID],J215)=1,INDEX(AwardsData[Current award type],MATCH(J215,AwardsData[Award ID],0)),"Unlinked"))</f>
        <v>BPA Call</v>
      </c>
      <c r="X215" s="57" t="str">
        <f aca="false">IF(I215="","",IF(COUNTIFS(AwardsData[Award ID],J215)=1,INDEX(AwardsData[Current set-aside],MATCH(J215,AwardsData[Award ID],0)),"Unlinked"))</f>
        <v>Competitive 8(a)</v>
      </c>
      <c r="Y215" s="57" t="str">
        <f aca="false">IF(I215="","",IF(COUNTIFS(AwardsData[Award ID],J215)=1,INDEX(AwardsData[Performance state],MATCH(J215,AwardsData[Award ID],0)),"Unlinked"))</f>
        <v>Virginia</v>
      </c>
      <c r="Z215" s="57" t="n">
        <f aca="false">IF(AND(V215=1,OR(Dashboard!$AB$2="All",K215=Dashboard!$AB$2),OR(Dashboard!$AB$3="All",L215=Dashboard!$AB$3),OR(Dashboard!$N$10="All",W215=Dashboard!$N$10)),1,0)</f>
        <v>1</v>
      </c>
      <c r="AA215" s="57" t="n">
        <f aca="false">IF(AND(Z215=1,OR(Dashboard!$B$7="All",S215=Dashboard!$B$7)),1,0)</f>
        <v>1</v>
      </c>
      <c r="AB215" s="57" t="n">
        <f aca="false">IF(AND(V215=1,F215&lt;&gt;0),1,0)</f>
        <v>0</v>
      </c>
      <c r="AC215" s="57" t="n">
        <f aca="false">IF(AND(AA215=1,AB215=1),IF(COUNTIFS($J$17:J215,J215,$AA$17:AA215,1,$AB$17:AB215,1)=1,1,0),0)</f>
        <v>0</v>
      </c>
      <c r="AD215" s="57" t="n">
        <f aca="false">IF(AND(AA215=1,AB215=1),IF(COUNTIFS($K$17:K215,K215,$AA$17:AA215,1,$AB$17:AB215,1)=1,1,0),0)</f>
        <v>0</v>
      </c>
      <c r="AE215" s="57" t="n">
        <f aca="false">IF(AND(Z215=1,AB215=1),IF(COUNTIFS($J$17:J215,J215,$S$17:S215,S215,$Z$17:Z215,1,$AB$17:AB215,1)=1,1,0),0)</f>
        <v>0</v>
      </c>
      <c r="AF215" s="57" t="n">
        <f aca="false">IF(AND(Z215=1,AB215=1),IF(COUNTIFS($K$17:K215,K215,$S$17:S215,S215,$Z$17:Z215,1,$AB$17:AB215,1)=1,1,0),0)</f>
        <v>0</v>
      </c>
      <c r="AG215" s="57" t="n">
        <f aca="false">IF(AND(AA215=1,AB215=1),IF(COUNTIFS($J$17:J215,J215,$L$17:L215,L215,$AA$17:AA215,1,$AB$17:AB215,1)=1,1,0),0)</f>
        <v>0</v>
      </c>
      <c r="AH215" s="57" t="n">
        <f aca="false">IF(AND(AA215=1,AB215=1),IF(COUNTIFS($J$17:J215,J215,$K$17:K215,K215,$AA$17:AA215,1,$AB$17:AB215,1)=1,1,0),0)</f>
        <v>0</v>
      </c>
      <c r="AI215" s="56" t="n">
        <f aca="false">IF(V215=1,MAX(F215,0),0)</f>
        <v>0</v>
      </c>
      <c r="AJ215" s="56" t="n">
        <f aca="false">IF(V215=1,MIN(F215,0),0)</f>
        <v>0</v>
      </c>
    </row>
    <row r="216" customFormat="false" ht="40" hidden="false" customHeight="true" outlineLevel="0" collapsed="false">
      <c r="A216" s="66" t="n">
        <v>45886</v>
      </c>
      <c r="B216" s="54" t="str">
        <f aca="false">IF(M216="","",IF(P216="",M216,HYPERLINK(P216,M216)))</f>
        <v>49100424A0006-49100424F0073</v>
      </c>
      <c r="C216" s="54" t="str">
        <f aca="false">IF(N216="","",IF(Q216="",N216,HYPERLINK(Q216,N216)))</f>
        <v>Anika Systems Incorporated</v>
      </c>
      <c r="D216" s="60" t="s">
        <v>107</v>
      </c>
      <c r="E216" s="54" t="str">
        <f aca="false">IF(O216="","",IF(R216="",O216,HYPERLINK(R216,O216)))</f>
        <v>NSF — office not specified</v>
      </c>
      <c r="F216" s="62" t="n">
        <v>1381775.07</v>
      </c>
      <c r="G216" s="61" t="s">
        <v>464</v>
      </c>
      <c r="H216" s="58"/>
      <c r="I216" s="58" t="s">
        <v>667</v>
      </c>
      <c r="J216" s="58" t="s">
        <v>393</v>
      </c>
      <c r="K216" s="58" t="s">
        <v>105</v>
      </c>
      <c r="L216" s="58" t="s">
        <v>213</v>
      </c>
      <c r="M216" s="58" t="s">
        <v>394</v>
      </c>
      <c r="N216" s="58" t="s">
        <v>106</v>
      </c>
      <c r="O216" s="58" t="s">
        <v>214</v>
      </c>
      <c r="P216" s="58" t="s">
        <v>395</v>
      </c>
      <c r="Q216" s="58" t="s">
        <v>108</v>
      </c>
      <c r="R216" s="58" t="s">
        <v>215</v>
      </c>
      <c r="S216" s="57" t="n">
        <f aca="false">IF(ISNUMBER(A216),YEAR(A216)+IF(MONTH(A216)&gt;=10,1,0),"")</f>
        <v>2025</v>
      </c>
      <c r="T216" s="57" t="n">
        <f aca="false">IF(ISNUMBER(A216),INT(MOD(MONTH(A216)-10,12)/3)+1,"")</f>
        <v>4</v>
      </c>
      <c r="U216" s="57" t="str">
        <f aca="false">IF(AND(I216&lt;&gt;"",D216&lt;&gt;"",OR(COUNTIFS(TransactionsData[Vendor ID],K216,TransactionsData[UEI],"&lt;&gt;"&amp;D216,TransactionsData[UEI],"?*")&gt;0,COUNTIFS(VendorGroups[Record ID],K216,VendorGroups[Source UEI],"&lt;&gt;"&amp;D216,VendorGroups[Source UEI],"?*")&gt;0)),"Conflicting vendor UEIs",IF(I216="",IF(COUNTA(A216,D216,F216:R216)&gt;0,"Missing transaction ID",""),IF(COUNTIFS(TransactionsData[Transaction ID],I216)&lt;&gt;1,"Duplicate transaction ID",IF(OR(NOT(ISNUMBER(A216)),A216&lt;1,A216&gt;DATE(2099,1,1)),"Use a valid date",IF(OR(A216&lt;$B$4,A216&gt;$D$4),"Outside coverage",IF(NOT(ISNUMBER(F216)),"Missing or invalid amount",IF(OR(K216="",L216="",N216=""),"Add vendor and office identities",IF(G216="Exclude",IF(OR(F216&lt;&gt;0,H216=""),"Review nonzero or unexplained exclusion",""),IF(G216&lt;&gt;"Include","Choose Include or Exclude",IF(COUNTIFS(AwardsData[Award ID],J216)&lt;&gt;1,"Award link needs review",IF(INDEX(AwardsData[Input check],MATCH(J216,AwardsData[Award ID],0))&lt;&gt;"","Check award inputs","")))))))))))</f>
        <v/>
      </c>
      <c r="V216" s="57" t="n">
        <f aca="false">IF(AND(I216&lt;&gt;"",U216="",G216="Include"),1,0)</f>
        <v>1</v>
      </c>
      <c r="W216" s="57" t="str">
        <f aca="false">IF(I216="","",IF(COUNTIFS(AwardsData[Award ID],J216)=1,INDEX(AwardsData[Current award type],MATCH(J216,AwardsData[Award ID],0)),"Unlinked"))</f>
        <v>BPA Call</v>
      </c>
      <c r="X216" s="57" t="str">
        <f aca="false">IF(I216="","",IF(COUNTIFS(AwardsData[Award ID],J216)=1,INDEX(AwardsData[Current set-aside],MATCH(J216,AwardsData[Award ID],0)),"Unlinked"))</f>
        <v>Competitive 8(a)</v>
      </c>
      <c r="Y216" s="57" t="str">
        <f aca="false">IF(I216="","",IF(COUNTIFS(AwardsData[Award ID],J216)=1,INDEX(AwardsData[Performance state],MATCH(J216,AwardsData[Award ID],0)),"Unlinked"))</f>
        <v>Virginia</v>
      </c>
      <c r="Z216" s="57" t="n">
        <f aca="false">IF(AND(V216=1,OR(Dashboard!$AB$2="All",K216=Dashboard!$AB$2),OR(Dashboard!$AB$3="All",L216=Dashboard!$AB$3),OR(Dashboard!$N$10="All",W216=Dashboard!$N$10)),1,0)</f>
        <v>1</v>
      </c>
      <c r="AA216" s="57" t="n">
        <f aca="false">IF(AND(Z216=1,OR(Dashboard!$B$7="All",S216=Dashboard!$B$7)),1,0)</f>
        <v>1</v>
      </c>
      <c r="AB216" s="57" t="n">
        <f aca="false">IF(AND(V216=1,F216&lt;&gt;0),1,0)</f>
        <v>1</v>
      </c>
      <c r="AC216" s="57" t="n">
        <f aca="false">IF(AND(AA216=1,AB216=1),IF(COUNTIFS($J$17:J216,J216,$AA$17:AA216,1,$AB$17:AB216,1)=1,1,0),0)</f>
        <v>0</v>
      </c>
      <c r="AD216" s="57" t="n">
        <f aca="false">IF(AND(AA216=1,AB216=1),IF(COUNTIFS($K$17:K216,K216,$AA$17:AA216,1,$AB$17:AB216,1)=1,1,0),0)</f>
        <v>0</v>
      </c>
      <c r="AE216" s="57" t="n">
        <f aca="false">IF(AND(Z216=1,AB216=1),IF(COUNTIFS($J$17:J216,J216,$S$17:S216,S216,$Z$17:Z216,1,$AB$17:AB216,1)=1,1,0),0)</f>
        <v>0</v>
      </c>
      <c r="AF216" s="57" t="n">
        <f aca="false">IF(AND(Z216=1,AB216=1),IF(COUNTIFS($K$17:K216,K216,$S$17:S216,S216,$Z$17:Z216,1,$AB$17:AB216,1)=1,1,0),0)</f>
        <v>0</v>
      </c>
      <c r="AG216" s="57" t="n">
        <f aca="false">IF(AND(AA216=1,AB216=1),IF(COUNTIFS($J$17:J216,J216,$L$17:L216,L216,$AA$17:AA216,1,$AB$17:AB216,1)=1,1,0),0)</f>
        <v>0</v>
      </c>
      <c r="AH216" s="57" t="n">
        <f aca="false">IF(AND(AA216=1,AB216=1),IF(COUNTIFS($J$17:J216,J216,$K$17:K216,K216,$AA$17:AA216,1,$AB$17:AB216,1)=1,1,0),0)</f>
        <v>0</v>
      </c>
      <c r="AI216" s="56" t="n">
        <f aca="false">IF(V216=1,MAX(F216,0),0)</f>
        <v>1381775.07</v>
      </c>
      <c r="AJ216" s="56" t="n">
        <f aca="false">IF(V216=1,MIN(F216,0),0)</f>
        <v>0</v>
      </c>
    </row>
    <row r="217" customFormat="false" ht="40" hidden="false" customHeight="true" outlineLevel="0" collapsed="false">
      <c r="A217" s="66" t="n">
        <v>45887</v>
      </c>
      <c r="B217" s="54" t="str">
        <f aca="false">IF(M217="","",IF(P217="",M217,HYPERLINK(P217,M217)))</f>
        <v>49100424A0001-49100424F0053</v>
      </c>
      <c r="C217" s="54" t="str">
        <f aca="false">IF(N217="","",IF(Q217="",N217,HYPERLINK(Q217,N217)))</f>
        <v>Spatial Front Inc.</v>
      </c>
      <c r="D217" s="60" t="s">
        <v>166</v>
      </c>
      <c r="E217" s="54" t="str">
        <f aca="false">IF(O217="","",IF(R217="",O217,HYPERLINK(R217,O217)))</f>
        <v>Division of Information Systems</v>
      </c>
      <c r="F217" s="62" t="n">
        <v>333000</v>
      </c>
      <c r="G217" s="61" t="s">
        <v>464</v>
      </c>
      <c r="H217" s="58"/>
      <c r="I217" s="58" t="s">
        <v>668</v>
      </c>
      <c r="J217" s="58" t="s">
        <v>373</v>
      </c>
      <c r="K217" s="58" t="s">
        <v>164</v>
      </c>
      <c r="L217" s="58" t="s">
        <v>197</v>
      </c>
      <c r="M217" s="58" t="s">
        <v>374</v>
      </c>
      <c r="N217" s="58" t="s">
        <v>165</v>
      </c>
      <c r="O217" s="58" t="s">
        <v>198</v>
      </c>
      <c r="P217" s="58" t="s">
        <v>375</v>
      </c>
      <c r="Q217" s="58" t="s">
        <v>167</v>
      </c>
      <c r="R217" s="58" t="s">
        <v>200</v>
      </c>
      <c r="S217" s="57" t="n">
        <f aca="false">IF(ISNUMBER(A217),YEAR(A217)+IF(MONTH(A217)&gt;=10,1,0),"")</f>
        <v>2025</v>
      </c>
      <c r="T217" s="57" t="n">
        <f aca="false">IF(ISNUMBER(A217),INT(MOD(MONTH(A217)-10,12)/3)+1,"")</f>
        <v>4</v>
      </c>
      <c r="U217" s="57" t="str">
        <f aca="false">IF(AND(I217&lt;&gt;"",D217&lt;&gt;"",OR(COUNTIFS(TransactionsData[Vendor ID],K217,TransactionsData[UEI],"&lt;&gt;"&amp;D217,TransactionsData[UEI],"?*")&gt;0,COUNTIFS(VendorGroups[Record ID],K217,VendorGroups[Source UEI],"&lt;&gt;"&amp;D217,VendorGroups[Source UEI],"?*")&gt;0)),"Conflicting vendor UEIs",IF(I217="",IF(COUNTA(A217,D217,F217:R217)&gt;0,"Missing transaction ID",""),IF(COUNTIFS(TransactionsData[Transaction ID],I217)&lt;&gt;1,"Duplicate transaction ID",IF(OR(NOT(ISNUMBER(A217)),A217&lt;1,A217&gt;DATE(2099,1,1)),"Use a valid date",IF(OR(A217&lt;$B$4,A217&gt;$D$4),"Outside coverage",IF(NOT(ISNUMBER(F217)),"Missing or invalid amount",IF(OR(K217="",L217="",N217=""),"Add vendor and office identities",IF(G217="Exclude",IF(OR(F217&lt;&gt;0,H217=""),"Review nonzero or unexplained exclusion",""),IF(G217&lt;&gt;"Include","Choose Include or Exclude",IF(COUNTIFS(AwardsData[Award ID],J217)&lt;&gt;1,"Award link needs review",IF(INDEX(AwardsData[Input check],MATCH(J217,AwardsData[Award ID],0))&lt;&gt;"","Check award inputs","")))))))))))</f>
        <v/>
      </c>
      <c r="V217" s="57" t="n">
        <f aca="false">IF(AND(I217&lt;&gt;"",U217="",G217="Include"),1,0)</f>
        <v>1</v>
      </c>
      <c r="W217" s="57" t="str">
        <f aca="false">IF(I217="","",IF(COUNTIFS(AwardsData[Award ID],J217)=1,INDEX(AwardsData[Current award type],MATCH(J217,AwardsData[Award ID],0)),"Unlinked"))</f>
        <v>BPA Call</v>
      </c>
      <c r="X217" s="57" t="str">
        <f aca="false">IF(I217="","",IF(COUNTIFS(AwardsData[Award ID],J217)=1,INDEX(AwardsData[Current set-aside],MATCH(J217,AwardsData[Award ID],0)),"Unlinked"))</f>
        <v>Total Small Business</v>
      </c>
      <c r="Y217" s="57" t="str">
        <f aca="false">IF(I217="","",IF(COUNTIFS(AwardsData[Award ID],J217)=1,INDEX(AwardsData[Performance state],MATCH(J217,AwardsData[Award ID],0)),"Unlinked"))</f>
        <v>Virginia</v>
      </c>
      <c r="Z217" s="57" t="n">
        <f aca="false">IF(AND(V217=1,OR(Dashboard!$AB$2="All",K217=Dashboard!$AB$2),OR(Dashboard!$AB$3="All",L217=Dashboard!$AB$3),OR(Dashboard!$N$10="All",W217=Dashboard!$N$10)),1,0)</f>
        <v>1</v>
      </c>
      <c r="AA217" s="57" t="n">
        <f aca="false">IF(AND(Z217=1,OR(Dashboard!$B$7="All",S217=Dashboard!$B$7)),1,0)</f>
        <v>1</v>
      </c>
      <c r="AB217" s="57" t="n">
        <f aca="false">IF(AND(V217=1,F217&lt;&gt;0),1,0)</f>
        <v>1</v>
      </c>
      <c r="AC217" s="57" t="n">
        <f aca="false">IF(AND(AA217=1,AB217=1),IF(COUNTIFS($J$17:J217,J217,$AA$17:AA217,1,$AB$17:AB217,1)=1,1,0),0)</f>
        <v>0</v>
      </c>
      <c r="AD217" s="57" t="n">
        <f aca="false">IF(AND(AA217=1,AB217=1),IF(COUNTIFS($K$17:K217,K217,$AA$17:AA217,1,$AB$17:AB217,1)=1,1,0),0)</f>
        <v>0</v>
      </c>
      <c r="AE217" s="57" t="n">
        <f aca="false">IF(AND(Z217=1,AB217=1),IF(COUNTIFS($J$17:J217,J217,$S$17:S217,S217,$Z$17:Z217,1,$AB$17:AB217,1)=1,1,0),0)</f>
        <v>0</v>
      </c>
      <c r="AF217" s="57" t="n">
        <f aca="false">IF(AND(Z217=1,AB217=1),IF(COUNTIFS($K$17:K217,K217,$S$17:S217,S217,$Z$17:Z217,1,$AB$17:AB217,1)=1,1,0),0)</f>
        <v>0</v>
      </c>
      <c r="AG217" s="57" t="n">
        <f aca="false">IF(AND(AA217=1,AB217=1),IF(COUNTIFS($J$17:J217,J217,$L$17:L217,L217,$AA$17:AA217,1,$AB$17:AB217,1)=1,1,0),0)</f>
        <v>0</v>
      </c>
      <c r="AH217" s="57" t="n">
        <f aca="false">IF(AND(AA217=1,AB217=1),IF(COUNTIFS($J$17:J217,J217,$K$17:K217,K217,$AA$17:AA217,1,$AB$17:AB217,1)=1,1,0),0)</f>
        <v>0</v>
      </c>
      <c r="AI217" s="56" t="n">
        <f aca="false">IF(V217=1,MAX(F217,0),0)</f>
        <v>333000</v>
      </c>
      <c r="AJ217" s="56" t="n">
        <f aca="false">IF(V217=1,MIN(F217,0),0)</f>
        <v>0</v>
      </c>
    </row>
    <row r="218" customFormat="false" ht="40" hidden="false" customHeight="true" outlineLevel="0" collapsed="false">
      <c r="A218" s="66" t="n">
        <v>45888</v>
      </c>
      <c r="B218" s="54" t="str">
        <f aca="false">IF(M218="","",IF(P218="",M218,HYPERLINK(P218,M218)))</f>
        <v>47QTCB21D0016-49100424F0029</v>
      </c>
      <c r="C218" s="54" t="str">
        <f aca="false">IF(N218="","",IF(Q218="",N218,HYPERLINK(Q218,N218)))</f>
        <v>Professional Management Consulting Services LLC</v>
      </c>
      <c r="D218" s="60" t="s">
        <v>154</v>
      </c>
      <c r="E218" s="54" t="str">
        <f aca="false">IF(O218="","",IF(R218="",O218,HYPERLINK(R218,O218)))</f>
        <v>Directorate of Geosciences</v>
      </c>
      <c r="F218" s="62" t="n">
        <v>-13437.43</v>
      </c>
      <c r="G218" s="61" t="s">
        <v>464</v>
      </c>
      <c r="H218" s="58"/>
      <c r="I218" s="58" t="s">
        <v>669</v>
      </c>
      <c r="J218" s="58" t="s">
        <v>284</v>
      </c>
      <c r="K218" s="58" t="s">
        <v>152</v>
      </c>
      <c r="L218" s="58" t="s">
        <v>185</v>
      </c>
      <c r="M218" s="58" t="s">
        <v>285</v>
      </c>
      <c r="N218" s="58" t="s">
        <v>153</v>
      </c>
      <c r="O218" s="58" t="s">
        <v>186</v>
      </c>
      <c r="P218" s="58" t="s">
        <v>286</v>
      </c>
      <c r="Q218" s="58" t="s">
        <v>155</v>
      </c>
      <c r="R218" s="58" t="s">
        <v>188</v>
      </c>
      <c r="S218" s="57" t="n">
        <f aca="false">IF(ISNUMBER(A218),YEAR(A218)+IF(MONTH(A218)&gt;=10,1,0),"")</f>
        <v>2025</v>
      </c>
      <c r="T218" s="57" t="n">
        <f aca="false">IF(ISNUMBER(A218),INT(MOD(MONTH(A218)-10,12)/3)+1,"")</f>
        <v>4</v>
      </c>
      <c r="U218" s="57" t="str">
        <f aca="false">IF(AND(I218&lt;&gt;"",D218&lt;&gt;"",OR(COUNTIFS(TransactionsData[Vendor ID],K218,TransactionsData[UEI],"&lt;&gt;"&amp;D218,TransactionsData[UEI],"?*")&gt;0,COUNTIFS(VendorGroups[Record ID],K218,VendorGroups[Source UEI],"&lt;&gt;"&amp;D218,VendorGroups[Source UEI],"?*")&gt;0)),"Conflicting vendor UEIs",IF(I218="",IF(COUNTA(A218,D218,F218:R218)&gt;0,"Missing transaction ID",""),IF(COUNTIFS(TransactionsData[Transaction ID],I218)&lt;&gt;1,"Duplicate transaction ID",IF(OR(NOT(ISNUMBER(A218)),A218&lt;1,A218&gt;DATE(2099,1,1)),"Use a valid date",IF(OR(A218&lt;$B$4,A218&gt;$D$4),"Outside coverage",IF(NOT(ISNUMBER(F218)),"Missing or invalid amount",IF(OR(K218="",L218="",N218=""),"Add vendor and office identities",IF(G218="Exclude",IF(OR(F218&lt;&gt;0,H218=""),"Review nonzero or unexplained exclusion",""),IF(G218&lt;&gt;"Include","Choose Include or Exclude",IF(COUNTIFS(AwardsData[Award ID],J218)&lt;&gt;1,"Award link needs review",IF(INDEX(AwardsData[Input check],MATCH(J218,AwardsData[Award ID],0))&lt;&gt;"","Check award inputs","")))))))))))</f>
        <v/>
      </c>
      <c r="V218" s="57" t="n">
        <f aca="false">IF(AND(I218&lt;&gt;"",U218="",G218="Include"),1,0)</f>
        <v>1</v>
      </c>
      <c r="W218" s="57" t="str">
        <f aca="false">IF(I218="","",IF(COUNTIFS(AwardsData[Award ID],J218)=1,INDEX(AwardsData[Current award type],MATCH(J218,AwardsData[Award ID],0)),"Unlinked"))</f>
        <v>Delivery Order</v>
      </c>
      <c r="X218" s="57" t="str">
        <f aca="false">IF(I218="","",IF(COUNTIFS(AwardsData[Award ID],J218)=1,INDEX(AwardsData[Current set-aside],MATCH(J218,AwardsData[Award ID],0)),"Unlinked"))</f>
        <v>8(a) Sole Source</v>
      </c>
      <c r="Y218" s="57" t="str">
        <f aca="false">IF(I218="","",IF(COUNTIFS(AwardsData[Award ID],J218)=1,INDEX(AwardsData[Performance state],MATCH(J218,AwardsData[Award ID],0)),"Unlinked"))</f>
        <v>District of Columbia</v>
      </c>
      <c r="Z218" s="57" t="n">
        <f aca="false">IF(AND(V218=1,OR(Dashboard!$AB$2="All",K218=Dashboard!$AB$2),OR(Dashboard!$AB$3="All",L218=Dashboard!$AB$3),OR(Dashboard!$N$10="All",W218=Dashboard!$N$10)),1,0)</f>
        <v>1</v>
      </c>
      <c r="AA218" s="57" t="n">
        <f aca="false">IF(AND(Z218=1,OR(Dashboard!$B$7="All",S218=Dashboard!$B$7)),1,0)</f>
        <v>1</v>
      </c>
      <c r="AB218" s="57" t="n">
        <f aca="false">IF(AND(V218=1,F218&lt;&gt;0),1,0)</f>
        <v>1</v>
      </c>
      <c r="AC218" s="57" t="n">
        <f aca="false">IF(AND(AA218=1,AB218=1),IF(COUNTIFS($J$17:J218,J218,$AA$17:AA218,1,$AB$17:AB218,1)=1,1,0),0)</f>
        <v>0</v>
      </c>
      <c r="AD218" s="57" t="n">
        <f aca="false">IF(AND(AA218=1,AB218=1),IF(COUNTIFS($K$17:K218,K218,$AA$17:AA218,1,$AB$17:AB218,1)=1,1,0),0)</f>
        <v>0</v>
      </c>
      <c r="AE218" s="57" t="n">
        <f aca="false">IF(AND(Z218=1,AB218=1),IF(COUNTIFS($J$17:J218,J218,$S$17:S218,S218,$Z$17:Z218,1,$AB$17:AB218,1)=1,1,0),0)</f>
        <v>0</v>
      </c>
      <c r="AF218" s="57" t="n">
        <f aca="false">IF(AND(Z218=1,AB218=1),IF(COUNTIFS($K$17:K218,K218,$S$17:S218,S218,$Z$17:Z218,1,$AB$17:AB218,1)=1,1,0),0)</f>
        <v>0</v>
      </c>
      <c r="AG218" s="57" t="n">
        <f aca="false">IF(AND(AA218=1,AB218=1),IF(COUNTIFS($J$17:J218,J218,$L$17:L218,L218,$AA$17:AA218,1,$AB$17:AB218,1)=1,1,0),0)</f>
        <v>0</v>
      </c>
      <c r="AH218" s="57" t="n">
        <f aca="false">IF(AND(AA218=1,AB218=1),IF(COUNTIFS($J$17:J218,J218,$K$17:K218,K218,$AA$17:AA218,1,$AB$17:AB218,1)=1,1,0),0)</f>
        <v>0</v>
      </c>
      <c r="AI218" s="56" t="n">
        <f aca="false">IF(V218=1,MAX(F218,0),0)</f>
        <v>0</v>
      </c>
      <c r="AJ218" s="56" t="n">
        <f aca="false">IF(V218=1,MIN(F218,0),0)</f>
        <v>-13437.43</v>
      </c>
    </row>
    <row r="219" customFormat="false" ht="40" hidden="false" customHeight="true" outlineLevel="0" collapsed="false">
      <c r="A219" s="66" t="n">
        <v>45889</v>
      </c>
      <c r="B219" s="54" t="str">
        <f aca="false">IF(M219="","",IF(P219="",M219,HYPERLINK(P219,M219)))</f>
        <v>47QTCA18D008L-49100425F0010</v>
      </c>
      <c r="C219" s="54" t="str">
        <f aca="false">IF(N219="","",IF(Q219="",N219,HYPERLINK(Q219,N219)))</f>
        <v>Gartner, Inc.</v>
      </c>
      <c r="D219" s="60" t="s">
        <v>131</v>
      </c>
      <c r="E219" s="54" t="str">
        <f aca="false">IF(O219="","",IF(R219="",O219,HYPERLINK(R219,O219)))</f>
        <v>NSF — office not specified</v>
      </c>
      <c r="F219" s="62" t="n">
        <v>0</v>
      </c>
      <c r="G219" s="61" t="s">
        <v>464</v>
      </c>
      <c r="H219" s="58"/>
      <c r="I219" s="58" t="s">
        <v>670</v>
      </c>
      <c r="J219" s="58" t="s">
        <v>254</v>
      </c>
      <c r="K219" s="58" t="s">
        <v>129</v>
      </c>
      <c r="L219" s="58" t="s">
        <v>213</v>
      </c>
      <c r="M219" s="58" t="s">
        <v>255</v>
      </c>
      <c r="N219" s="58" t="s">
        <v>130</v>
      </c>
      <c r="O219" s="58" t="s">
        <v>214</v>
      </c>
      <c r="P219" s="58" t="s">
        <v>256</v>
      </c>
      <c r="Q219" s="58" t="s">
        <v>132</v>
      </c>
      <c r="R219" s="58" t="s">
        <v>215</v>
      </c>
      <c r="S219" s="57" t="n">
        <f aca="false">IF(ISNUMBER(A219),YEAR(A219)+IF(MONTH(A219)&gt;=10,1,0),"")</f>
        <v>2025</v>
      </c>
      <c r="T219" s="57" t="n">
        <f aca="false">IF(ISNUMBER(A219),INT(MOD(MONTH(A219)-10,12)/3)+1,"")</f>
        <v>4</v>
      </c>
      <c r="U219" s="57" t="str">
        <f aca="false">IF(AND(I219&lt;&gt;"",D219&lt;&gt;"",OR(COUNTIFS(TransactionsData[Vendor ID],K219,TransactionsData[UEI],"&lt;&gt;"&amp;D219,TransactionsData[UEI],"?*")&gt;0,COUNTIFS(VendorGroups[Record ID],K219,VendorGroups[Source UEI],"&lt;&gt;"&amp;D219,VendorGroups[Source UEI],"?*")&gt;0)),"Conflicting vendor UEIs",IF(I219="",IF(COUNTA(A219,D219,F219:R219)&gt;0,"Missing transaction ID",""),IF(COUNTIFS(TransactionsData[Transaction ID],I219)&lt;&gt;1,"Duplicate transaction ID",IF(OR(NOT(ISNUMBER(A219)),A219&lt;1,A219&gt;DATE(2099,1,1)),"Use a valid date",IF(OR(A219&lt;$B$4,A219&gt;$D$4),"Outside coverage",IF(NOT(ISNUMBER(F219)),"Missing or invalid amount",IF(OR(K219="",L219="",N219=""),"Add vendor and office identities",IF(G219="Exclude",IF(OR(F219&lt;&gt;0,H219=""),"Review nonzero or unexplained exclusion",""),IF(G219&lt;&gt;"Include","Choose Include or Exclude",IF(COUNTIFS(AwardsData[Award ID],J219)&lt;&gt;1,"Award link needs review",IF(INDEX(AwardsData[Input check],MATCH(J219,AwardsData[Award ID],0))&lt;&gt;"","Check award inputs","")))))))))))</f>
        <v/>
      </c>
      <c r="V219" s="57" t="n">
        <f aca="false">IF(AND(I219&lt;&gt;"",U219="",G219="Include"),1,0)</f>
        <v>1</v>
      </c>
      <c r="W219" s="57" t="str">
        <f aca="false">IF(I219="","",IF(COUNTIFS(AwardsData[Award ID],J219)=1,INDEX(AwardsData[Current award type],MATCH(J219,AwardsData[Award ID],0)),"Unlinked"))</f>
        <v>Delivery Order</v>
      </c>
      <c r="X219" s="57" t="str">
        <f aca="false">IF(I219="","",IF(COUNTIFS(AwardsData[Award ID],J219)=1,INDEX(AwardsData[Current set-aside],MATCH(J219,AwardsData[Award ID],0)),"Unlinked"))</f>
        <v>No Set-Aside Used</v>
      </c>
      <c r="Y219" s="57" t="str">
        <f aca="false">IF(I219="","",IF(COUNTIFS(AwardsData[Award ID],J219)=1,INDEX(AwardsData[Performance state],MATCH(J219,AwardsData[Award ID],0)),"Unlinked"))</f>
        <v>Virginia</v>
      </c>
      <c r="Z219" s="57" t="n">
        <f aca="false">IF(AND(V219=1,OR(Dashboard!$AB$2="All",K219=Dashboard!$AB$2),OR(Dashboard!$AB$3="All",L219=Dashboard!$AB$3),OR(Dashboard!$N$10="All",W219=Dashboard!$N$10)),1,0)</f>
        <v>1</v>
      </c>
      <c r="AA219" s="57" t="n">
        <f aca="false">IF(AND(Z219=1,OR(Dashboard!$B$7="All",S219=Dashboard!$B$7)),1,0)</f>
        <v>1</v>
      </c>
      <c r="AB219" s="57" t="n">
        <f aca="false">IF(AND(V219=1,F219&lt;&gt;0),1,0)</f>
        <v>0</v>
      </c>
      <c r="AC219" s="57" t="n">
        <f aca="false">IF(AND(AA219=1,AB219=1),IF(COUNTIFS($J$17:J219,J219,$AA$17:AA219,1,$AB$17:AB219,1)=1,1,0),0)</f>
        <v>0</v>
      </c>
      <c r="AD219" s="57" t="n">
        <f aca="false">IF(AND(AA219=1,AB219=1),IF(COUNTIFS($K$17:K219,K219,$AA$17:AA219,1,$AB$17:AB219,1)=1,1,0),0)</f>
        <v>0</v>
      </c>
      <c r="AE219" s="57" t="n">
        <f aca="false">IF(AND(Z219=1,AB219=1),IF(COUNTIFS($J$17:J219,J219,$S$17:S219,S219,$Z$17:Z219,1,$AB$17:AB219,1)=1,1,0),0)</f>
        <v>0</v>
      </c>
      <c r="AF219" s="57" t="n">
        <f aca="false">IF(AND(Z219=1,AB219=1),IF(COUNTIFS($K$17:K219,K219,$S$17:S219,S219,$Z$17:Z219,1,$AB$17:AB219,1)=1,1,0),0)</f>
        <v>0</v>
      </c>
      <c r="AG219" s="57" t="n">
        <f aca="false">IF(AND(AA219=1,AB219=1),IF(COUNTIFS($J$17:J219,J219,$L$17:L219,L219,$AA$17:AA219,1,$AB$17:AB219,1)=1,1,0),0)</f>
        <v>0</v>
      </c>
      <c r="AH219" s="57" t="n">
        <f aca="false">IF(AND(AA219=1,AB219=1),IF(COUNTIFS($J$17:J219,J219,$K$17:K219,K219,$AA$17:AA219,1,$AB$17:AB219,1)=1,1,0),0)</f>
        <v>0</v>
      </c>
      <c r="AI219" s="56" t="n">
        <f aca="false">IF(V219=1,MAX(F219,0),0)</f>
        <v>0</v>
      </c>
      <c r="AJ219" s="56" t="n">
        <f aca="false">IF(V219=1,MIN(F219,0),0)</f>
        <v>0</v>
      </c>
    </row>
    <row r="220" customFormat="false" ht="40" hidden="false" customHeight="true" outlineLevel="0" collapsed="false">
      <c r="A220" s="66" t="n">
        <v>45896</v>
      </c>
      <c r="B220" s="54" t="str">
        <f aca="false">IF(M220="","",IF(P220="",M220,HYPERLINK(P220,M220)))</f>
        <v>49100424A0001-49100424F0054</v>
      </c>
      <c r="C220" s="54" t="str">
        <f aca="false">IF(N220="","",IF(Q220="",N220,HYPERLINK(Q220,N220)))</f>
        <v>Spatial Front Inc.</v>
      </c>
      <c r="D220" s="60" t="s">
        <v>166</v>
      </c>
      <c r="E220" s="54" t="str">
        <f aca="false">IF(O220="","",IF(R220="",O220,HYPERLINK(R220,O220)))</f>
        <v>NSF — office not specified</v>
      </c>
      <c r="F220" s="62" t="n">
        <v>185500</v>
      </c>
      <c r="G220" s="61" t="s">
        <v>464</v>
      </c>
      <c r="H220" s="58"/>
      <c r="I220" s="58" t="s">
        <v>671</v>
      </c>
      <c r="J220" s="58" t="s">
        <v>376</v>
      </c>
      <c r="K220" s="58" t="s">
        <v>164</v>
      </c>
      <c r="L220" s="58" t="s">
        <v>213</v>
      </c>
      <c r="M220" s="58" t="s">
        <v>377</v>
      </c>
      <c r="N220" s="58" t="s">
        <v>165</v>
      </c>
      <c r="O220" s="58" t="s">
        <v>214</v>
      </c>
      <c r="P220" s="58" t="s">
        <v>378</v>
      </c>
      <c r="Q220" s="58" t="s">
        <v>167</v>
      </c>
      <c r="R220" s="58" t="s">
        <v>215</v>
      </c>
      <c r="S220" s="57" t="n">
        <f aca="false">IF(ISNUMBER(A220),YEAR(A220)+IF(MONTH(A220)&gt;=10,1,0),"")</f>
        <v>2025</v>
      </c>
      <c r="T220" s="57" t="n">
        <f aca="false">IF(ISNUMBER(A220),INT(MOD(MONTH(A220)-10,12)/3)+1,"")</f>
        <v>4</v>
      </c>
      <c r="U220" s="57" t="str">
        <f aca="false">IF(AND(I220&lt;&gt;"",D220&lt;&gt;"",OR(COUNTIFS(TransactionsData[Vendor ID],K220,TransactionsData[UEI],"&lt;&gt;"&amp;D220,TransactionsData[UEI],"?*")&gt;0,COUNTIFS(VendorGroups[Record ID],K220,VendorGroups[Source UEI],"&lt;&gt;"&amp;D220,VendorGroups[Source UEI],"?*")&gt;0)),"Conflicting vendor UEIs",IF(I220="",IF(COUNTA(A220,D220,F220:R220)&gt;0,"Missing transaction ID",""),IF(COUNTIFS(TransactionsData[Transaction ID],I220)&lt;&gt;1,"Duplicate transaction ID",IF(OR(NOT(ISNUMBER(A220)),A220&lt;1,A220&gt;DATE(2099,1,1)),"Use a valid date",IF(OR(A220&lt;$B$4,A220&gt;$D$4),"Outside coverage",IF(NOT(ISNUMBER(F220)),"Missing or invalid amount",IF(OR(K220="",L220="",N220=""),"Add vendor and office identities",IF(G220="Exclude",IF(OR(F220&lt;&gt;0,H220=""),"Review nonzero or unexplained exclusion",""),IF(G220&lt;&gt;"Include","Choose Include or Exclude",IF(COUNTIFS(AwardsData[Award ID],J220)&lt;&gt;1,"Award link needs review",IF(INDEX(AwardsData[Input check],MATCH(J220,AwardsData[Award ID],0))&lt;&gt;"","Check award inputs","")))))))))))</f>
        <v/>
      </c>
      <c r="V220" s="57" t="n">
        <f aca="false">IF(AND(I220&lt;&gt;"",U220="",G220="Include"),1,0)</f>
        <v>1</v>
      </c>
      <c r="W220" s="57" t="str">
        <f aca="false">IF(I220="","",IF(COUNTIFS(AwardsData[Award ID],J220)=1,INDEX(AwardsData[Current award type],MATCH(J220,AwardsData[Award ID],0)),"Unlinked"))</f>
        <v>BPA Call</v>
      </c>
      <c r="X220" s="57" t="str">
        <f aca="false">IF(I220="","",IF(COUNTIFS(AwardsData[Award ID],J220)=1,INDEX(AwardsData[Current set-aside],MATCH(J220,AwardsData[Award ID],0)),"Unlinked"))</f>
        <v>Total Small Business</v>
      </c>
      <c r="Y220" s="57" t="str">
        <f aca="false">IF(I220="","",IF(COUNTIFS(AwardsData[Award ID],J220)=1,INDEX(AwardsData[Performance state],MATCH(J220,AwardsData[Award ID],0)),"Unlinked"))</f>
        <v>Virginia</v>
      </c>
      <c r="Z220" s="57" t="n">
        <f aca="false">IF(AND(V220=1,OR(Dashboard!$AB$2="All",K220=Dashboard!$AB$2),OR(Dashboard!$AB$3="All",L220=Dashboard!$AB$3),OR(Dashboard!$N$10="All",W220=Dashboard!$N$10)),1,0)</f>
        <v>1</v>
      </c>
      <c r="AA220" s="57" t="n">
        <f aca="false">IF(AND(Z220=1,OR(Dashboard!$B$7="All",S220=Dashboard!$B$7)),1,0)</f>
        <v>1</v>
      </c>
      <c r="AB220" s="57" t="n">
        <f aca="false">IF(AND(V220=1,F220&lt;&gt;0),1,0)</f>
        <v>1</v>
      </c>
      <c r="AC220" s="57" t="n">
        <f aca="false">IF(AND(AA220=1,AB220=1),IF(COUNTIFS($J$17:J220,J220,$AA$17:AA220,1,$AB$17:AB220,1)=1,1,0),0)</f>
        <v>0</v>
      </c>
      <c r="AD220" s="57" t="n">
        <f aca="false">IF(AND(AA220=1,AB220=1),IF(COUNTIFS($K$17:K220,K220,$AA$17:AA220,1,$AB$17:AB220,1)=1,1,0),0)</f>
        <v>0</v>
      </c>
      <c r="AE220" s="57" t="n">
        <f aca="false">IF(AND(Z220=1,AB220=1),IF(COUNTIFS($J$17:J220,J220,$S$17:S220,S220,$Z$17:Z220,1,$AB$17:AB220,1)=1,1,0),0)</f>
        <v>0</v>
      </c>
      <c r="AF220" s="57" t="n">
        <f aca="false">IF(AND(Z220=1,AB220=1),IF(COUNTIFS($K$17:K220,K220,$S$17:S220,S220,$Z$17:Z220,1,$AB$17:AB220,1)=1,1,0),0)</f>
        <v>0</v>
      </c>
      <c r="AG220" s="57" t="n">
        <f aca="false">IF(AND(AA220=1,AB220=1),IF(COUNTIFS($J$17:J220,J220,$L$17:L220,L220,$AA$17:AA220,1,$AB$17:AB220,1)=1,1,0),0)</f>
        <v>0</v>
      </c>
      <c r="AH220" s="57" t="n">
        <f aca="false">IF(AND(AA220=1,AB220=1),IF(COUNTIFS($J$17:J220,J220,$K$17:K220,K220,$AA$17:AA220,1,$AB$17:AB220,1)=1,1,0),0)</f>
        <v>0</v>
      </c>
      <c r="AI220" s="56" t="n">
        <f aca="false">IF(V220=1,MAX(F220,0),0)</f>
        <v>185500</v>
      </c>
      <c r="AJ220" s="56" t="n">
        <f aca="false">IF(V220=1,MIN(F220,0),0)</f>
        <v>0</v>
      </c>
    </row>
    <row r="221" customFormat="false" ht="40" hidden="false" customHeight="true" outlineLevel="0" collapsed="false">
      <c r="A221" s="66" t="n">
        <v>45898</v>
      </c>
      <c r="B221" s="54" t="str">
        <f aca="false">IF(M221="","",IF(P221="",M221,HYPERLINK(P221,M221)))</f>
        <v>47QTCA23D0037-49100425F0092</v>
      </c>
      <c r="C221" s="54" t="str">
        <f aca="false">IF(N221="","",IF(Q221="",N221,HYPERLINK(Q221,N221)))</f>
        <v>Criterion Systems, L.L.C.</v>
      </c>
      <c r="D221" s="60" t="s">
        <v>119</v>
      </c>
      <c r="E221" s="54" t="str">
        <f aca="false">IF(O221="","",IF(R221="",O221,HYPERLINK(R221,O221)))</f>
        <v>NSF — office not specified</v>
      </c>
      <c r="F221" s="62" t="n">
        <v>1000000</v>
      </c>
      <c r="G221" s="61" t="s">
        <v>464</v>
      </c>
      <c r="H221" s="58"/>
      <c r="I221" s="58" t="s">
        <v>672</v>
      </c>
      <c r="J221" s="58" t="s">
        <v>267</v>
      </c>
      <c r="K221" s="58" t="s">
        <v>117</v>
      </c>
      <c r="L221" s="58" t="s">
        <v>213</v>
      </c>
      <c r="M221" s="58" t="s">
        <v>268</v>
      </c>
      <c r="N221" s="58" t="s">
        <v>118</v>
      </c>
      <c r="O221" s="58" t="s">
        <v>214</v>
      </c>
      <c r="P221" s="58" t="s">
        <v>269</v>
      </c>
      <c r="Q221" s="58" t="s">
        <v>120</v>
      </c>
      <c r="R221" s="58" t="s">
        <v>215</v>
      </c>
      <c r="S221" s="57" t="n">
        <f aca="false">IF(ISNUMBER(A221),YEAR(A221)+IF(MONTH(A221)&gt;=10,1,0),"")</f>
        <v>2025</v>
      </c>
      <c r="T221" s="57" t="n">
        <f aca="false">IF(ISNUMBER(A221),INT(MOD(MONTH(A221)-10,12)/3)+1,"")</f>
        <v>4</v>
      </c>
      <c r="U221" s="57" t="str">
        <f aca="false">IF(AND(I221&lt;&gt;"",D221&lt;&gt;"",OR(COUNTIFS(TransactionsData[Vendor ID],K221,TransactionsData[UEI],"&lt;&gt;"&amp;D221,TransactionsData[UEI],"?*")&gt;0,COUNTIFS(VendorGroups[Record ID],K221,VendorGroups[Source UEI],"&lt;&gt;"&amp;D221,VendorGroups[Source UEI],"?*")&gt;0)),"Conflicting vendor UEIs",IF(I221="",IF(COUNTA(A221,D221,F221:R221)&gt;0,"Missing transaction ID",""),IF(COUNTIFS(TransactionsData[Transaction ID],I221)&lt;&gt;1,"Duplicate transaction ID",IF(OR(NOT(ISNUMBER(A221)),A221&lt;1,A221&gt;DATE(2099,1,1)),"Use a valid date",IF(OR(A221&lt;$B$4,A221&gt;$D$4),"Outside coverage",IF(NOT(ISNUMBER(F221)),"Missing or invalid amount",IF(OR(K221="",L221="",N221=""),"Add vendor and office identities",IF(G221="Exclude",IF(OR(F221&lt;&gt;0,H221=""),"Review nonzero or unexplained exclusion",""),IF(G221&lt;&gt;"Include","Choose Include or Exclude",IF(COUNTIFS(AwardsData[Award ID],J221)&lt;&gt;1,"Award link needs review",IF(INDEX(AwardsData[Input check],MATCH(J221,AwardsData[Award ID],0))&lt;&gt;"","Check award inputs","")))))))))))</f>
        <v/>
      </c>
      <c r="V221" s="57" t="n">
        <f aca="false">IF(AND(I221&lt;&gt;"",U221="",G221="Include"),1,0)</f>
        <v>1</v>
      </c>
      <c r="W221" s="57" t="str">
        <f aca="false">IF(I221="","",IF(COUNTIFS(AwardsData[Award ID],J221)=1,INDEX(AwardsData[Current award type],MATCH(J221,AwardsData[Award ID],0)),"Unlinked"))</f>
        <v>Delivery Order</v>
      </c>
      <c r="X221" s="57" t="str">
        <f aca="false">IF(I221="","",IF(COUNTIFS(AwardsData[Award ID],J221)=1,INDEX(AwardsData[Current set-aside],MATCH(J221,AwardsData[Award ID],0)),"Unlinked"))</f>
        <v>No Set-Aside Used</v>
      </c>
      <c r="Y221" s="57" t="str">
        <f aca="false">IF(I221="","",IF(COUNTIFS(AwardsData[Award ID],J221)=1,INDEX(AwardsData[Performance state],MATCH(J221,AwardsData[Award ID],0)),"Unlinked"))</f>
        <v>Virginia</v>
      </c>
      <c r="Z221" s="57" t="n">
        <f aca="false">IF(AND(V221=1,OR(Dashboard!$AB$2="All",K221=Dashboard!$AB$2),OR(Dashboard!$AB$3="All",L221=Dashboard!$AB$3),OR(Dashboard!$N$10="All",W221=Dashboard!$N$10)),1,0)</f>
        <v>1</v>
      </c>
      <c r="AA221" s="57" t="n">
        <f aca="false">IF(AND(Z221=1,OR(Dashboard!$B$7="All",S221=Dashboard!$B$7)),1,0)</f>
        <v>1</v>
      </c>
      <c r="AB221" s="57" t="n">
        <f aca="false">IF(AND(V221=1,F221&lt;&gt;0),1,0)</f>
        <v>1</v>
      </c>
      <c r="AC221" s="57" t="n">
        <f aca="false">IF(AND(AA221=1,AB221=1),IF(COUNTIFS($J$17:J221,J221,$AA$17:AA221,1,$AB$17:AB221,1)=1,1,0),0)</f>
        <v>1</v>
      </c>
      <c r="AD221" s="57" t="n">
        <f aca="false">IF(AND(AA221=1,AB221=1),IF(COUNTIFS($K$17:K221,K221,$AA$17:AA221,1,$AB$17:AB221,1)=1,1,0),0)</f>
        <v>0</v>
      </c>
      <c r="AE221" s="57" t="n">
        <f aca="false">IF(AND(Z221=1,AB221=1),IF(COUNTIFS($J$17:J221,J221,$S$17:S221,S221,$Z$17:Z221,1,$AB$17:AB221,1)=1,1,0),0)</f>
        <v>1</v>
      </c>
      <c r="AF221" s="57" t="n">
        <f aca="false">IF(AND(Z221=1,AB221=1),IF(COUNTIFS($K$17:K221,K221,$S$17:S221,S221,$Z$17:Z221,1,$AB$17:AB221,1)=1,1,0),0)</f>
        <v>0</v>
      </c>
      <c r="AG221" s="57" t="n">
        <f aca="false">IF(AND(AA221=1,AB221=1),IF(COUNTIFS($J$17:J221,J221,$L$17:L221,L221,$AA$17:AA221,1,$AB$17:AB221,1)=1,1,0),0)</f>
        <v>1</v>
      </c>
      <c r="AH221" s="57" t="n">
        <f aca="false">IF(AND(AA221=1,AB221=1),IF(COUNTIFS($J$17:J221,J221,$K$17:K221,K221,$AA$17:AA221,1,$AB$17:AB221,1)=1,1,0),0)</f>
        <v>1</v>
      </c>
      <c r="AI221" s="56" t="n">
        <f aca="false">IF(V221=1,MAX(F221,0),0)</f>
        <v>1000000</v>
      </c>
      <c r="AJ221" s="56" t="n">
        <f aca="false">IF(V221=1,MIN(F221,0),0)</f>
        <v>0</v>
      </c>
    </row>
    <row r="222" customFormat="false" ht="40" hidden="false" customHeight="true" outlineLevel="0" collapsed="false">
      <c r="A222" s="66" t="n">
        <v>45901</v>
      </c>
      <c r="B222" s="54" t="str">
        <f aca="false">IF(M222="","",IF(P222="",M222,HYPERLINK(P222,M222)))</f>
        <v>49100422A0002-49100425F0017</v>
      </c>
      <c r="C222" s="54" t="str">
        <f aca="false">IF(N222="","",IF(Q222="",N222,HYPERLINK(Q222,N222)))</f>
        <v>Directviz Solutions, LLC</v>
      </c>
      <c r="D222" s="60" t="s">
        <v>123</v>
      </c>
      <c r="E222" s="54" t="str">
        <f aca="false">IF(O222="","",IF(R222="",O222,HYPERLINK(R222,O222)))</f>
        <v>Division of Information Systems</v>
      </c>
      <c r="F222" s="62" t="n">
        <v>5014396.8</v>
      </c>
      <c r="G222" s="61" t="s">
        <v>464</v>
      </c>
      <c r="H222" s="58"/>
      <c r="I222" s="58" t="s">
        <v>673</v>
      </c>
      <c r="J222" s="58" t="s">
        <v>323</v>
      </c>
      <c r="K222" s="58" t="s">
        <v>121</v>
      </c>
      <c r="L222" s="58" t="s">
        <v>197</v>
      </c>
      <c r="M222" s="58" t="s">
        <v>324</v>
      </c>
      <c r="N222" s="58" t="s">
        <v>122</v>
      </c>
      <c r="O222" s="58" t="s">
        <v>198</v>
      </c>
      <c r="P222" s="58" t="s">
        <v>325</v>
      </c>
      <c r="Q222" s="58" t="s">
        <v>124</v>
      </c>
      <c r="R222" s="58" t="s">
        <v>200</v>
      </c>
      <c r="S222" s="57" t="n">
        <f aca="false">IF(ISNUMBER(A222),YEAR(A222)+IF(MONTH(A222)&gt;=10,1,0),"")</f>
        <v>2025</v>
      </c>
      <c r="T222" s="57" t="n">
        <f aca="false">IF(ISNUMBER(A222),INT(MOD(MONTH(A222)-10,12)/3)+1,"")</f>
        <v>4</v>
      </c>
      <c r="U222" s="57" t="str">
        <f aca="false">IF(AND(I222&lt;&gt;"",D222&lt;&gt;"",OR(COUNTIFS(TransactionsData[Vendor ID],K222,TransactionsData[UEI],"&lt;&gt;"&amp;D222,TransactionsData[UEI],"?*")&gt;0,COUNTIFS(VendorGroups[Record ID],K222,VendorGroups[Source UEI],"&lt;&gt;"&amp;D222,VendorGroups[Source UEI],"?*")&gt;0)),"Conflicting vendor UEIs",IF(I222="",IF(COUNTA(A222,D222,F222:R222)&gt;0,"Missing transaction ID",""),IF(COUNTIFS(TransactionsData[Transaction ID],I222)&lt;&gt;1,"Duplicate transaction ID",IF(OR(NOT(ISNUMBER(A222)),A222&lt;1,A222&gt;DATE(2099,1,1)),"Use a valid date",IF(OR(A222&lt;$B$4,A222&gt;$D$4),"Outside coverage",IF(NOT(ISNUMBER(F222)),"Missing or invalid amount",IF(OR(K222="",L222="",N222=""),"Add vendor and office identities",IF(G222="Exclude",IF(OR(F222&lt;&gt;0,H222=""),"Review nonzero or unexplained exclusion",""),IF(G222&lt;&gt;"Include","Choose Include or Exclude",IF(COUNTIFS(AwardsData[Award ID],J222)&lt;&gt;1,"Award link needs review",IF(INDEX(AwardsData[Input check],MATCH(J222,AwardsData[Award ID],0))&lt;&gt;"","Check award inputs","")))))))))))</f>
        <v/>
      </c>
      <c r="V222" s="57" t="n">
        <f aca="false">IF(AND(I222&lt;&gt;"",U222="",G222="Include"),1,0)</f>
        <v>1</v>
      </c>
      <c r="W222" s="57" t="str">
        <f aca="false">IF(I222="","",IF(COUNTIFS(AwardsData[Award ID],J222)=1,INDEX(AwardsData[Current award type],MATCH(J222,AwardsData[Award ID],0)),"Unlinked"))</f>
        <v>BPA Call</v>
      </c>
      <c r="X222" s="57" t="str">
        <f aca="false">IF(I222="","",IF(COUNTIFS(AwardsData[Award ID],J222)=1,INDEX(AwardsData[Current set-aside],MATCH(J222,AwardsData[Award ID],0)),"Unlinked"))</f>
        <v>Total Small Business</v>
      </c>
      <c r="Y222" s="57" t="str">
        <f aca="false">IF(I222="","",IF(COUNTIFS(AwardsData[Award ID],J222)=1,INDEX(AwardsData[Performance state],MATCH(J222,AwardsData[Award ID],0)),"Unlinked"))</f>
        <v>Virginia</v>
      </c>
      <c r="Z222" s="57" t="n">
        <f aca="false">IF(AND(V222=1,OR(Dashboard!$AB$2="All",K222=Dashboard!$AB$2),OR(Dashboard!$AB$3="All",L222=Dashboard!$AB$3),OR(Dashboard!$N$10="All",W222=Dashboard!$N$10)),1,0)</f>
        <v>1</v>
      </c>
      <c r="AA222" s="57" t="n">
        <f aca="false">IF(AND(Z222=1,OR(Dashboard!$B$7="All",S222=Dashboard!$B$7)),1,0)</f>
        <v>1</v>
      </c>
      <c r="AB222" s="57" t="n">
        <f aca="false">IF(AND(V222=1,F222&lt;&gt;0),1,0)</f>
        <v>1</v>
      </c>
      <c r="AC222" s="57" t="n">
        <f aca="false">IF(AND(AA222=1,AB222=1),IF(COUNTIFS($J$17:J222,J222,$AA$17:AA222,1,$AB$17:AB222,1)=1,1,0),0)</f>
        <v>0</v>
      </c>
      <c r="AD222" s="57" t="n">
        <f aca="false">IF(AND(AA222=1,AB222=1),IF(COUNTIFS($K$17:K222,K222,$AA$17:AA222,1,$AB$17:AB222,1)=1,1,0),0)</f>
        <v>0</v>
      </c>
      <c r="AE222" s="57" t="n">
        <f aca="false">IF(AND(Z222=1,AB222=1),IF(COUNTIFS($J$17:J222,J222,$S$17:S222,S222,$Z$17:Z222,1,$AB$17:AB222,1)=1,1,0),0)</f>
        <v>0</v>
      </c>
      <c r="AF222" s="57" t="n">
        <f aca="false">IF(AND(Z222=1,AB222=1),IF(COUNTIFS($K$17:K222,K222,$S$17:S222,S222,$Z$17:Z222,1,$AB$17:AB222,1)=1,1,0),0)</f>
        <v>0</v>
      </c>
      <c r="AG222" s="57" t="n">
        <f aca="false">IF(AND(AA222=1,AB222=1),IF(COUNTIFS($J$17:J222,J222,$L$17:L222,L222,$AA$17:AA222,1,$AB$17:AB222,1)=1,1,0),0)</f>
        <v>0</v>
      </c>
      <c r="AH222" s="57" t="n">
        <f aca="false">IF(AND(AA222=1,AB222=1),IF(COUNTIFS($J$17:J222,J222,$K$17:K222,K222,$AA$17:AA222,1,$AB$17:AB222,1)=1,1,0),0)</f>
        <v>0</v>
      </c>
      <c r="AI222" s="56" t="n">
        <f aca="false">IF(V222=1,MAX(F222,0),0)</f>
        <v>5014396.8</v>
      </c>
      <c r="AJ222" s="56" t="n">
        <f aca="false">IF(V222=1,MIN(F222,0),0)</f>
        <v>0</v>
      </c>
    </row>
    <row r="223" customFormat="false" ht="40" hidden="false" customHeight="true" outlineLevel="0" collapsed="false">
      <c r="A223" s="66" t="n">
        <v>45902</v>
      </c>
      <c r="B223" s="54" t="str">
        <f aca="false">IF(M223="","",IF(P223="",M223,HYPERLINK(P223,M223)))</f>
        <v>49100422A0002-49100424F0245</v>
      </c>
      <c r="C223" s="54" t="str">
        <f aca="false">IF(N223="","",IF(Q223="",N223,HYPERLINK(Q223,N223)))</f>
        <v>Directviz Solutions, LLC</v>
      </c>
      <c r="D223" s="60" t="s">
        <v>123</v>
      </c>
      <c r="E223" s="54" t="str">
        <f aca="false">IF(O223="","",IF(R223="",O223,HYPERLINK(R223,O223)))</f>
        <v>Division of Information Systems</v>
      </c>
      <c r="F223" s="62" t="n">
        <v>2633483.64</v>
      </c>
      <c r="G223" s="61" t="s">
        <v>464</v>
      </c>
      <c r="H223" s="58"/>
      <c r="I223" s="58" t="s">
        <v>674</v>
      </c>
      <c r="J223" s="58" t="s">
        <v>317</v>
      </c>
      <c r="K223" s="58" t="s">
        <v>121</v>
      </c>
      <c r="L223" s="58" t="s">
        <v>197</v>
      </c>
      <c r="M223" s="58" t="s">
        <v>318</v>
      </c>
      <c r="N223" s="58" t="s">
        <v>122</v>
      </c>
      <c r="O223" s="58" t="s">
        <v>198</v>
      </c>
      <c r="P223" s="58" t="s">
        <v>319</v>
      </c>
      <c r="Q223" s="58" t="s">
        <v>124</v>
      </c>
      <c r="R223" s="58" t="s">
        <v>200</v>
      </c>
      <c r="S223" s="57" t="n">
        <f aca="false">IF(ISNUMBER(A223),YEAR(A223)+IF(MONTH(A223)&gt;=10,1,0),"")</f>
        <v>2025</v>
      </c>
      <c r="T223" s="57" t="n">
        <f aca="false">IF(ISNUMBER(A223),INT(MOD(MONTH(A223)-10,12)/3)+1,"")</f>
        <v>4</v>
      </c>
      <c r="U223" s="57" t="str">
        <f aca="false">IF(AND(I223&lt;&gt;"",D223&lt;&gt;"",OR(COUNTIFS(TransactionsData[Vendor ID],K223,TransactionsData[UEI],"&lt;&gt;"&amp;D223,TransactionsData[UEI],"?*")&gt;0,COUNTIFS(VendorGroups[Record ID],K223,VendorGroups[Source UEI],"&lt;&gt;"&amp;D223,VendorGroups[Source UEI],"?*")&gt;0)),"Conflicting vendor UEIs",IF(I223="",IF(COUNTA(A223,D223,F223:R223)&gt;0,"Missing transaction ID",""),IF(COUNTIFS(TransactionsData[Transaction ID],I223)&lt;&gt;1,"Duplicate transaction ID",IF(OR(NOT(ISNUMBER(A223)),A223&lt;1,A223&gt;DATE(2099,1,1)),"Use a valid date",IF(OR(A223&lt;$B$4,A223&gt;$D$4),"Outside coverage",IF(NOT(ISNUMBER(F223)),"Missing or invalid amount",IF(OR(K223="",L223="",N223=""),"Add vendor and office identities",IF(G223="Exclude",IF(OR(F223&lt;&gt;0,H223=""),"Review nonzero or unexplained exclusion",""),IF(G223&lt;&gt;"Include","Choose Include or Exclude",IF(COUNTIFS(AwardsData[Award ID],J223)&lt;&gt;1,"Award link needs review",IF(INDEX(AwardsData[Input check],MATCH(J223,AwardsData[Award ID],0))&lt;&gt;"","Check award inputs","")))))))))))</f>
        <v/>
      </c>
      <c r="V223" s="57" t="n">
        <f aca="false">IF(AND(I223&lt;&gt;"",U223="",G223="Include"),1,0)</f>
        <v>1</v>
      </c>
      <c r="W223" s="57" t="str">
        <f aca="false">IF(I223="","",IF(COUNTIFS(AwardsData[Award ID],J223)=1,INDEX(AwardsData[Current award type],MATCH(J223,AwardsData[Award ID],0)),"Unlinked"))</f>
        <v>BPA Call</v>
      </c>
      <c r="X223" s="57" t="str">
        <f aca="false">IF(I223="","",IF(COUNTIFS(AwardsData[Award ID],J223)=1,INDEX(AwardsData[Current set-aside],MATCH(J223,AwardsData[Award ID],0)),"Unlinked"))</f>
        <v>Total Small Business</v>
      </c>
      <c r="Y223" s="57" t="str">
        <f aca="false">IF(I223="","",IF(COUNTIFS(AwardsData[Award ID],J223)=1,INDEX(AwardsData[Performance state],MATCH(J223,AwardsData[Award ID],0)),"Unlinked"))</f>
        <v>Virginia</v>
      </c>
      <c r="Z223" s="57" t="n">
        <f aca="false">IF(AND(V223=1,OR(Dashboard!$AB$2="All",K223=Dashboard!$AB$2),OR(Dashboard!$AB$3="All",L223=Dashboard!$AB$3),OR(Dashboard!$N$10="All",W223=Dashboard!$N$10)),1,0)</f>
        <v>1</v>
      </c>
      <c r="AA223" s="57" t="n">
        <f aca="false">IF(AND(Z223=1,OR(Dashboard!$B$7="All",S223=Dashboard!$B$7)),1,0)</f>
        <v>1</v>
      </c>
      <c r="AB223" s="57" t="n">
        <f aca="false">IF(AND(V223=1,F223&lt;&gt;0),1,0)</f>
        <v>1</v>
      </c>
      <c r="AC223" s="57" t="n">
        <f aca="false">IF(AND(AA223=1,AB223=1),IF(COUNTIFS($J$17:J223,J223,$AA$17:AA223,1,$AB$17:AB223,1)=1,1,0),0)</f>
        <v>0</v>
      </c>
      <c r="AD223" s="57" t="n">
        <f aca="false">IF(AND(AA223=1,AB223=1),IF(COUNTIFS($K$17:K223,K223,$AA$17:AA223,1,$AB$17:AB223,1)=1,1,0),0)</f>
        <v>0</v>
      </c>
      <c r="AE223" s="57" t="n">
        <f aca="false">IF(AND(Z223=1,AB223=1),IF(COUNTIFS($J$17:J223,J223,$S$17:S223,S223,$Z$17:Z223,1,$AB$17:AB223,1)=1,1,0),0)</f>
        <v>0</v>
      </c>
      <c r="AF223" s="57" t="n">
        <f aca="false">IF(AND(Z223=1,AB223=1),IF(COUNTIFS($K$17:K223,K223,$S$17:S223,S223,$Z$17:Z223,1,$AB$17:AB223,1)=1,1,0),0)</f>
        <v>0</v>
      </c>
      <c r="AG223" s="57" t="n">
        <f aca="false">IF(AND(AA223=1,AB223=1),IF(COUNTIFS($J$17:J223,J223,$L$17:L223,L223,$AA$17:AA223,1,$AB$17:AB223,1)=1,1,0),0)</f>
        <v>0</v>
      </c>
      <c r="AH223" s="57" t="n">
        <f aca="false">IF(AND(AA223=1,AB223=1),IF(COUNTIFS($J$17:J223,J223,$K$17:K223,K223,$AA$17:AA223,1,$AB$17:AB223,1)=1,1,0),0)</f>
        <v>0</v>
      </c>
      <c r="AI223" s="56" t="n">
        <f aca="false">IF(V223=1,MAX(F223,0),0)</f>
        <v>2633483.64</v>
      </c>
      <c r="AJ223" s="56" t="n">
        <f aca="false">IF(V223=1,MIN(F223,0),0)</f>
        <v>0</v>
      </c>
    </row>
    <row r="224" customFormat="false" ht="40" hidden="false" customHeight="true" outlineLevel="0" collapsed="false">
      <c r="A224" s="66" t="n">
        <v>45903</v>
      </c>
      <c r="B224" s="54" t="str">
        <f aca="false">IF(M224="","",IF(P224="",M224,HYPERLINK(P224,M224)))</f>
        <v>49100424C0027</v>
      </c>
      <c r="C224" s="54" t="str">
        <f aca="false">IF(N224="","",IF(Q224="",N224,HYPERLINK(Q224,N224)))</f>
        <v>Montage + Magnum, LLC</v>
      </c>
      <c r="D224" s="60" t="s">
        <v>149</v>
      </c>
      <c r="E224" s="54" t="str">
        <f aca="false">IF(O224="","",IF(R224="",O224,HYPERLINK(R224,O224)))</f>
        <v>National Center for Science and Engineering Statistics</v>
      </c>
      <c r="F224" s="62" t="n">
        <v>840658.87</v>
      </c>
      <c r="G224" s="61" t="s">
        <v>464</v>
      </c>
      <c r="H224" s="58"/>
      <c r="I224" s="58" t="s">
        <v>675</v>
      </c>
      <c r="J224" s="58" t="s">
        <v>398</v>
      </c>
      <c r="K224" s="58" t="s">
        <v>149</v>
      </c>
      <c r="L224" s="58" t="s">
        <v>205</v>
      </c>
      <c r="M224" s="58" t="s">
        <v>398</v>
      </c>
      <c r="N224" s="58" t="s">
        <v>150</v>
      </c>
      <c r="O224" s="58" t="s">
        <v>206</v>
      </c>
      <c r="P224" s="58" t="s">
        <v>399</v>
      </c>
      <c r="Q224" s="58" t="s">
        <v>151</v>
      </c>
      <c r="R224" s="58" t="s">
        <v>208</v>
      </c>
      <c r="S224" s="57" t="n">
        <f aca="false">IF(ISNUMBER(A224),YEAR(A224)+IF(MONTH(A224)&gt;=10,1,0),"")</f>
        <v>2025</v>
      </c>
      <c r="T224" s="57" t="n">
        <f aca="false">IF(ISNUMBER(A224),INT(MOD(MONTH(A224)-10,12)/3)+1,"")</f>
        <v>4</v>
      </c>
      <c r="U224" s="57" t="str">
        <f aca="false">IF(AND(I224&lt;&gt;"",D224&lt;&gt;"",OR(COUNTIFS(TransactionsData[Vendor ID],K224,TransactionsData[UEI],"&lt;&gt;"&amp;D224,TransactionsData[UEI],"?*")&gt;0,COUNTIFS(VendorGroups[Record ID],K224,VendorGroups[Source UEI],"&lt;&gt;"&amp;D224,VendorGroups[Source UEI],"?*")&gt;0)),"Conflicting vendor UEIs",IF(I224="",IF(COUNTA(A224,D224,F224:R224)&gt;0,"Missing transaction ID",""),IF(COUNTIFS(TransactionsData[Transaction ID],I224)&lt;&gt;1,"Duplicate transaction ID",IF(OR(NOT(ISNUMBER(A224)),A224&lt;1,A224&gt;DATE(2099,1,1)),"Use a valid date",IF(OR(A224&lt;$B$4,A224&gt;$D$4),"Outside coverage",IF(NOT(ISNUMBER(F224)),"Missing or invalid amount",IF(OR(K224="",L224="",N224=""),"Add vendor and office identities",IF(G224="Exclude",IF(OR(F224&lt;&gt;0,H224=""),"Review nonzero or unexplained exclusion",""),IF(G224&lt;&gt;"Include","Choose Include or Exclude",IF(COUNTIFS(AwardsData[Award ID],J224)&lt;&gt;1,"Award link needs review",IF(INDEX(AwardsData[Input check],MATCH(J224,AwardsData[Award ID],0))&lt;&gt;"","Check award inputs","")))))))))))</f>
        <v/>
      </c>
      <c r="V224" s="57" t="n">
        <f aca="false">IF(AND(I224&lt;&gt;"",U224="",G224="Include"),1,0)</f>
        <v>1</v>
      </c>
      <c r="W224" s="57" t="str">
        <f aca="false">IF(I224="","",IF(COUNTIFS(AwardsData[Award ID],J224)=1,INDEX(AwardsData[Current award type],MATCH(J224,AwardsData[Award ID],0)),"Unlinked"))</f>
        <v>Definitive Contract</v>
      </c>
      <c r="X224" s="57" t="str">
        <f aca="false">IF(I224="","",IF(COUNTIFS(AwardsData[Award ID],J224)=1,INDEX(AwardsData[Current set-aside],MATCH(J224,AwardsData[Award ID],0)),"Unlinked"))</f>
        <v>No Set-Aside Used</v>
      </c>
      <c r="Y224" s="57" t="str">
        <f aca="false">IF(I224="","",IF(COUNTIFS(AwardsData[Award ID],J224)=1,INDEX(AwardsData[Performance state],MATCH(J224,AwardsData[Award ID],0)),"Unlinked"))</f>
        <v>Virginia</v>
      </c>
      <c r="Z224" s="57" t="n">
        <f aca="false">IF(AND(V224=1,OR(Dashboard!$AB$2="All",K224=Dashboard!$AB$2),OR(Dashboard!$AB$3="All",L224=Dashboard!$AB$3),OR(Dashboard!$N$10="All",W224=Dashboard!$N$10)),1,0)</f>
        <v>1</v>
      </c>
      <c r="AA224" s="57" t="n">
        <f aca="false">IF(AND(Z224=1,OR(Dashboard!$B$7="All",S224=Dashboard!$B$7)),1,0)</f>
        <v>1</v>
      </c>
      <c r="AB224" s="57" t="n">
        <f aca="false">IF(AND(V224=1,F224&lt;&gt;0),1,0)</f>
        <v>1</v>
      </c>
      <c r="AC224" s="57" t="n">
        <f aca="false">IF(AND(AA224=1,AB224=1),IF(COUNTIFS($J$17:J224,J224,$AA$17:AA224,1,$AB$17:AB224,1)=1,1,0),0)</f>
        <v>1</v>
      </c>
      <c r="AD224" s="57" t="n">
        <f aca="false">IF(AND(AA224=1,AB224=1),IF(COUNTIFS($K$17:K224,K224,$AA$17:AA224,1,$AB$17:AB224,1)=1,1,0),0)</f>
        <v>1</v>
      </c>
      <c r="AE224" s="57" t="n">
        <f aca="false">IF(AND(Z224=1,AB224=1),IF(COUNTIFS($J$17:J224,J224,$S$17:S224,S224,$Z$17:Z224,1,$AB$17:AB224,1)=1,1,0),0)</f>
        <v>1</v>
      </c>
      <c r="AF224" s="57" t="n">
        <f aca="false">IF(AND(Z224=1,AB224=1),IF(COUNTIFS($K$17:K224,K224,$S$17:S224,S224,$Z$17:Z224,1,$AB$17:AB224,1)=1,1,0),0)</f>
        <v>1</v>
      </c>
      <c r="AG224" s="57" t="n">
        <f aca="false">IF(AND(AA224=1,AB224=1),IF(COUNTIFS($J$17:J224,J224,$L$17:L224,L224,$AA$17:AA224,1,$AB$17:AB224,1)=1,1,0),0)</f>
        <v>1</v>
      </c>
      <c r="AH224" s="57" t="n">
        <f aca="false">IF(AND(AA224=1,AB224=1),IF(COUNTIFS($J$17:J224,J224,$K$17:K224,K224,$AA$17:AA224,1,$AB$17:AB224,1)=1,1,0),0)</f>
        <v>1</v>
      </c>
      <c r="AI224" s="56" t="n">
        <f aca="false">IF(V224=1,MAX(F224,0),0)</f>
        <v>840658.87</v>
      </c>
      <c r="AJ224" s="56" t="n">
        <f aca="false">IF(V224=1,MIN(F224,0),0)</f>
        <v>0</v>
      </c>
    </row>
    <row r="225" customFormat="false" ht="40" hidden="false" customHeight="true" outlineLevel="0" collapsed="false">
      <c r="A225" s="66" t="n">
        <v>45904</v>
      </c>
      <c r="B225" s="54" t="str">
        <f aca="false">IF(M225="","",IF(P225="",M225,HYPERLINK(P225,M225)))</f>
        <v>47QTCK18D0004-49100424F0001</v>
      </c>
      <c r="C225" s="54" t="str">
        <f aca="false">IF(N225="","",IF(Q225="",N225,HYPERLINK(Q225,N225)))</f>
        <v>Booz Allen Hamilton Inc.</v>
      </c>
      <c r="D225" s="60" t="s">
        <v>111</v>
      </c>
      <c r="E225" s="54" t="str">
        <f aca="false">IF(O225="","",IF(R225="",O225,HYPERLINK(R225,O225)))</f>
        <v>NSF — office not specified</v>
      </c>
      <c r="F225" s="62" t="n">
        <v>3000000</v>
      </c>
      <c r="G225" s="61" t="s">
        <v>464</v>
      </c>
      <c r="H225" s="58"/>
      <c r="I225" s="58" t="s">
        <v>676</v>
      </c>
      <c r="J225" s="58" t="s">
        <v>297</v>
      </c>
      <c r="K225" s="58" t="s">
        <v>109</v>
      </c>
      <c r="L225" s="58" t="s">
        <v>213</v>
      </c>
      <c r="M225" s="58" t="s">
        <v>298</v>
      </c>
      <c r="N225" s="58" t="s">
        <v>110</v>
      </c>
      <c r="O225" s="58" t="s">
        <v>214</v>
      </c>
      <c r="P225" s="58" t="s">
        <v>299</v>
      </c>
      <c r="Q225" s="58" t="s">
        <v>112</v>
      </c>
      <c r="R225" s="58" t="s">
        <v>215</v>
      </c>
      <c r="S225" s="57" t="n">
        <f aca="false">IF(ISNUMBER(A225),YEAR(A225)+IF(MONTH(A225)&gt;=10,1,0),"")</f>
        <v>2025</v>
      </c>
      <c r="T225" s="57" t="n">
        <f aca="false">IF(ISNUMBER(A225),INT(MOD(MONTH(A225)-10,12)/3)+1,"")</f>
        <v>4</v>
      </c>
      <c r="U225" s="57" t="str">
        <f aca="false">IF(AND(I225&lt;&gt;"",D225&lt;&gt;"",OR(COUNTIFS(TransactionsData[Vendor ID],K225,TransactionsData[UEI],"&lt;&gt;"&amp;D225,TransactionsData[UEI],"?*")&gt;0,COUNTIFS(VendorGroups[Record ID],K225,VendorGroups[Source UEI],"&lt;&gt;"&amp;D225,VendorGroups[Source UEI],"?*")&gt;0)),"Conflicting vendor UEIs",IF(I225="",IF(COUNTA(A225,D225,F225:R225)&gt;0,"Missing transaction ID",""),IF(COUNTIFS(TransactionsData[Transaction ID],I225)&lt;&gt;1,"Duplicate transaction ID",IF(OR(NOT(ISNUMBER(A225)),A225&lt;1,A225&gt;DATE(2099,1,1)),"Use a valid date",IF(OR(A225&lt;$B$4,A225&gt;$D$4),"Outside coverage",IF(NOT(ISNUMBER(F225)),"Missing or invalid amount",IF(OR(K225="",L225="",N225=""),"Add vendor and office identities",IF(G225="Exclude",IF(OR(F225&lt;&gt;0,H225=""),"Review nonzero or unexplained exclusion",""),IF(G225&lt;&gt;"Include","Choose Include or Exclude",IF(COUNTIFS(AwardsData[Award ID],J225)&lt;&gt;1,"Award link needs review",IF(INDEX(AwardsData[Input check],MATCH(J225,AwardsData[Award ID],0))&lt;&gt;"","Check award inputs","")))))))))))</f>
        <v/>
      </c>
      <c r="V225" s="57" t="n">
        <f aca="false">IF(AND(I225&lt;&gt;"",U225="",G225="Include"),1,0)</f>
        <v>1</v>
      </c>
      <c r="W225" s="57" t="str">
        <f aca="false">IF(I225="","",IF(COUNTIFS(AwardsData[Award ID],J225)=1,INDEX(AwardsData[Current award type],MATCH(J225,AwardsData[Award ID],0)),"Unlinked"))</f>
        <v>Delivery Order</v>
      </c>
      <c r="X225" s="57" t="str">
        <f aca="false">IF(I225="","",IF(COUNTIFS(AwardsData[Award ID],J225)=1,INDEX(AwardsData[Current set-aside],MATCH(J225,AwardsData[Award ID],0)),"Unlinked"))</f>
        <v>No Set-Aside Used</v>
      </c>
      <c r="Y225" s="57" t="str">
        <f aca="false">IF(I225="","",IF(COUNTIFS(AwardsData[Award ID],J225)=1,INDEX(AwardsData[Performance state],MATCH(J225,AwardsData[Award ID],0)),"Unlinked"))</f>
        <v>Virginia</v>
      </c>
      <c r="Z225" s="57" t="n">
        <f aca="false">IF(AND(V225=1,OR(Dashboard!$AB$2="All",K225=Dashboard!$AB$2),OR(Dashboard!$AB$3="All",L225=Dashboard!$AB$3),OR(Dashboard!$N$10="All",W225=Dashboard!$N$10)),1,0)</f>
        <v>1</v>
      </c>
      <c r="AA225" s="57" t="n">
        <f aca="false">IF(AND(Z225=1,OR(Dashboard!$B$7="All",S225=Dashboard!$B$7)),1,0)</f>
        <v>1</v>
      </c>
      <c r="AB225" s="57" t="n">
        <f aca="false">IF(AND(V225=1,F225&lt;&gt;0),1,0)</f>
        <v>1</v>
      </c>
      <c r="AC225" s="57" t="n">
        <f aca="false">IF(AND(AA225=1,AB225=1),IF(COUNTIFS($J$17:J225,J225,$AA$17:AA225,1,$AB$17:AB225,1)=1,1,0),0)</f>
        <v>0</v>
      </c>
      <c r="AD225" s="57" t="n">
        <f aca="false">IF(AND(AA225=1,AB225=1),IF(COUNTIFS($K$17:K225,K225,$AA$17:AA225,1,$AB$17:AB225,1)=1,1,0),0)</f>
        <v>0</v>
      </c>
      <c r="AE225" s="57" t="n">
        <f aca="false">IF(AND(Z225=1,AB225=1),IF(COUNTIFS($J$17:J225,J225,$S$17:S225,S225,$Z$17:Z225,1,$AB$17:AB225,1)=1,1,0),0)</f>
        <v>0</v>
      </c>
      <c r="AF225" s="57" t="n">
        <f aca="false">IF(AND(Z225=1,AB225=1),IF(COUNTIFS($K$17:K225,K225,$S$17:S225,S225,$Z$17:Z225,1,$AB$17:AB225,1)=1,1,0),0)</f>
        <v>0</v>
      </c>
      <c r="AG225" s="57" t="n">
        <f aca="false">IF(AND(AA225=1,AB225=1),IF(COUNTIFS($J$17:J225,J225,$L$17:L225,L225,$AA$17:AA225,1,$AB$17:AB225,1)=1,1,0),0)</f>
        <v>0</v>
      </c>
      <c r="AH225" s="57" t="n">
        <f aca="false">IF(AND(AA225=1,AB225=1),IF(COUNTIFS($J$17:J225,J225,$K$17:K225,K225,$AA$17:AA225,1,$AB$17:AB225,1)=1,1,0),0)</f>
        <v>0</v>
      </c>
      <c r="AI225" s="56" t="n">
        <f aca="false">IF(V225=1,MAX(F225,0),0)</f>
        <v>3000000</v>
      </c>
      <c r="AJ225" s="56" t="n">
        <f aca="false">IF(V225=1,MIN(F225,0),0)</f>
        <v>0</v>
      </c>
    </row>
    <row r="226" customFormat="false" ht="40" hidden="false" customHeight="true" outlineLevel="0" collapsed="false">
      <c r="A226" s="66" t="n">
        <v>45909</v>
      </c>
      <c r="B226" s="54" t="str">
        <f aca="false">IF(M226="","",IF(P226="",M226,HYPERLINK(P226,M226)))</f>
        <v>NNG15SC90B-49100424F0064</v>
      </c>
      <c r="C226" s="54" t="str">
        <f aca="false">IF(N226="","",IF(Q226="",N226,HYPERLINK(Q226,N226)))</f>
        <v>Strategic Communications LLC</v>
      </c>
      <c r="D226" s="60" t="s">
        <v>170</v>
      </c>
      <c r="E226" s="54" t="str">
        <f aca="false">IF(O226="","",IF(R226="",O226,HYPERLINK(R226,O226)))</f>
        <v>NSF — office not specified</v>
      </c>
      <c r="F226" s="62" t="n">
        <v>1427000</v>
      </c>
      <c r="G226" s="61" t="s">
        <v>464</v>
      </c>
      <c r="H226" s="58"/>
      <c r="I226" s="58" t="s">
        <v>677</v>
      </c>
      <c r="J226" s="58" t="s">
        <v>418</v>
      </c>
      <c r="K226" s="58" t="s">
        <v>168</v>
      </c>
      <c r="L226" s="58" t="s">
        <v>213</v>
      </c>
      <c r="M226" s="58" t="s">
        <v>419</v>
      </c>
      <c r="N226" s="58" t="s">
        <v>169</v>
      </c>
      <c r="O226" s="58" t="s">
        <v>214</v>
      </c>
      <c r="P226" s="58" t="s">
        <v>420</v>
      </c>
      <c r="Q226" s="58" t="s">
        <v>171</v>
      </c>
      <c r="R226" s="58" t="s">
        <v>215</v>
      </c>
      <c r="S226" s="57" t="n">
        <f aca="false">IF(ISNUMBER(A226),YEAR(A226)+IF(MONTH(A226)&gt;=10,1,0),"")</f>
        <v>2025</v>
      </c>
      <c r="T226" s="57" t="n">
        <f aca="false">IF(ISNUMBER(A226),INT(MOD(MONTH(A226)-10,12)/3)+1,"")</f>
        <v>4</v>
      </c>
      <c r="U226" s="57" t="str">
        <f aca="false">IF(AND(I226&lt;&gt;"",D226&lt;&gt;"",OR(COUNTIFS(TransactionsData[Vendor ID],K226,TransactionsData[UEI],"&lt;&gt;"&amp;D226,TransactionsData[UEI],"?*")&gt;0,COUNTIFS(VendorGroups[Record ID],K226,VendorGroups[Source UEI],"&lt;&gt;"&amp;D226,VendorGroups[Source UEI],"?*")&gt;0)),"Conflicting vendor UEIs",IF(I226="",IF(COUNTA(A226,D226,F226:R226)&gt;0,"Missing transaction ID",""),IF(COUNTIFS(TransactionsData[Transaction ID],I226)&lt;&gt;1,"Duplicate transaction ID",IF(OR(NOT(ISNUMBER(A226)),A226&lt;1,A226&gt;DATE(2099,1,1)),"Use a valid date",IF(OR(A226&lt;$B$4,A226&gt;$D$4),"Outside coverage",IF(NOT(ISNUMBER(F226)),"Missing or invalid amount",IF(OR(K226="",L226="",N226=""),"Add vendor and office identities",IF(G226="Exclude",IF(OR(F226&lt;&gt;0,H226=""),"Review nonzero or unexplained exclusion",""),IF(G226&lt;&gt;"Include","Choose Include or Exclude",IF(COUNTIFS(AwardsData[Award ID],J226)&lt;&gt;1,"Award link needs review",IF(INDEX(AwardsData[Input check],MATCH(J226,AwardsData[Award ID],0))&lt;&gt;"","Check award inputs","")))))))))))</f>
        <v/>
      </c>
      <c r="V226" s="57" t="n">
        <f aca="false">IF(AND(I226&lt;&gt;"",U226="",G226="Include"),1,0)</f>
        <v>1</v>
      </c>
      <c r="W226" s="57" t="str">
        <f aca="false">IF(I226="","",IF(COUNTIFS(AwardsData[Award ID],J226)=1,INDEX(AwardsData[Current award type],MATCH(J226,AwardsData[Award ID],0)),"Unlinked"))</f>
        <v>Delivery Order</v>
      </c>
      <c r="X226" s="57" t="str">
        <f aca="false">IF(I226="","",IF(COUNTIFS(AwardsData[Award ID],J226)=1,INDEX(AwardsData[Current set-aside],MATCH(J226,AwardsData[Award ID],0)),"Unlinked"))</f>
        <v>Total Small Business</v>
      </c>
      <c r="Y226" s="57" t="str">
        <f aca="false">IF(I226="","",IF(COUNTIFS(AwardsData[Award ID],J226)=1,INDEX(AwardsData[Performance state],MATCH(J226,AwardsData[Award ID],0)),"Unlinked"))</f>
        <v>Virginia</v>
      </c>
      <c r="Z226" s="57" t="n">
        <f aca="false">IF(AND(V226=1,OR(Dashboard!$AB$2="All",K226=Dashboard!$AB$2),OR(Dashboard!$AB$3="All",L226=Dashboard!$AB$3),OR(Dashboard!$N$10="All",W226=Dashboard!$N$10)),1,0)</f>
        <v>1</v>
      </c>
      <c r="AA226" s="57" t="n">
        <f aca="false">IF(AND(Z226=1,OR(Dashboard!$B$7="All",S226=Dashboard!$B$7)),1,0)</f>
        <v>1</v>
      </c>
      <c r="AB226" s="57" t="n">
        <f aca="false">IF(AND(V226=1,F226&lt;&gt;0),1,0)</f>
        <v>1</v>
      </c>
      <c r="AC226" s="57" t="n">
        <f aca="false">IF(AND(AA226=1,AB226=1),IF(COUNTIFS($J$17:J226,J226,$AA$17:AA226,1,$AB$17:AB226,1)=1,1,0),0)</f>
        <v>0</v>
      </c>
      <c r="AD226" s="57" t="n">
        <f aca="false">IF(AND(AA226=1,AB226=1),IF(COUNTIFS($K$17:K226,K226,$AA$17:AA226,1,$AB$17:AB226,1)=1,1,0),0)</f>
        <v>0</v>
      </c>
      <c r="AE226" s="57" t="n">
        <f aca="false">IF(AND(Z226=1,AB226=1),IF(COUNTIFS($J$17:J226,J226,$S$17:S226,S226,$Z$17:Z226,1,$AB$17:AB226,1)=1,1,0),0)</f>
        <v>0</v>
      </c>
      <c r="AF226" s="57" t="n">
        <f aca="false">IF(AND(Z226=1,AB226=1),IF(COUNTIFS($K$17:K226,K226,$S$17:S226,S226,$Z$17:Z226,1,$AB$17:AB226,1)=1,1,0),0)</f>
        <v>0</v>
      </c>
      <c r="AG226" s="57" t="n">
        <f aca="false">IF(AND(AA226=1,AB226=1),IF(COUNTIFS($J$17:J226,J226,$L$17:L226,L226,$AA$17:AA226,1,$AB$17:AB226,1)=1,1,0),0)</f>
        <v>0</v>
      </c>
      <c r="AH226" s="57" t="n">
        <f aca="false">IF(AND(AA226=1,AB226=1),IF(COUNTIFS($J$17:J226,J226,$K$17:K226,K226,$AA$17:AA226,1,$AB$17:AB226,1)=1,1,0),0)</f>
        <v>0</v>
      </c>
      <c r="AI226" s="56" t="n">
        <f aca="false">IF(V226=1,MAX(F226,0),0)</f>
        <v>1427000</v>
      </c>
      <c r="AJ226" s="56" t="n">
        <f aca="false">IF(V226=1,MIN(F226,0),0)</f>
        <v>0</v>
      </c>
    </row>
    <row r="227" customFormat="false" ht="40" hidden="false" customHeight="true" outlineLevel="0" collapsed="false">
      <c r="A227" s="66" t="n">
        <v>45910</v>
      </c>
      <c r="B227" s="54" t="str">
        <f aca="false">IF(M227="","",IF(P227="",M227,HYPERLINK(P227,M227)))</f>
        <v>47QTCA19D00GN-49100421F0206</v>
      </c>
      <c r="C227" s="54" t="str">
        <f aca="false">IF(N227="","",IF(Q227="",N227,HYPERLINK(Q227,N227)))</f>
        <v>Lynker Corporation</v>
      </c>
      <c r="D227" s="60" t="s">
        <v>147</v>
      </c>
      <c r="E227" s="54" t="str">
        <f aca="false">IF(O227="","",IF(R227="",O227,HYPERLINK(R227,O227)))</f>
        <v>Division of Social and Economic Science</v>
      </c>
      <c r="F227" s="62" t="n">
        <v>404467</v>
      </c>
      <c r="G227" s="61" t="s">
        <v>464</v>
      </c>
      <c r="H227" s="58"/>
      <c r="I227" s="58" t="s">
        <v>678</v>
      </c>
      <c r="J227" s="58" t="s">
        <v>260</v>
      </c>
      <c r="K227" s="58" t="s">
        <v>145</v>
      </c>
      <c r="L227" s="58" t="s">
        <v>201</v>
      </c>
      <c r="M227" s="58" t="s">
        <v>261</v>
      </c>
      <c r="N227" s="58" t="s">
        <v>146</v>
      </c>
      <c r="O227" s="58" t="s">
        <v>202</v>
      </c>
      <c r="P227" s="58" t="s">
        <v>262</v>
      </c>
      <c r="Q227" s="58" t="s">
        <v>148</v>
      </c>
      <c r="R227" s="58" t="s">
        <v>204</v>
      </c>
      <c r="S227" s="57" t="n">
        <f aca="false">IF(ISNUMBER(A227),YEAR(A227)+IF(MONTH(A227)&gt;=10,1,0),"")</f>
        <v>2025</v>
      </c>
      <c r="T227" s="57" t="n">
        <f aca="false">IF(ISNUMBER(A227),INT(MOD(MONTH(A227)-10,12)/3)+1,"")</f>
        <v>4</v>
      </c>
      <c r="U227" s="57" t="str">
        <f aca="false">IF(AND(I227&lt;&gt;"",D227&lt;&gt;"",OR(COUNTIFS(TransactionsData[Vendor ID],K227,TransactionsData[UEI],"&lt;&gt;"&amp;D227,TransactionsData[UEI],"?*")&gt;0,COUNTIFS(VendorGroups[Record ID],K227,VendorGroups[Source UEI],"&lt;&gt;"&amp;D227,VendorGroups[Source UEI],"?*")&gt;0)),"Conflicting vendor UEIs",IF(I227="",IF(COUNTA(A227,D227,F227:R227)&gt;0,"Missing transaction ID",""),IF(COUNTIFS(TransactionsData[Transaction ID],I227)&lt;&gt;1,"Duplicate transaction ID",IF(OR(NOT(ISNUMBER(A227)),A227&lt;1,A227&gt;DATE(2099,1,1)),"Use a valid date",IF(OR(A227&lt;$B$4,A227&gt;$D$4),"Outside coverage",IF(NOT(ISNUMBER(F227)),"Missing or invalid amount",IF(OR(K227="",L227="",N227=""),"Add vendor and office identities",IF(G227="Exclude",IF(OR(F227&lt;&gt;0,H227=""),"Review nonzero or unexplained exclusion",""),IF(G227&lt;&gt;"Include","Choose Include or Exclude",IF(COUNTIFS(AwardsData[Award ID],J227)&lt;&gt;1,"Award link needs review",IF(INDEX(AwardsData[Input check],MATCH(J227,AwardsData[Award ID],0))&lt;&gt;"","Check award inputs","")))))))))))</f>
        <v/>
      </c>
      <c r="V227" s="57" t="n">
        <f aca="false">IF(AND(I227&lt;&gt;"",U227="",G227="Include"),1,0)</f>
        <v>1</v>
      </c>
      <c r="W227" s="57" t="str">
        <f aca="false">IF(I227="","",IF(COUNTIFS(AwardsData[Award ID],J227)=1,INDEX(AwardsData[Current award type],MATCH(J227,AwardsData[Award ID],0)),"Unlinked"))</f>
        <v>Delivery Order</v>
      </c>
      <c r="X227" s="57" t="str">
        <f aca="false">IF(I227="","",IF(COUNTIFS(AwardsData[Award ID],J227)=1,INDEX(AwardsData[Current set-aside],MATCH(J227,AwardsData[Award ID],0)),"Unlinked"))</f>
        <v>No Set-Aside Used</v>
      </c>
      <c r="Y227" s="57" t="str">
        <f aca="false">IF(I227="","",IF(COUNTIFS(AwardsData[Award ID],J227)=1,INDEX(AwardsData[Performance state],MATCH(J227,AwardsData[Award ID],0)),"Unlinked"))</f>
        <v>Virginia</v>
      </c>
      <c r="Z227" s="57" t="n">
        <f aca="false">IF(AND(V227=1,OR(Dashboard!$AB$2="All",K227=Dashboard!$AB$2),OR(Dashboard!$AB$3="All",L227=Dashboard!$AB$3),OR(Dashboard!$N$10="All",W227=Dashboard!$N$10)),1,0)</f>
        <v>1</v>
      </c>
      <c r="AA227" s="57" t="n">
        <f aca="false">IF(AND(Z227=1,OR(Dashboard!$B$7="All",S227=Dashboard!$B$7)),1,0)</f>
        <v>1</v>
      </c>
      <c r="AB227" s="57" t="n">
        <f aca="false">IF(AND(V227=1,F227&lt;&gt;0),1,0)</f>
        <v>1</v>
      </c>
      <c r="AC227" s="57" t="n">
        <f aca="false">IF(AND(AA227=1,AB227=1),IF(COUNTIFS($J$17:J227,J227,$AA$17:AA227,1,$AB$17:AB227,1)=1,1,0),0)</f>
        <v>0</v>
      </c>
      <c r="AD227" s="57" t="n">
        <f aca="false">IF(AND(AA227=1,AB227=1),IF(COUNTIFS($K$17:K227,K227,$AA$17:AA227,1,$AB$17:AB227,1)=1,1,0),0)</f>
        <v>0</v>
      </c>
      <c r="AE227" s="57" t="n">
        <f aca="false">IF(AND(Z227=1,AB227=1),IF(COUNTIFS($J$17:J227,J227,$S$17:S227,S227,$Z$17:Z227,1,$AB$17:AB227,1)=1,1,0),0)</f>
        <v>0</v>
      </c>
      <c r="AF227" s="57" t="n">
        <f aca="false">IF(AND(Z227=1,AB227=1),IF(COUNTIFS($K$17:K227,K227,$S$17:S227,S227,$Z$17:Z227,1,$AB$17:AB227,1)=1,1,0),0)</f>
        <v>0</v>
      </c>
      <c r="AG227" s="57" t="n">
        <f aca="false">IF(AND(AA227=1,AB227=1),IF(COUNTIFS($J$17:J227,J227,$L$17:L227,L227,$AA$17:AA227,1,$AB$17:AB227,1)=1,1,0),0)</f>
        <v>0</v>
      </c>
      <c r="AH227" s="57" t="n">
        <f aca="false">IF(AND(AA227=1,AB227=1),IF(COUNTIFS($J$17:J227,J227,$K$17:K227,K227,$AA$17:AA227,1,$AB$17:AB227,1)=1,1,0),0)</f>
        <v>0</v>
      </c>
      <c r="AI227" s="56" t="n">
        <f aca="false">IF(V227=1,MAX(F227,0),0)</f>
        <v>404467</v>
      </c>
      <c r="AJ227" s="56" t="n">
        <f aca="false">IF(V227=1,MIN(F227,0),0)</f>
        <v>0</v>
      </c>
    </row>
    <row r="228" customFormat="false" ht="40" hidden="false" customHeight="true" outlineLevel="0" collapsed="false">
      <c r="A228" s="66" t="n">
        <v>45915</v>
      </c>
      <c r="B228" s="54" t="str">
        <f aca="false">IF(M228="","",IF(P228="",M228,HYPERLINK(P228,M228)))</f>
        <v>49100423C0050</v>
      </c>
      <c r="C228" s="54" t="str">
        <f aca="false">IF(N228="","",IF(Q228="",N228,HYPERLINK(Q228,N228)))</f>
        <v>Scope It Consulting, LLC</v>
      </c>
      <c r="D228" s="60" t="s">
        <v>162</v>
      </c>
      <c r="E228" s="54" t="str">
        <f aca="false">IF(O228="","",IF(R228="",O228,HYPERLINK(R228,O228)))</f>
        <v>Office of the Inspector General</v>
      </c>
      <c r="F228" s="62" t="n">
        <v>489791.72</v>
      </c>
      <c r="G228" s="61" t="s">
        <v>464</v>
      </c>
      <c r="H228" s="58"/>
      <c r="I228" s="58" t="s">
        <v>679</v>
      </c>
      <c r="J228" s="58" t="s">
        <v>356</v>
      </c>
      <c r="K228" s="58" t="s">
        <v>160</v>
      </c>
      <c r="L228" s="58" t="s">
        <v>224</v>
      </c>
      <c r="M228" s="58" t="s">
        <v>356</v>
      </c>
      <c r="N228" s="58" t="s">
        <v>161</v>
      </c>
      <c r="O228" s="58" t="s">
        <v>225</v>
      </c>
      <c r="P228" s="58" t="s">
        <v>357</v>
      </c>
      <c r="Q228" s="58" t="s">
        <v>163</v>
      </c>
      <c r="R228" s="58" t="s">
        <v>227</v>
      </c>
      <c r="S228" s="57" t="n">
        <f aca="false">IF(ISNUMBER(A228),YEAR(A228)+IF(MONTH(A228)&gt;=10,1,0),"")</f>
        <v>2025</v>
      </c>
      <c r="T228" s="57" t="n">
        <f aca="false">IF(ISNUMBER(A228),INT(MOD(MONTH(A228)-10,12)/3)+1,"")</f>
        <v>4</v>
      </c>
      <c r="U228" s="57" t="str">
        <f aca="false">IF(AND(I228&lt;&gt;"",D228&lt;&gt;"",OR(COUNTIFS(TransactionsData[Vendor ID],K228,TransactionsData[UEI],"&lt;&gt;"&amp;D228,TransactionsData[UEI],"?*")&gt;0,COUNTIFS(VendorGroups[Record ID],K228,VendorGroups[Source UEI],"&lt;&gt;"&amp;D228,VendorGroups[Source UEI],"?*")&gt;0)),"Conflicting vendor UEIs",IF(I228="",IF(COUNTA(A228,D228,F228:R228)&gt;0,"Missing transaction ID",""),IF(COUNTIFS(TransactionsData[Transaction ID],I228)&lt;&gt;1,"Duplicate transaction ID",IF(OR(NOT(ISNUMBER(A228)),A228&lt;1,A228&gt;DATE(2099,1,1)),"Use a valid date",IF(OR(A228&lt;$B$4,A228&gt;$D$4),"Outside coverage",IF(NOT(ISNUMBER(F228)),"Missing or invalid amount",IF(OR(K228="",L228="",N228=""),"Add vendor and office identities",IF(G228="Exclude",IF(OR(F228&lt;&gt;0,H228=""),"Review nonzero or unexplained exclusion",""),IF(G228&lt;&gt;"Include","Choose Include or Exclude",IF(COUNTIFS(AwardsData[Award ID],J228)&lt;&gt;1,"Award link needs review",IF(INDEX(AwardsData[Input check],MATCH(J228,AwardsData[Award ID],0))&lt;&gt;"","Check award inputs","")))))))))))</f>
        <v/>
      </c>
      <c r="V228" s="57" t="n">
        <f aca="false">IF(AND(I228&lt;&gt;"",U228="",G228="Include"),1,0)</f>
        <v>1</v>
      </c>
      <c r="W228" s="57" t="str">
        <f aca="false">IF(I228="","",IF(COUNTIFS(AwardsData[Award ID],J228)=1,INDEX(AwardsData[Current award type],MATCH(J228,AwardsData[Award ID],0)),"Unlinked"))</f>
        <v>Definitive Contract</v>
      </c>
      <c r="X228" s="57" t="str">
        <f aca="false">IF(I228="","",IF(COUNTIFS(AwardsData[Award ID],J228)=1,INDEX(AwardsData[Current set-aside],MATCH(J228,AwardsData[Award ID],0)),"Unlinked"))</f>
        <v>8(a) Sole Source</v>
      </c>
      <c r="Y228" s="57" t="str">
        <f aca="false">IF(I228="","",IF(COUNTIFS(AwardsData[Award ID],J228)=1,INDEX(AwardsData[Performance state],MATCH(J228,AwardsData[Award ID],0)),"Unlinked"))</f>
        <v>Georgia</v>
      </c>
      <c r="Z228" s="57" t="n">
        <f aca="false">IF(AND(V228=1,OR(Dashboard!$AB$2="All",K228=Dashboard!$AB$2),OR(Dashboard!$AB$3="All",L228=Dashboard!$AB$3),OR(Dashboard!$N$10="All",W228=Dashboard!$N$10)),1,0)</f>
        <v>1</v>
      </c>
      <c r="AA228" s="57" t="n">
        <f aca="false">IF(AND(Z228=1,OR(Dashboard!$B$7="All",S228=Dashboard!$B$7)),1,0)</f>
        <v>1</v>
      </c>
      <c r="AB228" s="57" t="n">
        <f aca="false">IF(AND(V228=1,F228&lt;&gt;0),1,0)</f>
        <v>1</v>
      </c>
      <c r="AC228" s="57" t="n">
        <f aca="false">IF(AND(AA228=1,AB228=1),IF(COUNTIFS($J$17:J228,J228,$AA$17:AA228,1,$AB$17:AB228,1)=1,1,0),0)</f>
        <v>1</v>
      </c>
      <c r="AD228" s="57" t="n">
        <f aca="false">IF(AND(AA228=1,AB228=1),IF(COUNTIFS($K$17:K228,K228,$AA$17:AA228,1,$AB$17:AB228,1)=1,1,0),0)</f>
        <v>1</v>
      </c>
      <c r="AE228" s="57" t="n">
        <f aca="false">IF(AND(Z228=1,AB228=1),IF(COUNTIFS($J$17:J228,J228,$S$17:S228,S228,$Z$17:Z228,1,$AB$17:AB228,1)=1,1,0),0)</f>
        <v>1</v>
      </c>
      <c r="AF228" s="57" t="n">
        <f aca="false">IF(AND(Z228=1,AB228=1),IF(COUNTIFS($K$17:K228,K228,$S$17:S228,S228,$Z$17:Z228,1,$AB$17:AB228,1)=1,1,0),0)</f>
        <v>1</v>
      </c>
      <c r="AG228" s="57" t="n">
        <f aca="false">IF(AND(AA228=1,AB228=1),IF(COUNTIFS($J$17:J228,J228,$L$17:L228,L228,$AA$17:AA228,1,$AB$17:AB228,1)=1,1,0),0)</f>
        <v>1</v>
      </c>
      <c r="AH228" s="57" t="n">
        <f aca="false">IF(AND(AA228=1,AB228=1),IF(COUNTIFS($J$17:J228,J228,$K$17:K228,K228,$AA$17:AA228,1,$AB$17:AB228,1)=1,1,0),0)</f>
        <v>1</v>
      </c>
      <c r="AI228" s="56" t="n">
        <f aca="false">IF(V228=1,MAX(F228,0),0)</f>
        <v>489791.72</v>
      </c>
      <c r="AJ228" s="56" t="n">
        <f aca="false">IF(V228=1,MIN(F228,0),0)</f>
        <v>0</v>
      </c>
    </row>
    <row r="229" customFormat="false" ht="40" hidden="false" customHeight="true" outlineLevel="0" collapsed="false">
      <c r="A229" s="66" t="n">
        <v>45915</v>
      </c>
      <c r="B229" s="54" t="str">
        <f aca="false">IF(M229="","",IF(P229="",M229,HYPERLINK(P229,M229)))</f>
        <v>49100424A0001-49100424F0030</v>
      </c>
      <c r="C229" s="54" t="str">
        <f aca="false">IF(N229="","",IF(Q229="",N229,HYPERLINK(Q229,N229)))</f>
        <v>Spatial Front Inc.</v>
      </c>
      <c r="D229" s="60" t="s">
        <v>166</v>
      </c>
      <c r="E229" s="54" t="str">
        <f aca="false">IF(O229="","",IF(R229="",O229,HYPERLINK(R229,O229)))</f>
        <v>NSF — office not specified</v>
      </c>
      <c r="F229" s="62" t="n">
        <v>-134270</v>
      </c>
      <c r="G229" s="61" t="s">
        <v>464</v>
      </c>
      <c r="H229" s="58"/>
      <c r="I229" s="58" t="s">
        <v>680</v>
      </c>
      <c r="J229" s="58" t="s">
        <v>364</v>
      </c>
      <c r="K229" s="58" t="s">
        <v>164</v>
      </c>
      <c r="L229" s="58" t="s">
        <v>213</v>
      </c>
      <c r="M229" s="58" t="s">
        <v>365</v>
      </c>
      <c r="N229" s="58" t="s">
        <v>165</v>
      </c>
      <c r="O229" s="58" t="s">
        <v>214</v>
      </c>
      <c r="P229" s="58" t="s">
        <v>366</v>
      </c>
      <c r="Q229" s="58" t="s">
        <v>167</v>
      </c>
      <c r="R229" s="58" t="s">
        <v>215</v>
      </c>
      <c r="S229" s="57" t="n">
        <f aca="false">IF(ISNUMBER(A229),YEAR(A229)+IF(MONTH(A229)&gt;=10,1,0),"")</f>
        <v>2025</v>
      </c>
      <c r="T229" s="57" t="n">
        <f aca="false">IF(ISNUMBER(A229),INT(MOD(MONTH(A229)-10,12)/3)+1,"")</f>
        <v>4</v>
      </c>
      <c r="U229" s="57" t="str">
        <f aca="false">IF(AND(I229&lt;&gt;"",D229&lt;&gt;"",OR(COUNTIFS(TransactionsData[Vendor ID],K229,TransactionsData[UEI],"&lt;&gt;"&amp;D229,TransactionsData[UEI],"?*")&gt;0,COUNTIFS(VendorGroups[Record ID],K229,VendorGroups[Source UEI],"&lt;&gt;"&amp;D229,VendorGroups[Source UEI],"?*")&gt;0)),"Conflicting vendor UEIs",IF(I229="",IF(COUNTA(A229,D229,F229:R229)&gt;0,"Missing transaction ID",""),IF(COUNTIFS(TransactionsData[Transaction ID],I229)&lt;&gt;1,"Duplicate transaction ID",IF(OR(NOT(ISNUMBER(A229)),A229&lt;1,A229&gt;DATE(2099,1,1)),"Use a valid date",IF(OR(A229&lt;$B$4,A229&gt;$D$4),"Outside coverage",IF(NOT(ISNUMBER(F229)),"Missing or invalid amount",IF(OR(K229="",L229="",N229=""),"Add vendor and office identities",IF(G229="Exclude",IF(OR(F229&lt;&gt;0,H229=""),"Review nonzero or unexplained exclusion",""),IF(G229&lt;&gt;"Include","Choose Include or Exclude",IF(COUNTIFS(AwardsData[Award ID],J229)&lt;&gt;1,"Award link needs review",IF(INDEX(AwardsData[Input check],MATCH(J229,AwardsData[Award ID],0))&lt;&gt;"","Check award inputs","")))))))))))</f>
        <v/>
      </c>
      <c r="V229" s="57" t="n">
        <f aca="false">IF(AND(I229&lt;&gt;"",U229="",G229="Include"),1,0)</f>
        <v>1</v>
      </c>
      <c r="W229" s="57" t="str">
        <f aca="false">IF(I229="","",IF(COUNTIFS(AwardsData[Award ID],J229)=1,INDEX(AwardsData[Current award type],MATCH(J229,AwardsData[Award ID],0)),"Unlinked"))</f>
        <v>BPA Call</v>
      </c>
      <c r="X229" s="57" t="str">
        <f aca="false">IF(I229="","",IF(COUNTIFS(AwardsData[Award ID],J229)=1,INDEX(AwardsData[Current set-aside],MATCH(J229,AwardsData[Award ID],0)),"Unlinked"))</f>
        <v>No Set-Aside Used</v>
      </c>
      <c r="Y229" s="57" t="str">
        <f aca="false">IF(I229="","",IF(COUNTIFS(AwardsData[Award ID],J229)=1,INDEX(AwardsData[Performance state],MATCH(J229,AwardsData[Award ID],0)),"Unlinked"))</f>
        <v>Virginia</v>
      </c>
      <c r="Z229" s="57" t="n">
        <f aca="false">IF(AND(V229=1,OR(Dashboard!$AB$2="All",K229=Dashboard!$AB$2),OR(Dashboard!$AB$3="All",L229=Dashboard!$AB$3),OR(Dashboard!$N$10="All",W229=Dashboard!$N$10)),1,0)</f>
        <v>1</v>
      </c>
      <c r="AA229" s="57" t="n">
        <f aca="false">IF(AND(Z229=1,OR(Dashboard!$B$7="All",S229=Dashboard!$B$7)),1,0)</f>
        <v>1</v>
      </c>
      <c r="AB229" s="57" t="n">
        <f aca="false">IF(AND(V229=1,F229&lt;&gt;0),1,0)</f>
        <v>1</v>
      </c>
      <c r="AC229" s="57" t="n">
        <f aca="false">IF(AND(AA229=1,AB229=1),IF(COUNTIFS($J$17:J229,J229,$AA$17:AA229,1,$AB$17:AB229,1)=1,1,0),0)</f>
        <v>0</v>
      </c>
      <c r="AD229" s="57" t="n">
        <f aca="false">IF(AND(AA229=1,AB229=1),IF(COUNTIFS($K$17:K229,K229,$AA$17:AA229,1,$AB$17:AB229,1)=1,1,0),0)</f>
        <v>0</v>
      </c>
      <c r="AE229" s="57" t="n">
        <f aca="false">IF(AND(Z229=1,AB229=1),IF(COUNTIFS($J$17:J229,J229,$S$17:S229,S229,$Z$17:Z229,1,$AB$17:AB229,1)=1,1,0),0)</f>
        <v>0</v>
      </c>
      <c r="AF229" s="57" t="n">
        <f aca="false">IF(AND(Z229=1,AB229=1),IF(COUNTIFS($K$17:K229,K229,$S$17:S229,S229,$Z$17:Z229,1,$AB$17:AB229,1)=1,1,0),0)</f>
        <v>0</v>
      </c>
      <c r="AG229" s="57" t="n">
        <f aca="false">IF(AND(AA229=1,AB229=1),IF(COUNTIFS($J$17:J229,J229,$L$17:L229,L229,$AA$17:AA229,1,$AB$17:AB229,1)=1,1,0),0)</f>
        <v>0</v>
      </c>
      <c r="AH229" s="57" t="n">
        <f aca="false">IF(AND(AA229=1,AB229=1),IF(COUNTIFS($J$17:J229,J229,$K$17:K229,K229,$AA$17:AA229,1,$AB$17:AB229,1)=1,1,0),0)</f>
        <v>0</v>
      </c>
      <c r="AI229" s="56" t="n">
        <f aca="false">IF(V229=1,MAX(F229,0),0)</f>
        <v>0</v>
      </c>
      <c r="AJ229" s="56" t="n">
        <f aca="false">IF(V229=1,MIN(F229,0),0)</f>
        <v>-134270</v>
      </c>
    </row>
    <row r="230" customFormat="false" ht="40" hidden="false" customHeight="true" outlineLevel="0" collapsed="false">
      <c r="A230" s="66" t="n">
        <v>45915</v>
      </c>
      <c r="B230" s="54" t="str">
        <f aca="false">IF(M230="","",IF(P230="",M230,HYPERLINK(P230,M230)))</f>
        <v>49100424A0001-49100424F0052</v>
      </c>
      <c r="C230" s="54" t="str">
        <f aca="false">IF(N230="","",IF(Q230="",N230,HYPERLINK(Q230,N230)))</f>
        <v>Spatial Front Inc.</v>
      </c>
      <c r="D230" s="60" t="s">
        <v>166</v>
      </c>
      <c r="E230" s="54" t="str">
        <f aca="false">IF(O230="","",IF(R230="",O230,HYPERLINK(R230,O230)))</f>
        <v>Division of Information Systems</v>
      </c>
      <c r="F230" s="62" t="n">
        <v>-80190</v>
      </c>
      <c r="G230" s="61" t="s">
        <v>464</v>
      </c>
      <c r="H230" s="58"/>
      <c r="I230" s="58" t="s">
        <v>681</v>
      </c>
      <c r="J230" s="58" t="s">
        <v>370</v>
      </c>
      <c r="K230" s="58" t="s">
        <v>164</v>
      </c>
      <c r="L230" s="58" t="s">
        <v>197</v>
      </c>
      <c r="M230" s="58" t="s">
        <v>371</v>
      </c>
      <c r="N230" s="58" t="s">
        <v>165</v>
      </c>
      <c r="O230" s="58" t="s">
        <v>198</v>
      </c>
      <c r="P230" s="58" t="s">
        <v>372</v>
      </c>
      <c r="Q230" s="58" t="s">
        <v>167</v>
      </c>
      <c r="R230" s="58" t="s">
        <v>200</v>
      </c>
      <c r="S230" s="57" t="n">
        <f aca="false">IF(ISNUMBER(A230),YEAR(A230)+IF(MONTH(A230)&gt;=10,1,0),"")</f>
        <v>2025</v>
      </c>
      <c r="T230" s="57" t="n">
        <f aca="false">IF(ISNUMBER(A230),INT(MOD(MONTH(A230)-10,12)/3)+1,"")</f>
        <v>4</v>
      </c>
      <c r="U230" s="57" t="str">
        <f aca="false">IF(AND(I230&lt;&gt;"",D230&lt;&gt;"",OR(COUNTIFS(TransactionsData[Vendor ID],K230,TransactionsData[UEI],"&lt;&gt;"&amp;D230,TransactionsData[UEI],"?*")&gt;0,COUNTIFS(VendorGroups[Record ID],K230,VendorGroups[Source UEI],"&lt;&gt;"&amp;D230,VendorGroups[Source UEI],"?*")&gt;0)),"Conflicting vendor UEIs",IF(I230="",IF(COUNTA(A230,D230,F230:R230)&gt;0,"Missing transaction ID",""),IF(COUNTIFS(TransactionsData[Transaction ID],I230)&lt;&gt;1,"Duplicate transaction ID",IF(OR(NOT(ISNUMBER(A230)),A230&lt;1,A230&gt;DATE(2099,1,1)),"Use a valid date",IF(OR(A230&lt;$B$4,A230&gt;$D$4),"Outside coverage",IF(NOT(ISNUMBER(F230)),"Missing or invalid amount",IF(OR(K230="",L230="",N230=""),"Add vendor and office identities",IF(G230="Exclude",IF(OR(F230&lt;&gt;0,H230=""),"Review nonzero or unexplained exclusion",""),IF(G230&lt;&gt;"Include","Choose Include or Exclude",IF(COUNTIFS(AwardsData[Award ID],J230)&lt;&gt;1,"Award link needs review",IF(INDEX(AwardsData[Input check],MATCH(J230,AwardsData[Award ID],0))&lt;&gt;"","Check award inputs","")))))))))))</f>
        <v/>
      </c>
      <c r="V230" s="57" t="n">
        <f aca="false">IF(AND(I230&lt;&gt;"",U230="",G230="Include"),1,0)</f>
        <v>1</v>
      </c>
      <c r="W230" s="57" t="str">
        <f aca="false">IF(I230="","",IF(COUNTIFS(AwardsData[Award ID],J230)=1,INDEX(AwardsData[Current award type],MATCH(J230,AwardsData[Award ID],0)),"Unlinked"))</f>
        <v>BPA Call</v>
      </c>
      <c r="X230" s="57" t="str">
        <f aca="false">IF(I230="","",IF(COUNTIFS(AwardsData[Award ID],J230)=1,INDEX(AwardsData[Current set-aside],MATCH(J230,AwardsData[Award ID],0)),"Unlinked"))</f>
        <v>No Set-Aside Used</v>
      </c>
      <c r="Y230" s="57" t="str">
        <f aca="false">IF(I230="","",IF(COUNTIFS(AwardsData[Award ID],J230)=1,INDEX(AwardsData[Performance state],MATCH(J230,AwardsData[Award ID],0)),"Unlinked"))</f>
        <v>Virginia</v>
      </c>
      <c r="Z230" s="57" t="n">
        <f aca="false">IF(AND(V230=1,OR(Dashboard!$AB$2="All",K230=Dashboard!$AB$2),OR(Dashboard!$AB$3="All",L230=Dashboard!$AB$3),OR(Dashboard!$N$10="All",W230=Dashboard!$N$10)),1,0)</f>
        <v>1</v>
      </c>
      <c r="AA230" s="57" t="n">
        <f aca="false">IF(AND(Z230=1,OR(Dashboard!$B$7="All",S230=Dashboard!$B$7)),1,0)</f>
        <v>1</v>
      </c>
      <c r="AB230" s="57" t="n">
        <f aca="false">IF(AND(V230=1,F230&lt;&gt;0),1,0)</f>
        <v>1</v>
      </c>
      <c r="AC230" s="57" t="n">
        <f aca="false">IF(AND(AA230=1,AB230=1),IF(COUNTIFS($J$17:J230,J230,$AA$17:AA230,1,$AB$17:AB230,1)=1,1,0),0)</f>
        <v>0</v>
      </c>
      <c r="AD230" s="57" t="n">
        <f aca="false">IF(AND(AA230=1,AB230=1),IF(COUNTIFS($K$17:K230,K230,$AA$17:AA230,1,$AB$17:AB230,1)=1,1,0),0)</f>
        <v>0</v>
      </c>
      <c r="AE230" s="57" t="n">
        <f aca="false">IF(AND(Z230=1,AB230=1),IF(COUNTIFS($J$17:J230,J230,$S$17:S230,S230,$Z$17:Z230,1,$AB$17:AB230,1)=1,1,0),0)</f>
        <v>0</v>
      </c>
      <c r="AF230" s="57" t="n">
        <f aca="false">IF(AND(Z230=1,AB230=1),IF(COUNTIFS($K$17:K230,K230,$S$17:S230,S230,$Z$17:Z230,1,$AB$17:AB230,1)=1,1,0),0)</f>
        <v>0</v>
      </c>
      <c r="AG230" s="57" t="n">
        <f aca="false">IF(AND(AA230=1,AB230=1),IF(COUNTIFS($J$17:J230,J230,$L$17:L230,L230,$AA$17:AA230,1,$AB$17:AB230,1)=1,1,0),0)</f>
        <v>0</v>
      </c>
      <c r="AH230" s="57" t="n">
        <f aca="false">IF(AND(AA230=1,AB230=1),IF(COUNTIFS($J$17:J230,J230,$K$17:K230,K230,$AA$17:AA230,1,$AB$17:AB230,1)=1,1,0),0)</f>
        <v>0</v>
      </c>
      <c r="AI230" s="56" t="n">
        <f aca="false">IF(V230=1,MAX(F230,0),0)</f>
        <v>0</v>
      </c>
      <c r="AJ230" s="56" t="n">
        <f aca="false">IF(V230=1,MIN(F230,0),0)</f>
        <v>-80190</v>
      </c>
    </row>
    <row r="231" customFormat="false" ht="40" hidden="false" customHeight="true" outlineLevel="0" collapsed="false">
      <c r="A231" s="66" t="n">
        <v>45917</v>
      </c>
      <c r="B231" s="54" t="str">
        <f aca="false">IF(M231="","",IF(P231="",M231,HYPERLINK(P231,M231)))</f>
        <v>Unlinked</v>
      </c>
      <c r="C231" s="54" t="str">
        <f aca="false">IF(N231="","",IF(Q231="",N231,HYPERLINK(Q231,N231)))</f>
        <v>Agility Technologies Inc.</v>
      </c>
      <c r="D231" s="60" t="s">
        <v>103</v>
      </c>
      <c r="E231" s="54" t="str">
        <f aca="false">IF(O231="","",IF(R231="",O231,HYPERLINK(R231,O231)))</f>
        <v>NSF — office not specified</v>
      </c>
      <c r="F231" s="62" t="n">
        <v>0</v>
      </c>
      <c r="G231" s="61" t="s">
        <v>492</v>
      </c>
      <c r="H231" s="58" t="s">
        <v>493</v>
      </c>
      <c r="I231" s="58" t="s">
        <v>682</v>
      </c>
      <c r="J231" s="58"/>
      <c r="K231" s="58" t="s">
        <v>101</v>
      </c>
      <c r="L231" s="58" t="s">
        <v>213</v>
      </c>
      <c r="M231" s="58" t="s">
        <v>495</v>
      </c>
      <c r="N231" s="58" t="s">
        <v>102</v>
      </c>
      <c r="O231" s="58" t="s">
        <v>214</v>
      </c>
      <c r="P231" s="58"/>
      <c r="Q231" s="58" t="s">
        <v>104</v>
      </c>
      <c r="R231" s="58" t="s">
        <v>215</v>
      </c>
      <c r="S231" s="57" t="n">
        <f aca="false">IF(ISNUMBER(A231),YEAR(A231)+IF(MONTH(A231)&gt;=10,1,0),"")</f>
        <v>2025</v>
      </c>
      <c r="T231" s="57" t="n">
        <f aca="false">IF(ISNUMBER(A231),INT(MOD(MONTH(A231)-10,12)/3)+1,"")</f>
        <v>4</v>
      </c>
      <c r="U231" s="57" t="str">
        <f aca="false">IF(AND(I231&lt;&gt;"",D231&lt;&gt;"",OR(COUNTIFS(TransactionsData[Vendor ID],K231,TransactionsData[UEI],"&lt;&gt;"&amp;D231,TransactionsData[UEI],"?*")&gt;0,COUNTIFS(VendorGroups[Record ID],K231,VendorGroups[Source UEI],"&lt;&gt;"&amp;D231,VendorGroups[Source UEI],"?*")&gt;0)),"Conflicting vendor UEIs",IF(I231="",IF(COUNTA(A231,D231,F231:R231)&gt;0,"Missing transaction ID",""),IF(COUNTIFS(TransactionsData[Transaction ID],I231)&lt;&gt;1,"Duplicate transaction ID",IF(OR(NOT(ISNUMBER(A231)),A231&lt;1,A231&gt;DATE(2099,1,1)),"Use a valid date",IF(OR(A231&lt;$B$4,A231&gt;$D$4),"Outside coverage",IF(NOT(ISNUMBER(F231)),"Missing or invalid amount",IF(OR(K231="",L231="",N231=""),"Add vendor and office identities",IF(G231="Exclude",IF(OR(F231&lt;&gt;0,H231=""),"Review nonzero or unexplained exclusion",""),IF(G231&lt;&gt;"Include","Choose Include or Exclude",IF(COUNTIFS(AwardsData[Award ID],J231)&lt;&gt;1,"Award link needs review",IF(INDEX(AwardsData[Input check],MATCH(J231,AwardsData[Award ID],0))&lt;&gt;"","Check award inputs","")))))))))))</f>
        <v/>
      </c>
      <c r="V231" s="57" t="n">
        <f aca="false">IF(AND(I231&lt;&gt;"",U231="",G231="Include"),1,0)</f>
        <v>0</v>
      </c>
      <c r="W231" s="57" t="str">
        <f aca="false">IF(I231="","",IF(COUNTIFS(AwardsData[Award ID],J231)=1,INDEX(AwardsData[Current award type],MATCH(J231,AwardsData[Award ID],0)),"Unlinked"))</f>
        <v>Unlinked</v>
      </c>
      <c r="X231" s="57" t="str">
        <f aca="false">IF(I231="","",IF(COUNTIFS(AwardsData[Award ID],J231)=1,INDEX(AwardsData[Current set-aside],MATCH(J231,AwardsData[Award ID],0)),"Unlinked"))</f>
        <v>Unlinked</v>
      </c>
      <c r="Y231" s="57" t="str">
        <f aca="false">IF(I231="","",IF(COUNTIFS(AwardsData[Award ID],J231)=1,INDEX(AwardsData[Performance state],MATCH(J231,AwardsData[Award ID],0)),"Unlinked"))</f>
        <v>Unlinked</v>
      </c>
      <c r="Z231" s="57" t="n">
        <f aca="false">IF(AND(V231=1,OR(Dashboard!$AB$2="All",K231=Dashboard!$AB$2),OR(Dashboard!$AB$3="All",L231=Dashboard!$AB$3),OR(Dashboard!$N$10="All",W231=Dashboard!$N$10)),1,0)</f>
        <v>0</v>
      </c>
      <c r="AA231" s="57" t="n">
        <f aca="false">IF(AND(Z231=1,OR(Dashboard!$B$7="All",S231=Dashboard!$B$7)),1,0)</f>
        <v>0</v>
      </c>
      <c r="AB231" s="57" t="n">
        <f aca="false">IF(AND(V231=1,F231&lt;&gt;0),1,0)</f>
        <v>0</v>
      </c>
      <c r="AC231" s="57" t="n">
        <f aca="false">IF(AND(AA231=1,AB231=1),IF(COUNTIFS($J$17:J231,J231,$AA$17:AA231,1,$AB$17:AB231,1)=1,1,0),0)</f>
        <v>0</v>
      </c>
      <c r="AD231" s="57" t="n">
        <f aca="false">IF(AND(AA231=1,AB231=1),IF(COUNTIFS($K$17:K231,K231,$AA$17:AA231,1,$AB$17:AB231,1)=1,1,0),0)</f>
        <v>0</v>
      </c>
      <c r="AE231" s="57" t="n">
        <f aca="false">IF(AND(Z231=1,AB231=1),IF(COUNTIFS($J$17:J231,J231,$S$17:S231,S231,$Z$17:Z231,1,$AB$17:AB231,1)=1,1,0),0)</f>
        <v>0</v>
      </c>
      <c r="AF231" s="57" t="n">
        <f aca="false">IF(AND(Z231=1,AB231=1),IF(COUNTIFS($K$17:K231,K231,$S$17:S231,S231,$Z$17:Z231,1,$AB$17:AB231,1)=1,1,0),0)</f>
        <v>0</v>
      </c>
      <c r="AG231" s="57" t="n">
        <f aca="false">IF(AND(AA231=1,AB231=1),IF(COUNTIFS($J$17:J231,J231,$L$17:L231,L231,$AA$17:AA231,1,$AB$17:AB231,1)=1,1,0),0)</f>
        <v>0</v>
      </c>
      <c r="AH231" s="57" t="n">
        <f aca="false">IF(AND(AA231=1,AB231=1),IF(COUNTIFS($J$17:J231,J231,$K$17:K231,K231,$AA$17:AA231,1,$AB$17:AB231,1)=1,1,0),0)</f>
        <v>0</v>
      </c>
      <c r="AI231" s="56" t="n">
        <f aca="false">IF(V231=1,MAX(F231,0),0)</f>
        <v>0</v>
      </c>
      <c r="AJ231" s="56" t="n">
        <f aca="false">IF(V231=1,MIN(F231,0),0)</f>
        <v>0</v>
      </c>
    </row>
    <row r="232" customFormat="false" ht="40" hidden="false" customHeight="true" outlineLevel="0" collapsed="false">
      <c r="A232" s="66" t="n">
        <v>45918</v>
      </c>
      <c r="B232" s="54" t="str">
        <f aca="false">IF(M232="","",IF(P232="",M232,HYPERLINK(P232,M232)))</f>
        <v>Unlinked</v>
      </c>
      <c r="C232" s="54" t="str">
        <f aca="false">IF(N232="","",IF(Q232="",N232,HYPERLINK(Q232,N232)))</f>
        <v>Agility Technologies Inc.</v>
      </c>
      <c r="D232" s="60" t="s">
        <v>103</v>
      </c>
      <c r="E232" s="54" t="str">
        <f aca="false">IF(O232="","",IF(R232="",O232,HYPERLINK(R232,O232)))</f>
        <v>NSF — office not specified</v>
      </c>
      <c r="F232" s="62" t="n">
        <v>0</v>
      </c>
      <c r="G232" s="61" t="s">
        <v>492</v>
      </c>
      <c r="H232" s="58" t="s">
        <v>493</v>
      </c>
      <c r="I232" s="58" t="s">
        <v>683</v>
      </c>
      <c r="J232" s="58"/>
      <c r="K232" s="58" t="s">
        <v>101</v>
      </c>
      <c r="L232" s="58" t="s">
        <v>213</v>
      </c>
      <c r="M232" s="58" t="s">
        <v>495</v>
      </c>
      <c r="N232" s="58" t="s">
        <v>102</v>
      </c>
      <c r="O232" s="58" t="s">
        <v>214</v>
      </c>
      <c r="P232" s="58"/>
      <c r="Q232" s="58" t="s">
        <v>104</v>
      </c>
      <c r="R232" s="58" t="s">
        <v>215</v>
      </c>
      <c r="S232" s="57" t="n">
        <f aca="false">IF(ISNUMBER(A232),YEAR(A232)+IF(MONTH(A232)&gt;=10,1,0),"")</f>
        <v>2025</v>
      </c>
      <c r="T232" s="57" t="n">
        <f aca="false">IF(ISNUMBER(A232),INT(MOD(MONTH(A232)-10,12)/3)+1,"")</f>
        <v>4</v>
      </c>
      <c r="U232" s="57" t="str">
        <f aca="false">IF(AND(I232&lt;&gt;"",D232&lt;&gt;"",OR(COUNTIFS(TransactionsData[Vendor ID],K232,TransactionsData[UEI],"&lt;&gt;"&amp;D232,TransactionsData[UEI],"?*")&gt;0,COUNTIFS(VendorGroups[Record ID],K232,VendorGroups[Source UEI],"&lt;&gt;"&amp;D232,VendorGroups[Source UEI],"?*")&gt;0)),"Conflicting vendor UEIs",IF(I232="",IF(COUNTA(A232,D232,F232:R232)&gt;0,"Missing transaction ID",""),IF(COUNTIFS(TransactionsData[Transaction ID],I232)&lt;&gt;1,"Duplicate transaction ID",IF(OR(NOT(ISNUMBER(A232)),A232&lt;1,A232&gt;DATE(2099,1,1)),"Use a valid date",IF(OR(A232&lt;$B$4,A232&gt;$D$4),"Outside coverage",IF(NOT(ISNUMBER(F232)),"Missing or invalid amount",IF(OR(K232="",L232="",N232=""),"Add vendor and office identities",IF(G232="Exclude",IF(OR(F232&lt;&gt;0,H232=""),"Review nonzero or unexplained exclusion",""),IF(G232&lt;&gt;"Include","Choose Include or Exclude",IF(COUNTIFS(AwardsData[Award ID],J232)&lt;&gt;1,"Award link needs review",IF(INDEX(AwardsData[Input check],MATCH(J232,AwardsData[Award ID],0))&lt;&gt;"","Check award inputs","")))))))))))</f>
        <v/>
      </c>
      <c r="V232" s="57" t="n">
        <f aca="false">IF(AND(I232&lt;&gt;"",U232="",G232="Include"),1,0)</f>
        <v>0</v>
      </c>
      <c r="W232" s="57" t="str">
        <f aca="false">IF(I232="","",IF(COUNTIFS(AwardsData[Award ID],J232)=1,INDEX(AwardsData[Current award type],MATCH(J232,AwardsData[Award ID],0)),"Unlinked"))</f>
        <v>Unlinked</v>
      </c>
      <c r="X232" s="57" t="str">
        <f aca="false">IF(I232="","",IF(COUNTIFS(AwardsData[Award ID],J232)=1,INDEX(AwardsData[Current set-aside],MATCH(J232,AwardsData[Award ID],0)),"Unlinked"))</f>
        <v>Unlinked</v>
      </c>
      <c r="Y232" s="57" t="str">
        <f aca="false">IF(I232="","",IF(COUNTIFS(AwardsData[Award ID],J232)=1,INDEX(AwardsData[Performance state],MATCH(J232,AwardsData[Award ID],0)),"Unlinked"))</f>
        <v>Unlinked</v>
      </c>
      <c r="Z232" s="57" t="n">
        <f aca="false">IF(AND(V232=1,OR(Dashboard!$AB$2="All",K232=Dashboard!$AB$2),OR(Dashboard!$AB$3="All",L232=Dashboard!$AB$3),OR(Dashboard!$N$10="All",W232=Dashboard!$N$10)),1,0)</f>
        <v>0</v>
      </c>
      <c r="AA232" s="57" t="n">
        <f aca="false">IF(AND(Z232=1,OR(Dashboard!$B$7="All",S232=Dashboard!$B$7)),1,0)</f>
        <v>0</v>
      </c>
      <c r="AB232" s="57" t="n">
        <f aca="false">IF(AND(V232=1,F232&lt;&gt;0),1,0)</f>
        <v>0</v>
      </c>
      <c r="AC232" s="57" t="n">
        <f aca="false">IF(AND(AA232=1,AB232=1),IF(COUNTIFS($J$17:J232,J232,$AA$17:AA232,1,$AB$17:AB232,1)=1,1,0),0)</f>
        <v>0</v>
      </c>
      <c r="AD232" s="57" t="n">
        <f aca="false">IF(AND(AA232=1,AB232=1),IF(COUNTIFS($K$17:K232,K232,$AA$17:AA232,1,$AB$17:AB232,1)=1,1,0),0)</f>
        <v>0</v>
      </c>
      <c r="AE232" s="57" t="n">
        <f aca="false">IF(AND(Z232=1,AB232=1),IF(COUNTIFS($J$17:J232,J232,$S$17:S232,S232,$Z$17:Z232,1,$AB$17:AB232,1)=1,1,0),0)</f>
        <v>0</v>
      </c>
      <c r="AF232" s="57" t="n">
        <f aca="false">IF(AND(Z232=1,AB232=1),IF(COUNTIFS($K$17:K232,K232,$S$17:S232,S232,$Z$17:Z232,1,$AB$17:AB232,1)=1,1,0),0)</f>
        <v>0</v>
      </c>
      <c r="AG232" s="57" t="n">
        <f aca="false">IF(AND(AA232=1,AB232=1),IF(COUNTIFS($J$17:J232,J232,$L$17:L232,L232,$AA$17:AA232,1,$AB$17:AB232,1)=1,1,0),0)</f>
        <v>0</v>
      </c>
      <c r="AH232" s="57" t="n">
        <f aca="false">IF(AND(AA232=1,AB232=1),IF(COUNTIFS($J$17:J232,J232,$K$17:K232,K232,$AA$17:AA232,1,$AB$17:AB232,1)=1,1,0),0)</f>
        <v>0</v>
      </c>
      <c r="AI232" s="56" t="n">
        <f aca="false">IF(V232=1,MAX(F232,0),0)</f>
        <v>0</v>
      </c>
      <c r="AJ232" s="56" t="n">
        <f aca="false">IF(V232=1,MIN(F232,0),0)</f>
        <v>0</v>
      </c>
    </row>
    <row r="233" customFormat="false" ht="40" hidden="false" customHeight="true" outlineLevel="0" collapsed="false">
      <c r="A233" s="66" t="n">
        <v>45919</v>
      </c>
      <c r="B233" s="54" t="str">
        <f aca="false">IF(M233="","",IF(P233="",M233,HYPERLINK(P233,M233)))</f>
        <v>47QTCK18D0004-49100424F0001</v>
      </c>
      <c r="C233" s="54" t="str">
        <f aca="false">IF(N233="","",IF(Q233="",N233,HYPERLINK(Q233,N233)))</f>
        <v>Booz Allen Hamilton Inc.</v>
      </c>
      <c r="D233" s="60" t="s">
        <v>111</v>
      </c>
      <c r="E233" s="54" t="str">
        <f aca="false">IF(O233="","",IF(R233="",O233,HYPERLINK(R233,O233)))</f>
        <v>NSF — office not specified</v>
      </c>
      <c r="F233" s="62" t="n">
        <v>2790000</v>
      </c>
      <c r="G233" s="61" t="s">
        <v>464</v>
      </c>
      <c r="H233" s="58"/>
      <c r="I233" s="58" t="s">
        <v>684</v>
      </c>
      <c r="J233" s="58" t="s">
        <v>297</v>
      </c>
      <c r="K233" s="58" t="s">
        <v>109</v>
      </c>
      <c r="L233" s="58" t="s">
        <v>213</v>
      </c>
      <c r="M233" s="58" t="s">
        <v>298</v>
      </c>
      <c r="N233" s="58" t="s">
        <v>110</v>
      </c>
      <c r="O233" s="58" t="s">
        <v>214</v>
      </c>
      <c r="P233" s="58" t="s">
        <v>299</v>
      </c>
      <c r="Q233" s="58" t="s">
        <v>112</v>
      </c>
      <c r="R233" s="58" t="s">
        <v>215</v>
      </c>
      <c r="S233" s="57" t="n">
        <f aca="false">IF(ISNUMBER(A233),YEAR(A233)+IF(MONTH(A233)&gt;=10,1,0),"")</f>
        <v>2025</v>
      </c>
      <c r="T233" s="57" t="n">
        <f aca="false">IF(ISNUMBER(A233),INT(MOD(MONTH(A233)-10,12)/3)+1,"")</f>
        <v>4</v>
      </c>
      <c r="U233" s="57" t="str">
        <f aca="false">IF(AND(I233&lt;&gt;"",D233&lt;&gt;"",OR(COUNTIFS(TransactionsData[Vendor ID],K233,TransactionsData[UEI],"&lt;&gt;"&amp;D233,TransactionsData[UEI],"?*")&gt;0,COUNTIFS(VendorGroups[Record ID],K233,VendorGroups[Source UEI],"&lt;&gt;"&amp;D233,VendorGroups[Source UEI],"?*")&gt;0)),"Conflicting vendor UEIs",IF(I233="",IF(COUNTA(A233,D233,F233:R233)&gt;0,"Missing transaction ID",""),IF(COUNTIFS(TransactionsData[Transaction ID],I233)&lt;&gt;1,"Duplicate transaction ID",IF(OR(NOT(ISNUMBER(A233)),A233&lt;1,A233&gt;DATE(2099,1,1)),"Use a valid date",IF(OR(A233&lt;$B$4,A233&gt;$D$4),"Outside coverage",IF(NOT(ISNUMBER(F233)),"Missing or invalid amount",IF(OR(K233="",L233="",N233=""),"Add vendor and office identities",IF(G233="Exclude",IF(OR(F233&lt;&gt;0,H233=""),"Review nonzero or unexplained exclusion",""),IF(G233&lt;&gt;"Include","Choose Include or Exclude",IF(COUNTIFS(AwardsData[Award ID],J233)&lt;&gt;1,"Award link needs review",IF(INDEX(AwardsData[Input check],MATCH(J233,AwardsData[Award ID],0))&lt;&gt;"","Check award inputs","")))))))))))</f>
        <v/>
      </c>
      <c r="V233" s="57" t="n">
        <f aca="false">IF(AND(I233&lt;&gt;"",U233="",G233="Include"),1,0)</f>
        <v>1</v>
      </c>
      <c r="W233" s="57" t="str">
        <f aca="false">IF(I233="","",IF(COUNTIFS(AwardsData[Award ID],J233)=1,INDEX(AwardsData[Current award type],MATCH(J233,AwardsData[Award ID],0)),"Unlinked"))</f>
        <v>Delivery Order</v>
      </c>
      <c r="X233" s="57" t="str">
        <f aca="false">IF(I233="","",IF(COUNTIFS(AwardsData[Award ID],J233)=1,INDEX(AwardsData[Current set-aside],MATCH(J233,AwardsData[Award ID],0)),"Unlinked"))</f>
        <v>No Set-Aside Used</v>
      </c>
      <c r="Y233" s="57" t="str">
        <f aca="false">IF(I233="","",IF(COUNTIFS(AwardsData[Award ID],J233)=1,INDEX(AwardsData[Performance state],MATCH(J233,AwardsData[Award ID],0)),"Unlinked"))</f>
        <v>Virginia</v>
      </c>
      <c r="Z233" s="57" t="n">
        <f aca="false">IF(AND(V233=1,OR(Dashboard!$AB$2="All",K233=Dashboard!$AB$2),OR(Dashboard!$AB$3="All",L233=Dashboard!$AB$3),OR(Dashboard!$N$10="All",W233=Dashboard!$N$10)),1,0)</f>
        <v>1</v>
      </c>
      <c r="AA233" s="57" t="n">
        <f aca="false">IF(AND(Z233=1,OR(Dashboard!$B$7="All",S233=Dashboard!$B$7)),1,0)</f>
        <v>1</v>
      </c>
      <c r="AB233" s="57" t="n">
        <f aca="false">IF(AND(V233=1,F233&lt;&gt;0),1,0)</f>
        <v>1</v>
      </c>
      <c r="AC233" s="57" t="n">
        <f aca="false">IF(AND(AA233=1,AB233=1),IF(COUNTIFS($J$17:J233,J233,$AA$17:AA233,1,$AB$17:AB233,1)=1,1,0),0)</f>
        <v>0</v>
      </c>
      <c r="AD233" s="57" t="n">
        <f aca="false">IF(AND(AA233=1,AB233=1),IF(COUNTIFS($K$17:K233,K233,$AA$17:AA233,1,$AB$17:AB233,1)=1,1,0),0)</f>
        <v>0</v>
      </c>
      <c r="AE233" s="57" t="n">
        <f aca="false">IF(AND(Z233=1,AB233=1),IF(COUNTIFS($J$17:J233,J233,$S$17:S233,S233,$Z$17:Z233,1,$AB$17:AB233,1)=1,1,0),0)</f>
        <v>0</v>
      </c>
      <c r="AF233" s="57" t="n">
        <f aca="false">IF(AND(Z233=1,AB233=1),IF(COUNTIFS($K$17:K233,K233,$S$17:S233,S233,$Z$17:Z233,1,$AB$17:AB233,1)=1,1,0),0)</f>
        <v>0</v>
      </c>
      <c r="AG233" s="57" t="n">
        <f aca="false">IF(AND(AA233=1,AB233=1),IF(COUNTIFS($J$17:J233,J233,$L$17:L233,L233,$AA$17:AA233,1,$AB$17:AB233,1)=1,1,0),0)</f>
        <v>0</v>
      </c>
      <c r="AH233" s="57" t="n">
        <f aca="false">IF(AND(AA233=1,AB233=1),IF(COUNTIFS($J$17:J233,J233,$K$17:K233,K233,$AA$17:AA233,1,$AB$17:AB233,1)=1,1,0),0)</f>
        <v>0</v>
      </c>
      <c r="AI233" s="56" t="n">
        <f aca="false">IF(V233=1,MAX(F233,0),0)</f>
        <v>2790000</v>
      </c>
      <c r="AJ233" s="56" t="n">
        <f aca="false">IF(V233=1,MIN(F233,0),0)</f>
        <v>0</v>
      </c>
    </row>
    <row r="234" customFormat="false" ht="40" hidden="false" customHeight="true" outlineLevel="0" collapsed="false">
      <c r="A234" s="66" t="n">
        <v>45921</v>
      </c>
      <c r="B234" s="54" t="str">
        <f aca="false">IF(M234="","",IF(P234="",M234,HYPERLINK(P234,M234)))</f>
        <v>49100424A0006-49100424F0073</v>
      </c>
      <c r="C234" s="54" t="str">
        <f aca="false">IF(N234="","",IF(Q234="",N234,HYPERLINK(Q234,N234)))</f>
        <v>Anika Systems Incorporated</v>
      </c>
      <c r="D234" s="60" t="s">
        <v>107</v>
      </c>
      <c r="E234" s="54" t="str">
        <f aca="false">IF(O234="","",IF(R234="",O234,HYPERLINK(R234,O234)))</f>
        <v>NSF — office not specified</v>
      </c>
      <c r="F234" s="62" t="n">
        <v>2250000</v>
      </c>
      <c r="G234" s="61" t="s">
        <v>464</v>
      </c>
      <c r="H234" s="58"/>
      <c r="I234" s="58" t="s">
        <v>685</v>
      </c>
      <c r="J234" s="58" t="s">
        <v>393</v>
      </c>
      <c r="K234" s="58" t="s">
        <v>105</v>
      </c>
      <c r="L234" s="58" t="s">
        <v>213</v>
      </c>
      <c r="M234" s="58" t="s">
        <v>394</v>
      </c>
      <c r="N234" s="58" t="s">
        <v>106</v>
      </c>
      <c r="O234" s="58" t="s">
        <v>214</v>
      </c>
      <c r="P234" s="58" t="s">
        <v>395</v>
      </c>
      <c r="Q234" s="58" t="s">
        <v>108</v>
      </c>
      <c r="R234" s="58" t="s">
        <v>215</v>
      </c>
      <c r="S234" s="57" t="n">
        <f aca="false">IF(ISNUMBER(A234),YEAR(A234)+IF(MONTH(A234)&gt;=10,1,0),"")</f>
        <v>2025</v>
      </c>
      <c r="T234" s="57" t="n">
        <f aca="false">IF(ISNUMBER(A234),INT(MOD(MONTH(A234)-10,12)/3)+1,"")</f>
        <v>4</v>
      </c>
      <c r="U234" s="57" t="str">
        <f aca="false">IF(AND(I234&lt;&gt;"",D234&lt;&gt;"",OR(COUNTIFS(TransactionsData[Vendor ID],K234,TransactionsData[UEI],"&lt;&gt;"&amp;D234,TransactionsData[UEI],"?*")&gt;0,COUNTIFS(VendorGroups[Record ID],K234,VendorGroups[Source UEI],"&lt;&gt;"&amp;D234,VendorGroups[Source UEI],"?*")&gt;0)),"Conflicting vendor UEIs",IF(I234="",IF(COUNTA(A234,D234,F234:R234)&gt;0,"Missing transaction ID",""),IF(COUNTIFS(TransactionsData[Transaction ID],I234)&lt;&gt;1,"Duplicate transaction ID",IF(OR(NOT(ISNUMBER(A234)),A234&lt;1,A234&gt;DATE(2099,1,1)),"Use a valid date",IF(OR(A234&lt;$B$4,A234&gt;$D$4),"Outside coverage",IF(NOT(ISNUMBER(F234)),"Missing or invalid amount",IF(OR(K234="",L234="",N234=""),"Add vendor and office identities",IF(G234="Exclude",IF(OR(F234&lt;&gt;0,H234=""),"Review nonzero or unexplained exclusion",""),IF(G234&lt;&gt;"Include","Choose Include or Exclude",IF(COUNTIFS(AwardsData[Award ID],J234)&lt;&gt;1,"Award link needs review",IF(INDEX(AwardsData[Input check],MATCH(J234,AwardsData[Award ID],0))&lt;&gt;"","Check award inputs","")))))))))))</f>
        <v/>
      </c>
      <c r="V234" s="57" t="n">
        <f aca="false">IF(AND(I234&lt;&gt;"",U234="",G234="Include"),1,0)</f>
        <v>1</v>
      </c>
      <c r="W234" s="57" t="str">
        <f aca="false">IF(I234="","",IF(COUNTIFS(AwardsData[Award ID],J234)=1,INDEX(AwardsData[Current award type],MATCH(J234,AwardsData[Award ID],0)),"Unlinked"))</f>
        <v>BPA Call</v>
      </c>
      <c r="X234" s="57" t="str">
        <f aca="false">IF(I234="","",IF(COUNTIFS(AwardsData[Award ID],J234)=1,INDEX(AwardsData[Current set-aside],MATCH(J234,AwardsData[Award ID],0)),"Unlinked"))</f>
        <v>Competitive 8(a)</v>
      </c>
      <c r="Y234" s="57" t="str">
        <f aca="false">IF(I234="","",IF(COUNTIFS(AwardsData[Award ID],J234)=1,INDEX(AwardsData[Performance state],MATCH(J234,AwardsData[Award ID],0)),"Unlinked"))</f>
        <v>Virginia</v>
      </c>
      <c r="Z234" s="57" t="n">
        <f aca="false">IF(AND(V234=1,OR(Dashboard!$AB$2="All",K234=Dashboard!$AB$2),OR(Dashboard!$AB$3="All",L234=Dashboard!$AB$3),OR(Dashboard!$N$10="All",W234=Dashboard!$N$10)),1,0)</f>
        <v>1</v>
      </c>
      <c r="AA234" s="57" t="n">
        <f aca="false">IF(AND(Z234=1,OR(Dashboard!$B$7="All",S234=Dashboard!$B$7)),1,0)</f>
        <v>1</v>
      </c>
      <c r="AB234" s="57" t="n">
        <f aca="false">IF(AND(V234=1,F234&lt;&gt;0),1,0)</f>
        <v>1</v>
      </c>
      <c r="AC234" s="57" t="n">
        <f aca="false">IF(AND(AA234=1,AB234=1),IF(COUNTIFS($J$17:J234,J234,$AA$17:AA234,1,$AB$17:AB234,1)=1,1,0),0)</f>
        <v>0</v>
      </c>
      <c r="AD234" s="57" t="n">
        <f aca="false">IF(AND(AA234=1,AB234=1),IF(COUNTIFS($K$17:K234,K234,$AA$17:AA234,1,$AB$17:AB234,1)=1,1,0),0)</f>
        <v>0</v>
      </c>
      <c r="AE234" s="57" t="n">
        <f aca="false">IF(AND(Z234=1,AB234=1),IF(COUNTIFS($J$17:J234,J234,$S$17:S234,S234,$Z$17:Z234,1,$AB$17:AB234,1)=1,1,0),0)</f>
        <v>0</v>
      </c>
      <c r="AF234" s="57" t="n">
        <f aca="false">IF(AND(Z234=1,AB234=1),IF(COUNTIFS($K$17:K234,K234,$S$17:S234,S234,$Z$17:Z234,1,$AB$17:AB234,1)=1,1,0),0)</f>
        <v>0</v>
      </c>
      <c r="AG234" s="57" t="n">
        <f aca="false">IF(AND(AA234=1,AB234=1),IF(COUNTIFS($J$17:J234,J234,$L$17:L234,L234,$AA$17:AA234,1,$AB$17:AB234,1)=1,1,0),0)</f>
        <v>0</v>
      </c>
      <c r="AH234" s="57" t="n">
        <f aca="false">IF(AND(AA234=1,AB234=1),IF(COUNTIFS($J$17:J234,J234,$K$17:K234,K234,$AA$17:AA234,1,$AB$17:AB234,1)=1,1,0),0)</f>
        <v>0</v>
      </c>
      <c r="AI234" s="56" t="n">
        <f aca="false">IF(V234=1,MAX(F234,0),0)</f>
        <v>2250000</v>
      </c>
      <c r="AJ234" s="56" t="n">
        <f aca="false">IF(V234=1,MIN(F234,0),0)</f>
        <v>0</v>
      </c>
    </row>
    <row r="235" customFormat="false" ht="40" hidden="false" customHeight="true" outlineLevel="0" collapsed="false">
      <c r="A235" s="66" t="n">
        <v>45922</v>
      </c>
      <c r="B235" s="54" t="str">
        <f aca="false">IF(M235="","",IF(P235="",M235,HYPERLINK(P235,M235)))</f>
        <v>47QTCK18D0004-49100424F0001</v>
      </c>
      <c r="C235" s="54" t="str">
        <f aca="false">IF(N235="","",IF(Q235="",N235,HYPERLINK(Q235,N235)))</f>
        <v>Booz Allen Hamilton Inc.</v>
      </c>
      <c r="D235" s="60" t="s">
        <v>111</v>
      </c>
      <c r="E235" s="54" t="str">
        <f aca="false">IF(O235="","",IF(R235="",O235,HYPERLINK(R235,O235)))</f>
        <v>NSF — office not specified</v>
      </c>
      <c r="F235" s="62" t="n">
        <v>6794250.72</v>
      </c>
      <c r="G235" s="61" t="s">
        <v>464</v>
      </c>
      <c r="H235" s="58"/>
      <c r="I235" s="58" t="s">
        <v>686</v>
      </c>
      <c r="J235" s="58" t="s">
        <v>297</v>
      </c>
      <c r="K235" s="58" t="s">
        <v>109</v>
      </c>
      <c r="L235" s="58" t="s">
        <v>213</v>
      </c>
      <c r="M235" s="58" t="s">
        <v>298</v>
      </c>
      <c r="N235" s="58" t="s">
        <v>110</v>
      </c>
      <c r="O235" s="58" t="s">
        <v>214</v>
      </c>
      <c r="P235" s="58" t="s">
        <v>299</v>
      </c>
      <c r="Q235" s="58" t="s">
        <v>112</v>
      </c>
      <c r="R235" s="58" t="s">
        <v>215</v>
      </c>
      <c r="S235" s="57" t="n">
        <f aca="false">IF(ISNUMBER(A235),YEAR(A235)+IF(MONTH(A235)&gt;=10,1,0),"")</f>
        <v>2025</v>
      </c>
      <c r="T235" s="57" t="n">
        <f aca="false">IF(ISNUMBER(A235),INT(MOD(MONTH(A235)-10,12)/3)+1,"")</f>
        <v>4</v>
      </c>
      <c r="U235" s="57" t="str">
        <f aca="false">IF(AND(I235&lt;&gt;"",D235&lt;&gt;"",OR(COUNTIFS(TransactionsData[Vendor ID],K235,TransactionsData[UEI],"&lt;&gt;"&amp;D235,TransactionsData[UEI],"?*")&gt;0,COUNTIFS(VendorGroups[Record ID],K235,VendorGroups[Source UEI],"&lt;&gt;"&amp;D235,VendorGroups[Source UEI],"?*")&gt;0)),"Conflicting vendor UEIs",IF(I235="",IF(COUNTA(A235,D235,F235:R235)&gt;0,"Missing transaction ID",""),IF(COUNTIFS(TransactionsData[Transaction ID],I235)&lt;&gt;1,"Duplicate transaction ID",IF(OR(NOT(ISNUMBER(A235)),A235&lt;1,A235&gt;DATE(2099,1,1)),"Use a valid date",IF(OR(A235&lt;$B$4,A235&gt;$D$4),"Outside coverage",IF(NOT(ISNUMBER(F235)),"Missing or invalid amount",IF(OR(K235="",L235="",N235=""),"Add vendor and office identities",IF(G235="Exclude",IF(OR(F235&lt;&gt;0,H235=""),"Review nonzero or unexplained exclusion",""),IF(G235&lt;&gt;"Include","Choose Include or Exclude",IF(COUNTIFS(AwardsData[Award ID],J235)&lt;&gt;1,"Award link needs review",IF(INDEX(AwardsData[Input check],MATCH(J235,AwardsData[Award ID],0))&lt;&gt;"","Check award inputs","")))))))))))</f>
        <v/>
      </c>
      <c r="V235" s="57" t="n">
        <f aca="false">IF(AND(I235&lt;&gt;"",U235="",G235="Include"),1,0)</f>
        <v>1</v>
      </c>
      <c r="W235" s="57" t="str">
        <f aca="false">IF(I235="","",IF(COUNTIFS(AwardsData[Award ID],J235)=1,INDEX(AwardsData[Current award type],MATCH(J235,AwardsData[Award ID],0)),"Unlinked"))</f>
        <v>Delivery Order</v>
      </c>
      <c r="X235" s="57" t="str">
        <f aca="false">IF(I235="","",IF(COUNTIFS(AwardsData[Award ID],J235)=1,INDEX(AwardsData[Current set-aside],MATCH(J235,AwardsData[Award ID],0)),"Unlinked"))</f>
        <v>No Set-Aside Used</v>
      </c>
      <c r="Y235" s="57" t="str">
        <f aca="false">IF(I235="","",IF(COUNTIFS(AwardsData[Award ID],J235)=1,INDEX(AwardsData[Performance state],MATCH(J235,AwardsData[Award ID],0)),"Unlinked"))</f>
        <v>Virginia</v>
      </c>
      <c r="Z235" s="57" t="n">
        <f aca="false">IF(AND(V235=1,OR(Dashboard!$AB$2="All",K235=Dashboard!$AB$2),OR(Dashboard!$AB$3="All",L235=Dashboard!$AB$3),OR(Dashboard!$N$10="All",W235=Dashboard!$N$10)),1,0)</f>
        <v>1</v>
      </c>
      <c r="AA235" s="57" t="n">
        <f aca="false">IF(AND(Z235=1,OR(Dashboard!$B$7="All",S235=Dashboard!$B$7)),1,0)</f>
        <v>1</v>
      </c>
      <c r="AB235" s="57" t="n">
        <f aca="false">IF(AND(V235=1,F235&lt;&gt;0),1,0)</f>
        <v>1</v>
      </c>
      <c r="AC235" s="57" t="n">
        <f aca="false">IF(AND(AA235=1,AB235=1),IF(COUNTIFS($J$17:J235,J235,$AA$17:AA235,1,$AB$17:AB235,1)=1,1,0),0)</f>
        <v>0</v>
      </c>
      <c r="AD235" s="57" t="n">
        <f aca="false">IF(AND(AA235=1,AB235=1),IF(COUNTIFS($K$17:K235,K235,$AA$17:AA235,1,$AB$17:AB235,1)=1,1,0),0)</f>
        <v>0</v>
      </c>
      <c r="AE235" s="57" t="n">
        <f aca="false">IF(AND(Z235=1,AB235=1),IF(COUNTIFS($J$17:J235,J235,$S$17:S235,S235,$Z$17:Z235,1,$AB$17:AB235,1)=1,1,0),0)</f>
        <v>0</v>
      </c>
      <c r="AF235" s="57" t="n">
        <f aca="false">IF(AND(Z235=1,AB235=1),IF(COUNTIFS($K$17:K235,K235,$S$17:S235,S235,$Z$17:Z235,1,$AB$17:AB235,1)=1,1,0),0)</f>
        <v>0</v>
      </c>
      <c r="AG235" s="57" t="n">
        <f aca="false">IF(AND(AA235=1,AB235=1),IF(COUNTIFS($J$17:J235,J235,$L$17:L235,L235,$AA$17:AA235,1,$AB$17:AB235,1)=1,1,0),0)</f>
        <v>0</v>
      </c>
      <c r="AH235" s="57" t="n">
        <f aca="false">IF(AND(AA235=1,AB235=1),IF(COUNTIFS($J$17:J235,J235,$K$17:K235,K235,$AA$17:AA235,1,$AB$17:AB235,1)=1,1,0),0)</f>
        <v>0</v>
      </c>
      <c r="AI235" s="56" t="n">
        <f aca="false">IF(V235=1,MAX(F235,0),0)</f>
        <v>6794250.72</v>
      </c>
      <c r="AJ235" s="56" t="n">
        <f aca="false">IF(V235=1,MIN(F235,0),0)</f>
        <v>0</v>
      </c>
    </row>
    <row r="236" customFormat="false" ht="40" hidden="false" customHeight="true" outlineLevel="0" collapsed="false">
      <c r="A236" s="66" t="n">
        <v>45922</v>
      </c>
      <c r="B236" s="54" t="str">
        <f aca="false">IF(M236="","",IF(P236="",M236,HYPERLINK(P236,M236)))</f>
        <v>49100425C0024</v>
      </c>
      <c r="C236" s="54" t="str">
        <f aca="false">IF(N236="","",IF(Q236="",N236,HYPERLINK(Q236,N236)))</f>
        <v>Rei Systems, Inc.</v>
      </c>
      <c r="D236" s="60" t="s">
        <v>158</v>
      </c>
      <c r="E236" s="54" t="str">
        <f aca="false">IF(O236="","",IF(R236="",O236,HYPERLINK(R236,O236)))</f>
        <v>NSF — office not specified</v>
      </c>
      <c r="F236" s="62" t="n">
        <v>778781.18</v>
      </c>
      <c r="G236" s="61" t="s">
        <v>464</v>
      </c>
      <c r="H236" s="58"/>
      <c r="I236" s="58" t="s">
        <v>687</v>
      </c>
      <c r="J236" s="58" t="s">
        <v>404</v>
      </c>
      <c r="K236" s="58" t="s">
        <v>156</v>
      </c>
      <c r="L236" s="58" t="s">
        <v>213</v>
      </c>
      <c r="M236" s="58" t="s">
        <v>404</v>
      </c>
      <c r="N236" s="58" t="s">
        <v>157</v>
      </c>
      <c r="O236" s="58" t="s">
        <v>214</v>
      </c>
      <c r="P236" s="58" t="s">
        <v>405</v>
      </c>
      <c r="Q236" s="58" t="s">
        <v>159</v>
      </c>
      <c r="R236" s="58" t="s">
        <v>215</v>
      </c>
      <c r="S236" s="57" t="n">
        <f aca="false">IF(ISNUMBER(A236),YEAR(A236)+IF(MONTH(A236)&gt;=10,1,0),"")</f>
        <v>2025</v>
      </c>
      <c r="T236" s="57" t="n">
        <f aca="false">IF(ISNUMBER(A236),INT(MOD(MONTH(A236)-10,12)/3)+1,"")</f>
        <v>4</v>
      </c>
      <c r="U236" s="57" t="str">
        <f aca="false">IF(AND(I236&lt;&gt;"",D236&lt;&gt;"",OR(COUNTIFS(TransactionsData[Vendor ID],K236,TransactionsData[UEI],"&lt;&gt;"&amp;D236,TransactionsData[UEI],"?*")&gt;0,COUNTIFS(VendorGroups[Record ID],K236,VendorGroups[Source UEI],"&lt;&gt;"&amp;D236,VendorGroups[Source UEI],"?*")&gt;0)),"Conflicting vendor UEIs",IF(I236="",IF(COUNTA(A236,D236,F236:R236)&gt;0,"Missing transaction ID",""),IF(COUNTIFS(TransactionsData[Transaction ID],I236)&lt;&gt;1,"Duplicate transaction ID",IF(OR(NOT(ISNUMBER(A236)),A236&lt;1,A236&gt;DATE(2099,1,1)),"Use a valid date",IF(OR(A236&lt;$B$4,A236&gt;$D$4),"Outside coverage",IF(NOT(ISNUMBER(F236)),"Missing or invalid amount",IF(OR(K236="",L236="",N236=""),"Add vendor and office identities",IF(G236="Exclude",IF(OR(F236&lt;&gt;0,H236=""),"Review nonzero or unexplained exclusion",""),IF(G236&lt;&gt;"Include","Choose Include or Exclude",IF(COUNTIFS(AwardsData[Award ID],J236)&lt;&gt;1,"Award link needs review",IF(INDEX(AwardsData[Input check],MATCH(J236,AwardsData[Award ID],0))&lt;&gt;"","Check award inputs","")))))))))))</f>
        <v/>
      </c>
      <c r="V236" s="57" t="n">
        <f aca="false">IF(AND(I236&lt;&gt;"",U236="",G236="Include"),1,0)</f>
        <v>1</v>
      </c>
      <c r="W236" s="57" t="str">
        <f aca="false">IF(I236="","",IF(COUNTIFS(AwardsData[Award ID],J236)=1,INDEX(AwardsData[Current award type],MATCH(J236,AwardsData[Award ID],0)),"Unlinked"))</f>
        <v>Definitive Contract</v>
      </c>
      <c r="X236" s="57" t="str">
        <f aca="false">IF(I236="","",IF(COUNTIFS(AwardsData[Award ID],J236)=1,INDEX(AwardsData[Current set-aside],MATCH(J236,AwardsData[Award ID],0)),"Unlinked"))</f>
        <v>No Set-Aside Used</v>
      </c>
      <c r="Y236" s="57" t="str">
        <f aca="false">IF(I236="","",IF(COUNTIFS(AwardsData[Award ID],J236)=1,INDEX(AwardsData[Performance state],MATCH(J236,AwardsData[Award ID],0)),"Unlinked"))</f>
        <v>Virginia</v>
      </c>
      <c r="Z236" s="57" t="n">
        <f aca="false">IF(AND(V236=1,OR(Dashboard!$AB$2="All",K236=Dashboard!$AB$2),OR(Dashboard!$AB$3="All",L236=Dashboard!$AB$3),OR(Dashboard!$N$10="All",W236=Dashboard!$N$10)),1,0)</f>
        <v>1</v>
      </c>
      <c r="AA236" s="57" t="n">
        <f aca="false">IF(AND(Z236=1,OR(Dashboard!$B$7="All",S236=Dashboard!$B$7)),1,0)</f>
        <v>1</v>
      </c>
      <c r="AB236" s="57" t="n">
        <f aca="false">IF(AND(V236=1,F236&lt;&gt;0),1,0)</f>
        <v>1</v>
      </c>
      <c r="AC236" s="57" t="n">
        <f aca="false">IF(AND(AA236=1,AB236=1),IF(COUNTIFS($J$17:J236,J236,$AA$17:AA236,1,$AB$17:AB236,1)=1,1,0),0)</f>
        <v>1</v>
      </c>
      <c r="AD236" s="57" t="n">
        <f aca="false">IF(AND(AA236=1,AB236=1),IF(COUNTIFS($K$17:K236,K236,$AA$17:AA236,1,$AB$17:AB236,1)=1,1,0),0)</f>
        <v>0</v>
      </c>
      <c r="AE236" s="57" t="n">
        <f aca="false">IF(AND(Z236=1,AB236=1),IF(COUNTIFS($J$17:J236,J236,$S$17:S236,S236,$Z$17:Z236,1,$AB$17:AB236,1)=1,1,0),0)</f>
        <v>1</v>
      </c>
      <c r="AF236" s="57" t="n">
        <f aca="false">IF(AND(Z236=1,AB236=1),IF(COUNTIFS($K$17:K236,K236,$S$17:S236,S236,$Z$17:Z236,1,$AB$17:AB236,1)=1,1,0),0)</f>
        <v>0</v>
      </c>
      <c r="AG236" s="57" t="n">
        <f aca="false">IF(AND(AA236=1,AB236=1),IF(COUNTIFS($J$17:J236,J236,$L$17:L236,L236,$AA$17:AA236,1,$AB$17:AB236,1)=1,1,0),0)</f>
        <v>1</v>
      </c>
      <c r="AH236" s="57" t="n">
        <f aca="false">IF(AND(AA236=1,AB236=1),IF(COUNTIFS($J$17:J236,J236,$K$17:K236,K236,$AA$17:AA236,1,$AB$17:AB236,1)=1,1,0),0)</f>
        <v>1</v>
      </c>
      <c r="AI236" s="56" t="n">
        <f aca="false">IF(V236=1,MAX(F236,0),0)</f>
        <v>778781.18</v>
      </c>
      <c r="AJ236" s="56" t="n">
        <f aca="false">IF(V236=1,MIN(F236,0),0)</f>
        <v>0</v>
      </c>
    </row>
    <row r="237" customFormat="false" ht="40" hidden="false" customHeight="true" outlineLevel="0" collapsed="false">
      <c r="A237" s="66" t="n">
        <v>45922</v>
      </c>
      <c r="B237" s="54" t="str">
        <f aca="false">IF(M237="","",IF(P237="",M237,HYPERLINK(P237,M237)))</f>
        <v>49100424A0001-49100424F0246</v>
      </c>
      <c r="C237" s="54" t="str">
        <f aca="false">IF(N237="","",IF(Q237="",N237,HYPERLINK(Q237,N237)))</f>
        <v>Spatial Front Inc.</v>
      </c>
      <c r="D237" s="60" t="s">
        <v>166</v>
      </c>
      <c r="E237" s="54" t="str">
        <f aca="false">IF(O237="","",IF(R237="",O237,HYPERLINK(R237,O237)))</f>
        <v>NSF — office not specified</v>
      </c>
      <c r="F237" s="62" t="n">
        <v>2245536</v>
      </c>
      <c r="G237" s="61" t="s">
        <v>464</v>
      </c>
      <c r="H237" s="58"/>
      <c r="I237" s="58" t="s">
        <v>688</v>
      </c>
      <c r="J237" s="58" t="s">
        <v>386</v>
      </c>
      <c r="K237" s="58" t="s">
        <v>164</v>
      </c>
      <c r="L237" s="58" t="s">
        <v>213</v>
      </c>
      <c r="M237" s="58" t="s">
        <v>387</v>
      </c>
      <c r="N237" s="58" t="s">
        <v>165</v>
      </c>
      <c r="O237" s="58" t="s">
        <v>214</v>
      </c>
      <c r="P237" s="58" t="s">
        <v>388</v>
      </c>
      <c r="Q237" s="58" t="s">
        <v>167</v>
      </c>
      <c r="R237" s="58" t="s">
        <v>215</v>
      </c>
      <c r="S237" s="57" t="n">
        <f aca="false">IF(ISNUMBER(A237),YEAR(A237)+IF(MONTH(A237)&gt;=10,1,0),"")</f>
        <v>2025</v>
      </c>
      <c r="T237" s="57" t="n">
        <f aca="false">IF(ISNUMBER(A237),INT(MOD(MONTH(A237)-10,12)/3)+1,"")</f>
        <v>4</v>
      </c>
      <c r="U237" s="57" t="str">
        <f aca="false">IF(AND(I237&lt;&gt;"",D237&lt;&gt;"",OR(COUNTIFS(TransactionsData[Vendor ID],K237,TransactionsData[UEI],"&lt;&gt;"&amp;D237,TransactionsData[UEI],"?*")&gt;0,COUNTIFS(VendorGroups[Record ID],K237,VendorGroups[Source UEI],"&lt;&gt;"&amp;D237,VendorGroups[Source UEI],"?*")&gt;0)),"Conflicting vendor UEIs",IF(I237="",IF(COUNTA(A237,D237,F237:R237)&gt;0,"Missing transaction ID",""),IF(COUNTIFS(TransactionsData[Transaction ID],I237)&lt;&gt;1,"Duplicate transaction ID",IF(OR(NOT(ISNUMBER(A237)),A237&lt;1,A237&gt;DATE(2099,1,1)),"Use a valid date",IF(OR(A237&lt;$B$4,A237&gt;$D$4),"Outside coverage",IF(NOT(ISNUMBER(F237)),"Missing or invalid amount",IF(OR(K237="",L237="",N237=""),"Add vendor and office identities",IF(G237="Exclude",IF(OR(F237&lt;&gt;0,H237=""),"Review nonzero or unexplained exclusion",""),IF(G237&lt;&gt;"Include","Choose Include or Exclude",IF(COUNTIFS(AwardsData[Award ID],J237)&lt;&gt;1,"Award link needs review",IF(INDEX(AwardsData[Input check],MATCH(J237,AwardsData[Award ID],0))&lt;&gt;"","Check award inputs","")))))))))))</f>
        <v/>
      </c>
      <c r="V237" s="57" t="n">
        <f aca="false">IF(AND(I237&lt;&gt;"",U237="",G237="Include"),1,0)</f>
        <v>1</v>
      </c>
      <c r="W237" s="57" t="str">
        <f aca="false">IF(I237="","",IF(COUNTIFS(AwardsData[Award ID],J237)=1,INDEX(AwardsData[Current award type],MATCH(J237,AwardsData[Award ID],0)),"Unlinked"))</f>
        <v>BPA Call</v>
      </c>
      <c r="X237" s="57" t="str">
        <f aca="false">IF(I237="","",IF(COUNTIFS(AwardsData[Award ID],J237)=1,INDEX(AwardsData[Current set-aside],MATCH(J237,AwardsData[Award ID],0)),"Unlinked"))</f>
        <v>No Set-Aside Used</v>
      </c>
      <c r="Y237" s="57" t="str">
        <f aca="false">IF(I237="","",IF(COUNTIFS(AwardsData[Award ID],J237)=1,INDEX(AwardsData[Performance state],MATCH(J237,AwardsData[Award ID],0)),"Unlinked"))</f>
        <v>Maryland</v>
      </c>
      <c r="Z237" s="57" t="n">
        <f aca="false">IF(AND(V237=1,OR(Dashboard!$AB$2="All",K237=Dashboard!$AB$2),OR(Dashboard!$AB$3="All",L237=Dashboard!$AB$3),OR(Dashboard!$N$10="All",W237=Dashboard!$N$10)),1,0)</f>
        <v>1</v>
      </c>
      <c r="AA237" s="57" t="n">
        <f aca="false">IF(AND(Z237=1,OR(Dashboard!$B$7="All",S237=Dashboard!$B$7)),1,0)</f>
        <v>1</v>
      </c>
      <c r="AB237" s="57" t="n">
        <f aca="false">IF(AND(V237=1,F237&lt;&gt;0),1,0)</f>
        <v>1</v>
      </c>
      <c r="AC237" s="57" t="n">
        <f aca="false">IF(AND(AA237=1,AB237=1),IF(COUNTIFS($J$17:J237,J237,$AA$17:AA237,1,$AB$17:AB237,1)=1,1,0),0)</f>
        <v>0</v>
      </c>
      <c r="AD237" s="57" t="n">
        <f aca="false">IF(AND(AA237=1,AB237=1),IF(COUNTIFS($K$17:K237,K237,$AA$17:AA237,1,$AB$17:AB237,1)=1,1,0),0)</f>
        <v>0</v>
      </c>
      <c r="AE237" s="57" t="n">
        <f aca="false">IF(AND(Z237=1,AB237=1),IF(COUNTIFS($J$17:J237,J237,$S$17:S237,S237,$Z$17:Z237,1,$AB$17:AB237,1)=1,1,0),0)</f>
        <v>0</v>
      </c>
      <c r="AF237" s="57" t="n">
        <f aca="false">IF(AND(Z237=1,AB237=1),IF(COUNTIFS($K$17:K237,K237,$S$17:S237,S237,$Z$17:Z237,1,$AB$17:AB237,1)=1,1,0),0)</f>
        <v>0</v>
      </c>
      <c r="AG237" s="57" t="n">
        <f aca="false">IF(AND(AA237=1,AB237=1),IF(COUNTIFS($J$17:J237,J237,$L$17:L237,L237,$AA$17:AA237,1,$AB$17:AB237,1)=1,1,0),0)</f>
        <v>1</v>
      </c>
      <c r="AH237" s="57" t="n">
        <f aca="false">IF(AND(AA237=1,AB237=1),IF(COUNTIFS($J$17:J237,J237,$K$17:K237,K237,$AA$17:AA237,1,$AB$17:AB237,1)=1,1,0),0)</f>
        <v>0</v>
      </c>
      <c r="AI237" s="56" t="n">
        <f aca="false">IF(V237=1,MAX(F237,0),0)</f>
        <v>2245536</v>
      </c>
      <c r="AJ237" s="56" t="n">
        <f aca="false">IF(V237=1,MIN(F237,0),0)</f>
        <v>0</v>
      </c>
    </row>
    <row r="238" customFormat="false" ht="40" hidden="false" customHeight="true" outlineLevel="0" collapsed="false">
      <c r="A238" s="66" t="n">
        <v>45922</v>
      </c>
      <c r="B238" s="54" t="str">
        <f aca="false">IF(M238="","",IF(P238="",M238,HYPERLINK(P238,M238)))</f>
        <v>49100425D0009-49100425F0114</v>
      </c>
      <c r="C238" s="54" t="str">
        <f aca="false">IF(N238="","",IF(Q238="",N238,HYPERLINK(Q238,N238)))</f>
        <v>Agility Technologies Inc.</v>
      </c>
      <c r="D238" s="60" t="s">
        <v>103</v>
      </c>
      <c r="E238" s="54" t="str">
        <f aca="false">IF(O238="","",IF(R238="",O238,HYPERLINK(R238,O238)))</f>
        <v>NSF — office not specified</v>
      </c>
      <c r="F238" s="62" t="n">
        <v>592535.71</v>
      </c>
      <c r="G238" s="61" t="s">
        <v>464</v>
      </c>
      <c r="H238" s="58"/>
      <c r="I238" s="58" t="s">
        <v>689</v>
      </c>
      <c r="J238" s="58" t="s">
        <v>407</v>
      </c>
      <c r="K238" s="58" t="s">
        <v>101</v>
      </c>
      <c r="L238" s="58" t="s">
        <v>213</v>
      </c>
      <c r="M238" s="58" t="s">
        <v>408</v>
      </c>
      <c r="N238" s="58" t="s">
        <v>102</v>
      </c>
      <c r="O238" s="58" t="s">
        <v>214</v>
      </c>
      <c r="P238" s="58" t="s">
        <v>409</v>
      </c>
      <c r="Q238" s="58" t="s">
        <v>104</v>
      </c>
      <c r="R238" s="58" t="s">
        <v>215</v>
      </c>
      <c r="S238" s="57" t="n">
        <f aca="false">IF(ISNUMBER(A238),YEAR(A238)+IF(MONTH(A238)&gt;=10,1,0),"")</f>
        <v>2025</v>
      </c>
      <c r="T238" s="57" t="n">
        <f aca="false">IF(ISNUMBER(A238),INT(MOD(MONTH(A238)-10,12)/3)+1,"")</f>
        <v>4</v>
      </c>
      <c r="U238" s="57" t="str">
        <f aca="false">IF(AND(I238&lt;&gt;"",D238&lt;&gt;"",OR(COUNTIFS(TransactionsData[Vendor ID],K238,TransactionsData[UEI],"&lt;&gt;"&amp;D238,TransactionsData[UEI],"?*")&gt;0,COUNTIFS(VendorGroups[Record ID],K238,VendorGroups[Source UEI],"&lt;&gt;"&amp;D238,VendorGroups[Source UEI],"?*")&gt;0)),"Conflicting vendor UEIs",IF(I238="",IF(COUNTA(A238,D238,F238:R238)&gt;0,"Missing transaction ID",""),IF(COUNTIFS(TransactionsData[Transaction ID],I238)&lt;&gt;1,"Duplicate transaction ID",IF(OR(NOT(ISNUMBER(A238)),A238&lt;1,A238&gt;DATE(2099,1,1)),"Use a valid date",IF(OR(A238&lt;$B$4,A238&gt;$D$4),"Outside coverage",IF(NOT(ISNUMBER(F238)),"Missing or invalid amount",IF(OR(K238="",L238="",N238=""),"Add vendor and office identities",IF(G238="Exclude",IF(OR(F238&lt;&gt;0,H238=""),"Review nonzero or unexplained exclusion",""),IF(G238&lt;&gt;"Include","Choose Include or Exclude",IF(COUNTIFS(AwardsData[Award ID],J238)&lt;&gt;1,"Award link needs review",IF(INDEX(AwardsData[Input check],MATCH(J238,AwardsData[Award ID],0))&lt;&gt;"","Check award inputs","")))))))))))</f>
        <v/>
      </c>
      <c r="V238" s="57" t="n">
        <f aca="false">IF(AND(I238&lt;&gt;"",U238="",G238="Include"),1,0)</f>
        <v>1</v>
      </c>
      <c r="W238" s="57" t="str">
        <f aca="false">IF(I238="","",IF(COUNTIFS(AwardsData[Award ID],J238)=1,INDEX(AwardsData[Current award type],MATCH(J238,AwardsData[Award ID],0)),"Unlinked"))</f>
        <v>Delivery Order</v>
      </c>
      <c r="X238" s="57" t="str">
        <f aca="false">IF(I238="","",IF(COUNTIFS(AwardsData[Award ID],J238)=1,INDEX(AwardsData[Current set-aside],MATCH(J238,AwardsData[Award ID],0)),"Unlinked"))</f>
        <v>8(a) Sole Source</v>
      </c>
      <c r="Y238" s="57" t="str">
        <f aca="false">IF(I238="","",IF(COUNTIFS(AwardsData[Award ID],J238)=1,INDEX(AwardsData[Performance state],MATCH(J238,AwardsData[Award ID],0)),"Unlinked"))</f>
        <v>Virginia</v>
      </c>
      <c r="Z238" s="57" t="n">
        <f aca="false">IF(AND(V238=1,OR(Dashboard!$AB$2="All",K238=Dashboard!$AB$2),OR(Dashboard!$AB$3="All",L238=Dashboard!$AB$3),OR(Dashboard!$N$10="All",W238=Dashboard!$N$10)),1,0)</f>
        <v>1</v>
      </c>
      <c r="AA238" s="57" t="n">
        <f aca="false">IF(AND(Z238=1,OR(Dashboard!$B$7="All",S238=Dashboard!$B$7)),1,0)</f>
        <v>1</v>
      </c>
      <c r="AB238" s="57" t="n">
        <f aca="false">IF(AND(V238=1,F238&lt;&gt;0),1,0)</f>
        <v>1</v>
      </c>
      <c r="AC238" s="57" t="n">
        <f aca="false">IF(AND(AA238=1,AB238=1),IF(COUNTIFS($J$17:J238,J238,$AA$17:AA238,1,$AB$17:AB238,1)=1,1,0),0)</f>
        <v>1</v>
      </c>
      <c r="AD238" s="57" t="n">
        <f aca="false">IF(AND(AA238=1,AB238=1),IF(COUNTIFS($K$17:K238,K238,$AA$17:AA238,1,$AB$17:AB238,1)=1,1,0),0)</f>
        <v>0</v>
      </c>
      <c r="AE238" s="57" t="n">
        <f aca="false">IF(AND(Z238=1,AB238=1),IF(COUNTIFS($J$17:J238,J238,$S$17:S238,S238,$Z$17:Z238,1,$AB$17:AB238,1)=1,1,0),0)</f>
        <v>1</v>
      </c>
      <c r="AF238" s="57" t="n">
        <f aca="false">IF(AND(Z238=1,AB238=1),IF(COUNTIFS($K$17:K238,K238,$S$17:S238,S238,$Z$17:Z238,1,$AB$17:AB238,1)=1,1,0),0)</f>
        <v>0</v>
      </c>
      <c r="AG238" s="57" t="n">
        <f aca="false">IF(AND(AA238=1,AB238=1),IF(COUNTIFS($J$17:J238,J238,$L$17:L238,L238,$AA$17:AA238,1,$AB$17:AB238,1)=1,1,0),0)</f>
        <v>1</v>
      </c>
      <c r="AH238" s="57" t="n">
        <f aca="false">IF(AND(AA238=1,AB238=1),IF(COUNTIFS($J$17:J238,J238,$K$17:K238,K238,$AA$17:AA238,1,$AB$17:AB238,1)=1,1,0),0)</f>
        <v>1</v>
      </c>
      <c r="AI238" s="56" t="n">
        <f aca="false">IF(V238=1,MAX(F238,0),0)</f>
        <v>592535.71</v>
      </c>
      <c r="AJ238" s="56" t="n">
        <f aca="false">IF(V238=1,MIN(F238,0),0)</f>
        <v>0</v>
      </c>
    </row>
    <row r="239" customFormat="false" ht="40" hidden="false" customHeight="true" outlineLevel="0" collapsed="false">
      <c r="A239" s="66" t="n">
        <v>45922</v>
      </c>
      <c r="B239" s="54" t="str">
        <f aca="false">IF(M239="","",IF(P239="",M239,HYPERLINK(P239,M239)))</f>
        <v>GS35F337BA-49100421F0078</v>
      </c>
      <c r="C239" s="54" t="str">
        <f aca="false">IF(N239="","",IF(Q239="",N239,HYPERLINK(Q239,N239)))</f>
        <v>Civicactions, Inc.</v>
      </c>
      <c r="D239" s="60" t="s">
        <v>115</v>
      </c>
      <c r="E239" s="54" t="str">
        <f aca="false">IF(O239="","",IF(R239="",O239,HYPERLINK(R239,O239)))</f>
        <v>NSF — office not specified</v>
      </c>
      <c r="F239" s="62" t="n">
        <v>1500000</v>
      </c>
      <c r="G239" s="61" t="s">
        <v>464</v>
      </c>
      <c r="H239" s="58"/>
      <c r="I239" s="58" t="s">
        <v>690</v>
      </c>
      <c r="J239" s="58" t="s">
        <v>414</v>
      </c>
      <c r="K239" s="58" t="s">
        <v>113</v>
      </c>
      <c r="L239" s="58" t="s">
        <v>213</v>
      </c>
      <c r="M239" s="58" t="s">
        <v>415</v>
      </c>
      <c r="N239" s="58" t="s">
        <v>114</v>
      </c>
      <c r="O239" s="58" t="s">
        <v>214</v>
      </c>
      <c r="P239" s="58" t="s">
        <v>416</v>
      </c>
      <c r="Q239" s="58" t="s">
        <v>116</v>
      </c>
      <c r="R239" s="58" t="s">
        <v>215</v>
      </c>
      <c r="S239" s="57" t="n">
        <f aca="false">IF(ISNUMBER(A239),YEAR(A239)+IF(MONTH(A239)&gt;=10,1,0),"")</f>
        <v>2025</v>
      </c>
      <c r="T239" s="57" t="n">
        <f aca="false">IF(ISNUMBER(A239),INT(MOD(MONTH(A239)-10,12)/3)+1,"")</f>
        <v>4</v>
      </c>
      <c r="U239" s="57" t="str">
        <f aca="false">IF(AND(I239&lt;&gt;"",D239&lt;&gt;"",OR(COUNTIFS(TransactionsData[Vendor ID],K239,TransactionsData[UEI],"&lt;&gt;"&amp;D239,TransactionsData[UEI],"?*")&gt;0,COUNTIFS(VendorGroups[Record ID],K239,VendorGroups[Source UEI],"&lt;&gt;"&amp;D239,VendorGroups[Source UEI],"?*")&gt;0)),"Conflicting vendor UEIs",IF(I239="",IF(COUNTA(A239,D239,F239:R239)&gt;0,"Missing transaction ID",""),IF(COUNTIFS(TransactionsData[Transaction ID],I239)&lt;&gt;1,"Duplicate transaction ID",IF(OR(NOT(ISNUMBER(A239)),A239&lt;1,A239&gt;DATE(2099,1,1)),"Use a valid date",IF(OR(A239&lt;$B$4,A239&gt;$D$4),"Outside coverage",IF(NOT(ISNUMBER(F239)),"Missing or invalid amount",IF(OR(K239="",L239="",N239=""),"Add vendor and office identities",IF(G239="Exclude",IF(OR(F239&lt;&gt;0,H239=""),"Review nonzero or unexplained exclusion",""),IF(G239&lt;&gt;"Include","Choose Include or Exclude",IF(COUNTIFS(AwardsData[Award ID],J239)&lt;&gt;1,"Award link needs review",IF(INDEX(AwardsData[Input check],MATCH(J239,AwardsData[Award ID],0))&lt;&gt;"","Check award inputs","")))))))))))</f>
        <v/>
      </c>
      <c r="V239" s="57" t="n">
        <f aca="false">IF(AND(I239&lt;&gt;"",U239="",G239="Include"),1,0)</f>
        <v>1</v>
      </c>
      <c r="W239" s="57" t="str">
        <f aca="false">IF(I239="","",IF(COUNTIFS(AwardsData[Award ID],J239)=1,INDEX(AwardsData[Current award type],MATCH(J239,AwardsData[Award ID],0)),"Unlinked"))</f>
        <v>Delivery Order</v>
      </c>
      <c r="X239" s="57" t="str">
        <f aca="false">IF(I239="","",IF(COUNTIFS(AwardsData[Award ID],J239)=1,INDEX(AwardsData[Current set-aside],MATCH(J239,AwardsData[Award ID],0)),"Unlinked"))</f>
        <v>Total Small Business</v>
      </c>
      <c r="Y239" s="57" t="str">
        <f aca="false">IF(I239="","",IF(COUNTIFS(AwardsData[Award ID],J239)=1,INDEX(AwardsData[Performance state],MATCH(J239,AwardsData[Award ID],0)),"Unlinked"))</f>
        <v>California</v>
      </c>
      <c r="Z239" s="57" t="n">
        <f aca="false">IF(AND(V239=1,OR(Dashboard!$AB$2="All",K239=Dashboard!$AB$2),OR(Dashboard!$AB$3="All",L239=Dashboard!$AB$3),OR(Dashboard!$N$10="All",W239=Dashboard!$N$10)),1,0)</f>
        <v>1</v>
      </c>
      <c r="AA239" s="57" t="n">
        <f aca="false">IF(AND(Z239=1,OR(Dashboard!$B$7="All",S239=Dashboard!$B$7)),1,0)</f>
        <v>1</v>
      </c>
      <c r="AB239" s="57" t="n">
        <f aca="false">IF(AND(V239=1,F239&lt;&gt;0),1,0)</f>
        <v>1</v>
      </c>
      <c r="AC239" s="57" t="n">
        <f aca="false">IF(AND(AA239=1,AB239=1),IF(COUNTIFS($J$17:J239,J239,$AA$17:AA239,1,$AB$17:AB239,1)=1,1,0),0)</f>
        <v>0</v>
      </c>
      <c r="AD239" s="57" t="n">
        <f aca="false">IF(AND(AA239=1,AB239=1),IF(COUNTIFS($K$17:K239,K239,$AA$17:AA239,1,$AB$17:AB239,1)=1,1,0),0)</f>
        <v>0</v>
      </c>
      <c r="AE239" s="57" t="n">
        <f aca="false">IF(AND(Z239=1,AB239=1),IF(COUNTIFS($J$17:J239,J239,$S$17:S239,S239,$Z$17:Z239,1,$AB$17:AB239,1)=1,1,0),0)</f>
        <v>0</v>
      </c>
      <c r="AF239" s="57" t="n">
        <f aca="false">IF(AND(Z239=1,AB239=1),IF(COUNTIFS($K$17:K239,K239,$S$17:S239,S239,$Z$17:Z239,1,$AB$17:AB239,1)=1,1,0),0)</f>
        <v>0</v>
      </c>
      <c r="AG239" s="57" t="n">
        <f aca="false">IF(AND(AA239=1,AB239=1),IF(COUNTIFS($J$17:J239,J239,$L$17:L239,L239,$AA$17:AA239,1,$AB$17:AB239,1)=1,1,0),0)</f>
        <v>0</v>
      </c>
      <c r="AH239" s="57" t="n">
        <f aca="false">IF(AND(AA239=1,AB239=1),IF(COUNTIFS($J$17:J239,J239,$K$17:K239,K239,$AA$17:AA239,1,$AB$17:AB239,1)=1,1,0),0)</f>
        <v>0</v>
      </c>
      <c r="AI239" s="56" t="n">
        <f aca="false">IF(V239=1,MAX(F239,0),0)</f>
        <v>1500000</v>
      </c>
      <c r="AJ239" s="56" t="n">
        <f aca="false">IF(V239=1,MIN(F239,0),0)</f>
        <v>0</v>
      </c>
    </row>
    <row r="240" customFormat="false" ht="40" hidden="false" customHeight="true" outlineLevel="0" collapsed="false">
      <c r="A240" s="66" t="n">
        <v>45922</v>
      </c>
      <c r="B240" s="54" t="str">
        <f aca="false">IF(M240="","",IF(P240="",M240,HYPERLINK(P240,M240)))</f>
        <v>GS35F337BA-49100421F0078</v>
      </c>
      <c r="C240" s="54" t="str">
        <f aca="false">IF(N240="","",IF(Q240="",N240,HYPERLINK(Q240,N240)))</f>
        <v>Civicactions, Inc.</v>
      </c>
      <c r="D240" s="60" t="s">
        <v>115</v>
      </c>
      <c r="E240" s="54" t="str">
        <f aca="false">IF(O240="","",IF(R240="",O240,HYPERLINK(R240,O240)))</f>
        <v>NSF — office not specified</v>
      </c>
      <c r="F240" s="62" t="n">
        <v>750000</v>
      </c>
      <c r="G240" s="61" t="s">
        <v>464</v>
      </c>
      <c r="H240" s="58"/>
      <c r="I240" s="58" t="s">
        <v>691</v>
      </c>
      <c r="J240" s="58" t="s">
        <v>414</v>
      </c>
      <c r="K240" s="58" t="s">
        <v>113</v>
      </c>
      <c r="L240" s="58" t="s">
        <v>213</v>
      </c>
      <c r="M240" s="58" t="s">
        <v>415</v>
      </c>
      <c r="N240" s="58" t="s">
        <v>114</v>
      </c>
      <c r="O240" s="58" t="s">
        <v>214</v>
      </c>
      <c r="P240" s="58" t="s">
        <v>416</v>
      </c>
      <c r="Q240" s="58" t="s">
        <v>116</v>
      </c>
      <c r="R240" s="58" t="s">
        <v>215</v>
      </c>
      <c r="S240" s="57" t="n">
        <f aca="false">IF(ISNUMBER(A240),YEAR(A240)+IF(MONTH(A240)&gt;=10,1,0),"")</f>
        <v>2025</v>
      </c>
      <c r="T240" s="57" t="n">
        <f aca="false">IF(ISNUMBER(A240),INT(MOD(MONTH(A240)-10,12)/3)+1,"")</f>
        <v>4</v>
      </c>
      <c r="U240" s="57" t="str">
        <f aca="false">IF(AND(I240&lt;&gt;"",D240&lt;&gt;"",OR(COUNTIFS(TransactionsData[Vendor ID],K240,TransactionsData[UEI],"&lt;&gt;"&amp;D240,TransactionsData[UEI],"?*")&gt;0,COUNTIFS(VendorGroups[Record ID],K240,VendorGroups[Source UEI],"&lt;&gt;"&amp;D240,VendorGroups[Source UEI],"?*")&gt;0)),"Conflicting vendor UEIs",IF(I240="",IF(COUNTA(A240,D240,F240:R240)&gt;0,"Missing transaction ID",""),IF(COUNTIFS(TransactionsData[Transaction ID],I240)&lt;&gt;1,"Duplicate transaction ID",IF(OR(NOT(ISNUMBER(A240)),A240&lt;1,A240&gt;DATE(2099,1,1)),"Use a valid date",IF(OR(A240&lt;$B$4,A240&gt;$D$4),"Outside coverage",IF(NOT(ISNUMBER(F240)),"Missing or invalid amount",IF(OR(K240="",L240="",N240=""),"Add vendor and office identities",IF(G240="Exclude",IF(OR(F240&lt;&gt;0,H240=""),"Review nonzero or unexplained exclusion",""),IF(G240&lt;&gt;"Include","Choose Include or Exclude",IF(COUNTIFS(AwardsData[Award ID],J240)&lt;&gt;1,"Award link needs review",IF(INDEX(AwardsData[Input check],MATCH(J240,AwardsData[Award ID],0))&lt;&gt;"","Check award inputs","")))))))))))</f>
        <v/>
      </c>
      <c r="V240" s="57" t="n">
        <f aca="false">IF(AND(I240&lt;&gt;"",U240="",G240="Include"),1,0)</f>
        <v>1</v>
      </c>
      <c r="W240" s="57" t="str">
        <f aca="false">IF(I240="","",IF(COUNTIFS(AwardsData[Award ID],J240)=1,INDEX(AwardsData[Current award type],MATCH(J240,AwardsData[Award ID],0)),"Unlinked"))</f>
        <v>Delivery Order</v>
      </c>
      <c r="X240" s="57" t="str">
        <f aca="false">IF(I240="","",IF(COUNTIFS(AwardsData[Award ID],J240)=1,INDEX(AwardsData[Current set-aside],MATCH(J240,AwardsData[Award ID],0)),"Unlinked"))</f>
        <v>Total Small Business</v>
      </c>
      <c r="Y240" s="57" t="str">
        <f aca="false">IF(I240="","",IF(COUNTIFS(AwardsData[Award ID],J240)=1,INDEX(AwardsData[Performance state],MATCH(J240,AwardsData[Award ID],0)),"Unlinked"))</f>
        <v>California</v>
      </c>
      <c r="Z240" s="57" t="n">
        <f aca="false">IF(AND(V240=1,OR(Dashboard!$AB$2="All",K240=Dashboard!$AB$2),OR(Dashboard!$AB$3="All",L240=Dashboard!$AB$3),OR(Dashboard!$N$10="All",W240=Dashboard!$N$10)),1,0)</f>
        <v>1</v>
      </c>
      <c r="AA240" s="57" t="n">
        <f aca="false">IF(AND(Z240=1,OR(Dashboard!$B$7="All",S240=Dashboard!$B$7)),1,0)</f>
        <v>1</v>
      </c>
      <c r="AB240" s="57" t="n">
        <f aca="false">IF(AND(V240=1,F240&lt;&gt;0),1,0)</f>
        <v>1</v>
      </c>
      <c r="AC240" s="57" t="n">
        <f aca="false">IF(AND(AA240=1,AB240=1),IF(COUNTIFS($J$17:J240,J240,$AA$17:AA240,1,$AB$17:AB240,1)=1,1,0),0)</f>
        <v>0</v>
      </c>
      <c r="AD240" s="57" t="n">
        <f aca="false">IF(AND(AA240=1,AB240=1),IF(COUNTIFS($K$17:K240,K240,$AA$17:AA240,1,$AB$17:AB240,1)=1,1,0),0)</f>
        <v>0</v>
      </c>
      <c r="AE240" s="57" t="n">
        <f aca="false">IF(AND(Z240=1,AB240=1),IF(COUNTIFS($J$17:J240,J240,$S$17:S240,S240,$Z$17:Z240,1,$AB$17:AB240,1)=1,1,0),0)</f>
        <v>0</v>
      </c>
      <c r="AF240" s="57" t="n">
        <f aca="false">IF(AND(Z240=1,AB240=1),IF(COUNTIFS($K$17:K240,K240,$S$17:S240,S240,$Z$17:Z240,1,$AB$17:AB240,1)=1,1,0),0)</f>
        <v>0</v>
      </c>
      <c r="AG240" s="57" t="n">
        <f aca="false">IF(AND(AA240=1,AB240=1),IF(COUNTIFS($J$17:J240,J240,$L$17:L240,L240,$AA$17:AA240,1,$AB$17:AB240,1)=1,1,0),0)</f>
        <v>0</v>
      </c>
      <c r="AH240" s="57" t="n">
        <f aca="false">IF(AND(AA240=1,AB240=1),IF(COUNTIFS($J$17:J240,J240,$K$17:K240,K240,$AA$17:AA240,1,$AB$17:AB240,1)=1,1,0),0)</f>
        <v>0</v>
      </c>
      <c r="AI240" s="56" t="n">
        <f aca="false">IF(V240=1,MAX(F240,0),0)</f>
        <v>750000</v>
      </c>
      <c r="AJ240" s="56" t="n">
        <f aca="false">IF(V240=1,MIN(F240,0),0)</f>
        <v>0</v>
      </c>
    </row>
    <row r="241" customFormat="false" ht="40" hidden="false" customHeight="true" outlineLevel="0" collapsed="false">
      <c r="A241" s="66" t="n">
        <v>45922</v>
      </c>
      <c r="B241" s="54" t="str">
        <f aca="false">IF(M241="","",IF(P241="",M241,HYPERLINK(P241,M241)))</f>
        <v>NNG15SC90B-49100424F0064</v>
      </c>
      <c r="C241" s="54" t="str">
        <f aca="false">IF(N241="","",IF(Q241="",N241,HYPERLINK(Q241,N241)))</f>
        <v>Strategic Communications LLC</v>
      </c>
      <c r="D241" s="60" t="s">
        <v>170</v>
      </c>
      <c r="E241" s="54" t="str">
        <f aca="false">IF(O241="","",IF(R241="",O241,HYPERLINK(R241,O241)))</f>
        <v>NSF — office not specified</v>
      </c>
      <c r="F241" s="62" t="n">
        <v>3347000</v>
      </c>
      <c r="G241" s="61" t="s">
        <v>464</v>
      </c>
      <c r="H241" s="58"/>
      <c r="I241" s="58" t="s">
        <v>692</v>
      </c>
      <c r="J241" s="58" t="s">
        <v>418</v>
      </c>
      <c r="K241" s="58" t="s">
        <v>168</v>
      </c>
      <c r="L241" s="58" t="s">
        <v>213</v>
      </c>
      <c r="M241" s="58" t="s">
        <v>419</v>
      </c>
      <c r="N241" s="58" t="s">
        <v>169</v>
      </c>
      <c r="O241" s="58" t="s">
        <v>214</v>
      </c>
      <c r="P241" s="58" t="s">
        <v>420</v>
      </c>
      <c r="Q241" s="58" t="s">
        <v>171</v>
      </c>
      <c r="R241" s="58" t="s">
        <v>215</v>
      </c>
      <c r="S241" s="57" t="n">
        <f aca="false">IF(ISNUMBER(A241),YEAR(A241)+IF(MONTH(A241)&gt;=10,1,0),"")</f>
        <v>2025</v>
      </c>
      <c r="T241" s="57" t="n">
        <f aca="false">IF(ISNUMBER(A241),INT(MOD(MONTH(A241)-10,12)/3)+1,"")</f>
        <v>4</v>
      </c>
      <c r="U241" s="57" t="str">
        <f aca="false">IF(AND(I241&lt;&gt;"",D241&lt;&gt;"",OR(COUNTIFS(TransactionsData[Vendor ID],K241,TransactionsData[UEI],"&lt;&gt;"&amp;D241,TransactionsData[UEI],"?*")&gt;0,COUNTIFS(VendorGroups[Record ID],K241,VendorGroups[Source UEI],"&lt;&gt;"&amp;D241,VendorGroups[Source UEI],"?*")&gt;0)),"Conflicting vendor UEIs",IF(I241="",IF(COUNTA(A241,D241,F241:R241)&gt;0,"Missing transaction ID",""),IF(COUNTIFS(TransactionsData[Transaction ID],I241)&lt;&gt;1,"Duplicate transaction ID",IF(OR(NOT(ISNUMBER(A241)),A241&lt;1,A241&gt;DATE(2099,1,1)),"Use a valid date",IF(OR(A241&lt;$B$4,A241&gt;$D$4),"Outside coverage",IF(NOT(ISNUMBER(F241)),"Missing or invalid amount",IF(OR(K241="",L241="",N241=""),"Add vendor and office identities",IF(G241="Exclude",IF(OR(F241&lt;&gt;0,H241=""),"Review nonzero or unexplained exclusion",""),IF(G241&lt;&gt;"Include","Choose Include or Exclude",IF(COUNTIFS(AwardsData[Award ID],J241)&lt;&gt;1,"Award link needs review",IF(INDEX(AwardsData[Input check],MATCH(J241,AwardsData[Award ID],0))&lt;&gt;"","Check award inputs","")))))))))))</f>
        <v/>
      </c>
      <c r="V241" s="57" t="n">
        <f aca="false">IF(AND(I241&lt;&gt;"",U241="",G241="Include"),1,0)</f>
        <v>1</v>
      </c>
      <c r="W241" s="57" t="str">
        <f aca="false">IF(I241="","",IF(COUNTIFS(AwardsData[Award ID],J241)=1,INDEX(AwardsData[Current award type],MATCH(J241,AwardsData[Award ID],0)),"Unlinked"))</f>
        <v>Delivery Order</v>
      </c>
      <c r="X241" s="57" t="str">
        <f aca="false">IF(I241="","",IF(COUNTIFS(AwardsData[Award ID],J241)=1,INDEX(AwardsData[Current set-aside],MATCH(J241,AwardsData[Award ID],0)),"Unlinked"))</f>
        <v>Total Small Business</v>
      </c>
      <c r="Y241" s="57" t="str">
        <f aca="false">IF(I241="","",IF(COUNTIFS(AwardsData[Award ID],J241)=1,INDEX(AwardsData[Performance state],MATCH(J241,AwardsData[Award ID],0)),"Unlinked"))</f>
        <v>Virginia</v>
      </c>
      <c r="Z241" s="57" t="n">
        <f aca="false">IF(AND(V241=1,OR(Dashboard!$AB$2="All",K241=Dashboard!$AB$2),OR(Dashboard!$AB$3="All",L241=Dashboard!$AB$3),OR(Dashboard!$N$10="All",W241=Dashboard!$N$10)),1,0)</f>
        <v>1</v>
      </c>
      <c r="AA241" s="57" t="n">
        <f aca="false">IF(AND(Z241=1,OR(Dashboard!$B$7="All",S241=Dashboard!$B$7)),1,0)</f>
        <v>1</v>
      </c>
      <c r="AB241" s="57" t="n">
        <f aca="false">IF(AND(V241=1,F241&lt;&gt;0),1,0)</f>
        <v>1</v>
      </c>
      <c r="AC241" s="57" t="n">
        <f aca="false">IF(AND(AA241=1,AB241=1),IF(COUNTIFS($J$17:J241,J241,$AA$17:AA241,1,$AB$17:AB241,1)=1,1,0),0)</f>
        <v>0</v>
      </c>
      <c r="AD241" s="57" t="n">
        <f aca="false">IF(AND(AA241=1,AB241=1),IF(COUNTIFS($K$17:K241,K241,$AA$17:AA241,1,$AB$17:AB241,1)=1,1,0),0)</f>
        <v>0</v>
      </c>
      <c r="AE241" s="57" t="n">
        <f aca="false">IF(AND(Z241=1,AB241=1),IF(COUNTIFS($J$17:J241,J241,$S$17:S241,S241,$Z$17:Z241,1,$AB$17:AB241,1)=1,1,0),0)</f>
        <v>0</v>
      </c>
      <c r="AF241" s="57" t="n">
        <f aca="false">IF(AND(Z241=1,AB241=1),IF(COUNTIFS($K$17:K241,K241,$S$17:S241,S241,$Z$17:Z241,1,$AB$17:AB241,1)=1,1,0),0)</f>
        <v>0</v>
      </c>
      <c r="AG241" s="57" t="n">
        <f aca="false">IF(AND(AA241=1,AB241=1),IF(COUNTIFS($J$17:J241,J241,$L$17:L241,L241,$AA$17:AA241,1,$AB$17:AB241,1)=1,1,0),0)</f>
        <v>0</v>
      </c>
      <c r="AH241" s="57" t="n">
        <f aca="false">IF(AND(AA241=1,AB241=1),IF(COUNTIFS($J$17:J241,J241,$K$17:K241,K241,$AA$17:AA241,1,$AB$17:AB241,1)=1,1,0),0)</f>
        <v>0</v>
      </c>
      <c r="AI241" s="56" t="n">
        <f aca="false">IF(V241=1,MAX(F241,0),0)</f>
        <v>3347000</v>
      </c>
      <c r="AJ241" s="56" t="n">
        <f aca="false">IF(V241=1,MIN(F241,0),0)</f>
        <v>0</v>
      </c>
    </row>
    <row r="242" customFormat="false" ht="40" hidden="false" customHeight="true" outlineLevel="0" collapsed="false">
      <c r="A242" s="66" t="n">
        <v>45923</v>
      </c>
      <c r="B242" s="54" t="str">
        <f aca="false">IF(M242="","",IF(P242="",M242,HYPERLINK(P242,M242)))</f>
        <v>GS35F337BA-49100421F0078</v>
      </c>
      <c r="C242" s="54" t="str">
        <f aca="false">IF(N242="","",IF(Q242="",N242,HYPERLINK(Q242,N242)))</f>
        <v>Civicactions, Inc.</v>
      </c>
      <c r="D242" s="60" t="s">
        <v>115</v>
      </c>
      <c r="E242" s="54" t="str">
        <f aca="false">IF(O242="","",IF(R242="",O242,HYPERLINK(R242,O242)))</f>
        <v>NSF — office not specified</v>
      </c>
      <c r="F242" s="62" t="n">
        <v>3615758.13</v>
      </c>
      <c r="G242" s="61" t="s">
        <v>464</v>
      </c>
      <c r="H242" s="58"/>
      <c r="I242" s="58" t="s">
        <v>693</v>
      </c>
      <c r="J242" s="58" t="s">
        <v>414</v>
      </c>
      <c r="K242" s="58" t="s">
        <v>113</v>
      </c>
      <c r="L242" s="58" t="s">
        <v>213</v>
      </c>
      <c r="M242" s="58" t="s">
        <v>415</v>
      </c>
      <c r="N242" s="58" t="s">
        <v>114</v>
      </c>
      <c r="O242" s="58" t="s">
        <v>214</v>
      </c>
      <c r="P242" s="58" t="s">
        <v>416</v>
      </c>
      <c r="Q242" s="58" t="s">
        <v>116</v>
      </c>
      <c r="R242" s="58" t="s">
        <v>215</v>
      </c>
      <c r="S242" s="57" t="n">
        <f aca="false">IF(ISNUMBER(A242),YEAR(A242)+IF(MONTH(A242)&gt;=10,1,0),"")</f>
        <v>2025</v>
      </c>
      <c r="T242" s="57" t="n">
        <f aca="false">IF(ISNUMBER(A242),INT(MOD(MONTH(A242)-10,12)/3)+1,"")</f>
        <v>4</v>
      </c>
      <c r="U242" s="57" t="str">
        <f aca="false">IF(AND(I242&lt;&gt;"",D242&lt;&gt;"",OR(COUNTIFS(TransactionsData[Vendor ID],K242,TransactionsData[UEI],"&lt;&gt;"&amp;D242,TransactionsData[UEI],"?*")&gt;0,COUNTIFS(VendorGroups[Record ID],K242,VendorGroups[Source UEI],"&lt;&gt;"&amp;D242,VendorGroups[Source UEI],"?*")&gt;0)),"Conflicting vendor UEIs",IF(I242="",IF(COUNTA(A242,D242,F242:R242)&gt;0,"Missing transaction ID",""),IF(COUNTIFS(TransactionsData[Transaction ID],I242)&lt;&gt;1,"Duplicate transaction ID",IF(OR(NOT(ISNUMBER(A242)),A242&lt;1,A242&gt;DATE(2099,1,1)),"Use a valid date",IF(OR(A242&lt;$B$4,A242&gt;$D$4),"Outside coverage",IF(NOT(ISNUMBER(F242)),"Missing or invalid amount",IF(OR(K242="",L242="",N242=""),"Add vendor and office identities",IF(G242="Exclude",IF(OR(F242&lt;&gt;0,H242=""),"Review nonzero or unexplained exclusion",""),IF(G242&lt;&gt;"Include","Choose Include or Exclude",IF(COUNTIFS(AwardsData[Award ID],J242)&lt;&gt;1,"Award link needs review",IF(INDEX(AwardsData[Input check],MATCH(J242,AwardsData[Award ID],0))&lt;&gt;"","Check award inputs","")))))))))))</f>
        <v/>
      </c>
      <c r="V242" s="57" t="n">
        <f aca="false">IF(AND(I242&lt;&gt;"",U242="",G242="Include"),1,0)</f>
        <v>1</v>
      </c>
      <c r="W242" s="57" t="str">
        <f aca="false">IF(I242="","",IF(COUNTIFS(AwardsData[Award ID],J242)=1,INDEX(AwardsData[Current award type],MATCH(J242,AwardsData[Award ID],0)),"Unlinked"))</f>
        <v>Delivery Order</v>
      </c>
      <c r="X242" s="57" t="str">
        <f aca="false">IF(I242="","",IF(COUNTIFS(AwardsData[Award ID],J242)=1,INDEX(AwardsData[Current set-aside],MATCH(J242,AwardsData[Award ID],0)),"Unlinked"))</f>
        <v>Total Small Business</v>
      </c>
      <c r="Y242" s="57" t="str">
        <f aca="false">IF(I242="","",IF(COUNTIFS(AwardsData[Award ID],J242)=1,INDEX(AwardsData[Performance state],MATCH(J242,AwardsData[Award ID],0)),"Unlinked"))</f>
        <v>California</v>
      </c>
      <c r="Z242" s="57" t="n">
        <f aca="false">IF(AND(V242=1,OR(Dashboard!$AB$2="All",K242=Dashboard!$AB$2),OR(Dashboard!$AB$3="All",L242=Dashboard!$AB$3),OR(Dashboard!$N$10="All",W242=Dashboard!$N$10)),1,0)</f>
        <v>1</v>
      </c>
      <c r="AA242" s="57" t="n">
        <f aca="false">IF(AND(Z242=1,OR(Dashboard!$B$7="All",S242=Dashboard!$B$7)),1,0)</f>
        <v>1</v>
      </c>
      <c r="AB242" s="57" t="n">
        <f aca="false">IF(AND(V242=1,F242&lt;&gt;0),1,0)</f>
        <v>1</v>
      </c>
      <c r="AC242" s="57" t="n">
        <f aca="false">IF(AND(AA242=1,AB242=1),IF(COUNTIFS($J$17:J242,J242,$AA$17:AA242,1,$AB$17:AB242,1)=1,1,0),0)</f>
        <v>0</v>
      </c>
      <c r="AD242" s="57" t="n">
        <f aca="false">IF(AND(AA242=1,AB242=1),IF(COUNTIFS($K$17:K242,K242,$AA$17:AA242,1,$AB$17:AB242,1)=1,1,0),0)</f>
        <v>0</v>
      </c>
      <c r="AE242" s="57" t="n">
        <f aca="false">IF(AND(Z242=1,AB242=1),IF(COUNTIFS($J$17:J242,J242,$S$17:S242,S242,$Z$17:Z242,1,$AB$17:AB242,1)=1,1,0),0)</f>
        <v>0</v>
      </c>
      <c r="AF242" s="57" t="n">
        <f aca="false">IF(AND(Z242=1,AB242=1),IF(COUNTIFS($K$17:K242,K242,$S$17:S242,S242,$Z$17:Z242,1,$AB$17:AB242,1)=1,1,0),0)</f>
        <v>0</v>
      </c>
      <c r="AG242" s="57" t="n">
        <f aca="false">IF(AND(AA242=1,AB242=1),IF(COUNTIFS($J$17:J242,J242,$L$17:L242,L242,$AA$17:AA242,1,$AB$17:AB242,1)=1,1,0),0)</f>
        <v>0</v>
      </c>
      <c r="AH242" s="57" t="n">
        <f aca="false">IF(AND(AA242=1,AB242=1),IF(COUNTIFS($J$17:J242,J242,$K$17:K242,K242,$AA$17:AA242,1,$AB$17:AB242,1)=1,1,0),0)</f>
        <v>0</v>
      </c>
      <c r="AI242" s="56" t="n">
        <f aca="false">IF(V242=1,MAX(F242,0),0)</f>
        <v>3615758.13</v>
      </c>
      <c r="AJ242" s="56" t="n">
        <f aca="false">IF(V242=1,MIN(F242,0),0)</f>
        <v>0</v>
      </c>
    </row>
    <row r="243" customFormat="false" ht="40" hidden="false" customHeight="true" outlineLevel="0" collapsed="false">
      <c r="A243" s="66"/>
      <c r="B243" s="54" t="str">
        <f aca="false">IF(M243="","",IF(P243="",M243,HYPERLINK(P243,M243)))</f>
        <v/>
      </c>
      <c r="C243" s="54" t="str">
        <f aca="false">IF(N243="","",IF(Q243="",N243,HYPERLINK(Q243,N243)))</f>
        <v/>
      </c>
      <c r="D243" s="60"/>
      <c r="E243" s="54" t="str">
        <f aca="false">IF(O243="","",IF(R243="",O243,HYPERLINK(R243,O243)))</f>
        <v/>
      </c>
      <c r="F243" s="62"/>
      <c r="G243" s="61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7" t="str">
        <f aca="false">IF(ISNUMBER(A243),YEAR(A243)+IF(MONTH(A243)&gt;=10,1,0),"")</f>
        <v/>
      </c>
      <c r="T243" s="57" t="str">
        <f aca="false">IF(ISNUMBER(A243),INT(MOD(MONTH(A243)-10,12)/3)+1,"")</f>
        <v/>
      </c>
      <c r="U243" s="57" t="str">
        <f aca="false">IF(AND(I243&lt;&gt;"",D243&lt;&gt;"",OR(COUNTIFS(TransactionsData[Vendor ID],K243,TransactionsData[UEI],"&lt;&gt;"&amp;D243,TransactionsData[UEI],"?*")&gt;0,COUNTIFS(VendorGroups[Record ID],K243,VendorGroups[Source UEI],"&lt;&gt;"&amp;D243,VendorGroups[Source UEI],"?*")&gt;0)),"Conflicting vendor UEIs",IF(I243="",IF(COUNTA(A243,D243,F243:R243)&gt;0,"Missing transaction ID",""),IF(COUNTIFS(TransactionsData[Transaction ID],I243)&lt;&gt;1,"Duplicate transaction ID",IF(OR(NOT(ISNUMBER(A243)),A243&lt;1,A243&gt;DATE(2099,1,1)),"Use a valid date",IF(OR(A243&lt;$B$4,A243&gt;$D$4),"Outside coverage",IF(NOT(ISNUMBER(F243)),"Missing or invalid amount",IF(OR(K243="",L243="",N243=""),"Add vendor and office identities",IF(G243="Exclude",IF(OR(F243&lt;&gt;0,H243=""),"Review nonzero or unexplained exclusion",""),IF(G243&lt;&gt;"Include","Choose Include or Exclude",IF(COUNTIFS(AwardsData[Award ID],J243)&lt;&gt;1,"Award link needs review",IF(INDEX(AwardsData[Input check],MATCH(J243,AwardsData[Award ID],0))&lt;&gt;"","Check award inputs","")))))))))))</f>
        <v/>
      </c>
      <c r="V243" s="57" t="n">
        <f aca="false">IF(AND(I243&lt;&gt;"",U243="",G243="Include"),1,0)</f>
        <v>0</v>
      </c>
      <c r="W243" s="57" t="str">
        <f aca="false">IF(I243="","",IF(COUNTIFS(AwardsData[Award ID],J243)=1,INDEX(AwardsData[Current award type],MATCH(J243,AwardsData[Award ID],0)),"Unlinked"))</f>
        <v/>
      </c>
      <c r="X243" s="57" t="str">
        <f aca="false">IF(I243="","",IF(COUNTIFS(AwardsData[Award ID],J243)=1,INDEX(AwardsData[Current set-aside],MATCH(J243,AwardsData[Award ID],0)),"Unlinked"))</f>
        <v/>
      </c>
      <c r="Y243" s="57" t="str">
        <f aca="false">IF(I243="","",IF(COUNTIFS(AwardsData[Award ID],J243)=1,INDEX(AwardsData[Performance state],MATCH(J243,AwardsData[Award ID],0)),"Unlinked"))</f>
        <v/>
      </c>
      <c r="Z243" s="57" t="n">
        <f aca="false">IF(AND(V243=1,OR(Dashboard!$AB$2="All",K243=Dashboard!$AB$2),OR(Dashboard!$AB$3="All",L243=Dashboard!$AB$3),OR(Dashboard!$N$10="All",W243=Dashboard!$N$10)),1,0)</f>
        <v>0</v>
      </c>
      <c r="AA243" s="57" t="n">
        <f aca="false">IF(AND(Z243=1,OR(Dashboard!$B$7="All",S243=Dashboard!$B$7)),1,0)</f>
        <v>0</v>
      </c>
      <c r="AB243" s="57" t="n">
        <f aca="false">IF(AND(V243=1,F243&lt;&gt;0),1,0)</f>
        <v>0</v>
      </c>
      <c r="AC243" s="57" t="n">
        <f aca="false">IF(AND(AA243=1,AB243=1),IF(COUNTIFS($J$17:J243,J243,$AA$17:AA243,1,$AB$17:AB243,1)=1,1,0),0)</f>
        <v>0</v>
      </c>
      <c r="AD243" s="57" t="n">
        <f aca="false">IF(AND(AA243=1,AB243=1),IF(COUNTIFS($K$17:K243,K243,$AA$17:AA243,1,$AB$17:AB243,1)=1,1,0),0)</f>
        <v>0</v>
      </c>
      <c r="AE243" s="57" t="n">
        <f aca="false">IF(AND(Z243=1,AB243=1),IF(COUNTIFS($J$17:J243,J243,$S$17:S243,S243,$Z$17:Z243,1,$AB$17:AB243,1)=1,1,0),0)</f>
        <v>0</v>
      </c>
      <c r="AF243" s="57" t="n">
        <f aca="false">IF(AND(Z243=1,AB243=1),IF(COUNTIFS($K$17:K243,K243,$S$17:S243,S243,$Z$17:Z243,1,$AB$17:AB243,1)=1,1,0),0)</f>
        <v>0</v>
      </c>
      <c r="AG243" s="57" t="n">
        <f aca="false">IF(AND(AA243=1,AB243=1),IF(COUNTIFS($J$17:J243,J243,$L$17:L243,L243,$AA$17:AA243,1,$AB$17:AB243,1)=1,1,0),0)</f>
        <v>0</v>
      </c>
      <c r="AH243" s="57" t="n">
        <f aca="false">IF(AND(AA243=1,AB243=1),IF(COUNTIFS($J$17:J243,J243,$K$17:K243,K243,$AA$17:AA243,1,$AB$17:AB243,1)=1,1,0),0)</f>
        <v>0</v>
      </c>
      <c r="AI243" s="56" t="n">
        <f aca="false">IF(V243=1,MAX(F243,0),0)</f>
        <v>0</v>
      </c>
      <c r="AJ243" s="56" t="n">
        <f aca="false">IF(V243=1,MIN(F243,0),0)</f>
        <v>0</v>
      </c>
    </row>
    <row r="244" customFormat="false" ht="40" hidden="false" customHeight="true" outlineLevel="0" collapsed="false">
      <c r="A244" s="66"/>
      <c r="B244" s="54" t="str">
        <f aca="false">IF(M244="","",IF(P244="",M244,HYPERLINK(P244,M244)))</f>
        <v/>
      </c>
      <c r="C244" s="54" t="str">
        <f aca="false">IF(N244="","",IF(Q244="",N244,HYPERLINK(Q244,N244)))</f>
        <v/>
      </c>
      <c r="D244" s="60"/>
      <c r="E244" s="54" t="str">
        <f aca="false">IF(O244="","",IF(R244="",O244,HYPERLINK(R244,O244)))</f>
        <v/>
      </c>
      <c r="F244" s="62"/>
      <c r="G244" s="61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7" t="str">
        <f aca="false">IF(ISNUMBER(A244),YEAR(A244)+IF(MONTH(A244)&gt;=10,1,0),"")</f>
        <v/>
      </c>
      <c r="T244" s="57" t="str">
        <f aca="false">IF(ISNUMBER(A244),INT(MOD(MONTH(A244)-10,12)/3)+1,"")</f>
        <v/>
      </c>
      <c r="U244" s="57" t="str">
        <f aca="false">IF(AND(I244&lt;&gt;"",D244&lt;&gt;"",OR(COUNTIFS(TransactionsData[Vendor ID],K244,TransactionsData[UEI],"&lt;&gt;"&amp;D244,TransactionsData[UEI],"?*")&gt;0,COUNTIFS(VendorGroups[Record ID],K244,VendorGroups[Source UEI],"&lt;&gt;"&amp;D244,VendorGroups[Source UEI],"?*")&gt;0)),"Conflicting vendor UEIs",IF(I244="",IF(COUNTA(A244,D244,F244:R244)&gt;0,"Missing transaction ID",""),IF(COUNTIFS(TransactionsData[Transaction ID],I244)&lt;&gt;1,"Duplicate transaction ID",IF(OR(NOT(ISNUMBER(A244)),A244&lt;1,A244&gt;DATE(2099,1,1)),"Use a valid date",IF(OR(A244&lt;$B$4,A244&gt;$D$4),"Outside coverage",IF(NOT(ISNUMBER(F244)),"Missing or invalid amount",IF(OR(K244="",L244="",N244=""),"Add vendor and office identities",IF(G244="Exclude",IF(OR(F244&lt;&gt;0,H244=""),"Review nonzero or unexplained exclusion",""),IF(G244&lt;&gt;"Include","Choose Include or Exclude",IF(COUNTIFS(AwardsData[Award ID],J244)&lt;&gt;1,"Award link needs review",IF(INDEX(AwardsData[Input check],MATCH(J244,AwardsData[Award ID],0))&lt;&gt;"","Check award inputs","")))))))))))</f>
        <v/>
      </c>
      <c r="V244" s="57" t="n">
        <f aca="false">IF(AND(I244&lt;&gt;"",U244="",G244="Include"),1,0)</f>
        <v>0</v>
      </c>
      <c r="W244" s="57" t="str">
        <f aca="false">IF(I244="","",IF(COUNTIFS(AwardsData[Award ID],J244)=1,INDEX(AwardsData[Current award type],MATCH(J244,AwardsData[Award ID],0)),"Unlinked"))</f>
        <v/>
      </c>
      <c r="X244" s="57" t="str">
        <f aca="false">IF(I244="","",IF(COUNTIFS(AwardsData[Award ID],J244)=1,INDEX(AwardsData[Current set-aside],MATCH(J244,AwardsData[Award ID],0)),"Unlinked"))</f>
        <v/>
      </c>
      <c r="Y244" s="57" t="str">
        <f aca="false">IF(I244="","",IF(COUNTIFS(AwardsData[Award ID],J244)=1,INDEX(AwardsData[Performance state],MATCH(J244,AwardsData[Award ID],0)),"Unlinked"))</f>
        <v/>
      </c>
      <c r="Z244" s="57" t="n">
        <f aca="false">IF(AND(V244=1,OR(Dashboard!$AB$2="All",K244=Dashboard!$AB$2),OR(Dashboard!$AB$3="All",L244=Dashboard!$AB$3),OR(Dashboard!$N$10="All",W244=Dashboard!$N$10)),1,0)</f>
        <v>0</v>
      </c>
      <c r="AA244" s="57" t="n">
        <f aca="false">IF(AND(Z244=1,OR(Dashboard!$B$7="All",S244=Dashboard!$B$7)),1,0)</f>
        <v>0</v>
      </c>
      <c r="AB244" s="57" t="n">
        <f aca="false">IF(AND(V244=1,F244&lt;&gt;0),1,0)</f>
        <v>0</v>
      </c>
      <c r="AC244" s="57" t="n">
        <f aca="false">IF(AND(AA244=1,AB244=1),IF(COUNTIFS($J$17:J244,J244,$AA$17:AA244,1,$AB$17:AB244,1)=1,1,0),0)</f>
        <v>0</v>
      </c>
      <c r="AD244" s="57" t="n">
        <f aca="false">IF(AND(AA244=1,AB244=1),IF(COUNTIFS($K$17:K244,K244,$AA$17:AA244,1,$AB$17:AB244,1)=1,1,0),0)</f>
        <v>0</v>
      </c>
      <c r="AE244" s="57" t="n">
        <f aca="false">IF(AND(Z244=1,AB244=1),IF(COUNTIFS($J$17:J244,J244,$S$17:S244,S244,$Z$17:Z244,1,$AB$17:AB244,1)=1,1,0),0)</f>
        <v>0</v>
      </c>
      <c r="AF244" s="57" t="n">
        <f aca="false">IF(AND(Z244=1,AB244=1),IF(COUNTIFS($K$17:K244,K244,$S$17:S244,S244,$Z$17:Z244,1,$AB$17:AB244,1)=1,1,0),0)</f>
        <v>0</v>
      </c>
      <c r="AG244" s="57" t="n">
        <f aca="false">IF(AND(AA244=1,AB244=1),IF(COUNTIFS($J$17:J244,J244,$L$17:L244,L244,$AA$17:AA244,1,$AB$17:AB244,1)=1,1,0),0)</f>
        <v>0</v>
      </c>
      <c r="AH244" s="57" t="n">
        <f aca="false">IF(AND(AA244=1,AB244=1),IF(COUNTIFS($J$17:J244,J244,$K$17:K244,K244,$AA$17:AA244,1,$AB$17:AB244,1)=1,1,0),0)</f>
        <v>0</v>
      </c>
      <c r="AI244" s="56" t="n">
        <f aca="false">IF(V244=1,MAX(F244,0),0)</f>
        <v>0</v>
      </c>
      <c r="AJ244" s="56" t="n">
        <f aca="false">IF(V244=1,MIN(F244,0),0)</f>
        <v>0</v>
      </c>
    </row>
    <row r="245" customFormat="false" ht="40" hidden="false" customHeight="true" outlineLevel="0" collapsed="false">
      <c r="A245" s="66"/>
      <c r="B245" s="54" t="str">
        <f aca="false">IF(M245="","",IF(P245="",M245,HYPERLINK(P245,M245)))</f>
        <v/>
      </c>
      <c r="C245" s="54" t="str">
        <f aca="false">IF(N245="","",IF(Q245="",N245,HYPERLINK(Q245,N245)))</f>
        <v/>
      </c>
      <c r="D245" s="60"/>
      <c r="E245" s="54" t="str">
        <f aca="false">IF(O245="","",IF(R245="",O245,HYPERLINK(R245,O245)))</f>
        <v/>
      </c>
      <c r="F245" s="62"/>
      <c r="G245" s="61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7" t="str">
        <f aca="false">IF(ISNUMBER(A245),YEAR(A245)+IF(MONTH(A245)&gt;=10,1,0),"")</f>
        <v/>
      </c>
      <c r="T245" s="57" t="str">
        <f aca="false">IF(ISNUMBER(A245),INT(MOD(MONTH(A245)-10,12)/3)+1,"")</f>
        <v/>
      </c>
      <c r="U245" s="57" t="str">
        <f aca="false">IF(AND(I245&lt;&gt;"",D245&lt;&gt;"",OR(COUNTIFS(TransactionsData[Vendor ID],K245,TransactionsData[UEI],"&lt;&gt;"&amp;D245,TransactionsData[UEI],"?*")&gt;0,COUNTIFS(VendorGroups[Record ID],K245,VendorGroups[Source UEI],"&lt;&gt;"&amp;D245,VendorGroups[Source UEI],"?*")&gt;0)),"Conflicting vendor UEIs",IF(I245="",IF(COUNTA(A245,D245,F245:R245)&gt;0,"Missing transaction ID",""),IF(COUNTIFS(TransactionsData[Transaction ID],I245)&lt;&gt;1,"Duplicate transaction ID",IF(OR(NOT(ISNUMBER(A245)),A245&lt;1,A245&gt;DATE(2099,1,1)),"Use a valid date",IF(OR(A245&lt;$B$4,A245&gt;$D$4),"Outside coverage",IF(NOT(ISNUMBER(F245)),"Missing or invalid amount",IF(OR(K245="",L245="",N245=""),"Add vendor and office identities",IF(G245="Exclude",IF(OR(F245&lt;&gt;0,H245=""),"Review nonzero or unexplained exclusion",""),IF(G245&lt;&gt;"Include","Choose Include or Exclude",IF(COUNTIFS(AwardsData[Award ID],J245)&lt;&gt;1,"Award link needs review",IF(INDEX(AwardsData[Input check],MATCH(J245,AwardsData[Award ID],0))&lt;&gt;"","Check award inputs","")))))))))))</f>
        <v/>
      </c>
      <c r="V245" s="57" t="n">
        <f aca="false">IF(AND(I245&lt;&gt;"",U245="",G245="Include"),1,0)</f>
        <v>0</v>
      </c>
      <c r="W245" s="57" t="str">
        <f aca="false">IF(I245="","",IF(COUNTIFS(AwardsData[Award ID],J245)=1,INDEX(AwardsData[Current award type],MATCH(J245,AwardsData[Award ID],0)),"Unlinked"))</f>
        <v/>
      </c>
      <c r="X245" s="57" t="str">
        <f aca="false">IF(I245="","",IF(COUNTIFS(AwardsData[Award ID],J245)=1,INDEX(AwardsData[Current set-aside],MATCH(J245,AwardsData[Award ID],0)),"Unlinked"))</f>
        <v/>
      </c>
      <c r="Y245" s="57" t="str">
        <f aca="false">IF(I245="","",IF(COUNTIFS(AwardsData[Award ID],J245)=1,INDEX(AwardsData[Performance state],MATCH(J245,AwardsData[Award ID],0)),"Unlinked"))</f>
        <v/>
      </c>
      <c r="Z245" s="57" t="n">
        <f aca="false">IF(AND(V245=1,OR(Dashboard!$AB$2="All",K245=Dashboard!$AB$2),OR(Dashboard!$AB$3="All",L245=Dashboard!$AB$3),OR(Dashboard!$N$10="All",W245=Dashboard!$N$10)),1,0)</f>
        <v>0</v>
      </c>
      <c r="AA245" s="57" t="n">
        <f aca="false">IF(AND(Z245=1,OR(Dashboard!$B$7="All",S245=Dashboard!$B$7)),1,0)</f>
        <v>0</v>
      </c>
      <c r="AB245" s="57" t="n">
        <f aca="false">IF(AND(V245=1,F245&lt;&gt;0),1,0)</f>
        <v>0</v>
      </c>
      <c r="AC245" s="57" t="n">
        <f aca="false">IF(AND(AA245=1,AB245=1),IF(COUNTIFS($J$17:J245,J245,$AA$17:AA245,1,$AB$17:AB245,1)=1,1,0),0)</f>
        <v>0</v>
      </c>
      <c r="AD245" s="57" t="n">
        <f aca="false">IF(AND(AA245=1,AB245=1),IF(COUNTIFS($K$17:K245,K245,$AA$17:AA245,1,$AB$17:AB245,1)=1,1,0),0)</f>
        <v>0</v>
      </c>
      <c r="AE245" s="57" t="n">
        <f aca="false">IF(AND(Z245=1,AB245=1),IF(COUNTIFS($J$17:J245,J245,$S$17:S245,S245,$Z$17:Z245,1,$AB$17:AB245,1)=1,1,0),0)</f>
        <v>0</v>
      </c>
      <c r="AF245" s="57" t="n">
        <f aca="false">IF(AND(Z245=1,AB245=1),IF(COUNTIFS($K$17:K245,K245,$S$17:S245,S245,$Z$17:Z245,1,$AB$17:AB245,1)=1,1,0),0)</f>
        <v>0</v>
      </c>
      <c r="AG245" s="57" t="n">
        <f aca="false">IF(AND(AA245=1,AB245=1),IF(COUNTIFS($J$17:J245,J245,$L$17:L245,L245,$AA$17:AA245,1,$AB$17:AB245,1)=1,1,0),0)</f>
        <v>0</v>
      </c>
      <c r="AH245" s="57" t="n">
        <f aca="false">IF(AND(AA245=1,AB245=1),IF(COUNTIFS($J$17:J245,J245,$K$17:K245,K245,$AA$17:AA245,1,$AB$17:AB245,1)=1,1,0),0)</f>
        <v>0</v>
      </c>
      <c r="AI245" s="56" t="n">
        <f aca="false">IF(V245=1,MAX(F245,0),0)</f>
        <v>0</v>
      </c>
      <c r="AJ245" s="56" t="n">
        <f aca="false">IF(V245=1,MIN(F245,0),0)</f>
        <v>0</v>
      </c>
    </row>
    <row r="246" customFormat="false" ht="40" hidden="false" customHeight="true" outlineLevel="0" collapsed="false">
      <c r="A246" s="66"/>
      <c r="B246" s="54" t="str">
        <f aca="false">IF(M246="","",IF(P246="",M246,HYPERLINK(P246,M246)))</f>
        <v/>
      </c>
      <c r="C246" s="54" t="str">
        <f aca="false">IF(N246="","",IF(Q246="",N246,HYPERLINK(Q246,N246)))</f>
        <v/>
      </c>
      <c r="D246" s="60"/>
      <c r="E246" s="54" t="str">
        <f aca="false">IF(O246="","",IF(R246="",O246,HYPERLINK(R246,O246)))</f>
        <v/>
      </c>
      <c r="F246" s="62"/>
      <c r="G246" s="61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7" t="str">
        <f aca="false">IF(ISNUMBER(A246),YEAR(A246)+IF(MONTH(A246)&gt;=10,1,0),"")</f>
        <v/>
      </c>
      <c r="T246" s="57" t="str">
        <f aca="false">IF(ISNUMBER(A246),INT(MOD(MONTH(A246)-10,12)/3)+1,"")</f>
        <v/>
      </c>
      <c r="U246" s="57" t="str">
        <f aca="false">IF(AND(I246&lt;&gt;"",D246&lt;&gt;"",OR(COUNTIFS(TransactionsData[Vendor ID],K246,TransactionsData[UEI],"&lt;&gt;"&amp;D246,TransactionsData[UEI],"?*")&gt;0,COUNTIFS(VendorGroups[Record ID],K246,VendorGroups[Source UEI],"&lt;&gt;"&amp;D246,VendorGroups[Source UEI],"?*")&gt;0)),"Conflicting vendor UEIs",IF(I246="",IF(COUNTA(A246,D246,F246:R246)&gt;0,"Missing transaction ID",""),IF(COUNTIFS(TransactionsData[Transaction ID],I246)&lt;&gt;1,"Duplicate transaction ID",IF(OR(NOT(ISNUMBER(A246)),A246&lt;1,A246&gt;DATE(2099,1,1)),"Use a valid date",IF(OR(A246&lt;$B$4,A246&gt;$D$4),"Outside coverage",IF(NOT(ISNUMBER(F246)),"Missing or invalid amount",IF(OR(K246="",L246="",N246=""),"Add vendor and office identities",IF(G246="Exclude",IF(OR(F246&lt;&gt;0,H246=""),"Review nonzero or unexplained exclusion",""),IF(G246&lt;&gt;"Include","Choose Include or Exclude",IF(COUNTIFS(AwardsData[Award ID],J246)&lt;&gt;1,"Award link needs review",IF(INDEX(AwardsData[Input check],MATCH(J246,AwardsData[Award ID],0))&lt;&gt;"","Check award inputs","")))))))))))</f>
        <v/>
      </c>
      <c r="V246" s="57" t="n">
        <f aca="false">IF(AND(I246&lt;&gt;"",U246="",G246="Include"),1,0)</f>
        <v>0</v>
      </c>
      <c r="W246" s="57" t="str">
        <f aca="false">IF(I246="","",IF(COUNTIFS(AwardsData[Award ID],J246)=1,INDEX(AwardsData[Current award type],MATCH(J246,AwardsData[Award ID],0)),"Unlinked"))</f>
        <v/>
      </c>
      <c r="X246" s="57" t="str">
        <f aca="false">IF(I246="","",IF(COUNTIFS(AwardsData[Award ID],J246)=1,INDEX(AwardsData[Current set-aside],MATCH(J246,AwardsData[Award ID],0)),"Unlinked"))</f>
        <v/>
      </c>
      <c r="Y246" s="57" t="str">
        <f aca="false">IF(I246="","",IF(COUNTIFS(AwardsData[Award ID],J246)=1,INDEX(AwardsData[Performance state],MATCH(J246,AwardsData[Award ID],0)),"Unlinked"))</f>
        <v/>
      </c>
      <c r="Z246" s="57" t="n">
        <f aca="false">IF(AND(V246=1,OR(Dashboard!$AB$2="All",K246=Dashboard!$AB$2),OR(Dashboard!$AB$3="All",L246=Dashboard!$AB$3),OR(Dashboard!$N$10="All",W246=Dashboard!$N$10)),1,0)</f>
        <v>0</v>
      </c>
      <c r="AA246" s="57" t="n">
        <f aca="false">IF(AND(Z246=1,OR(Dashboard!$B$7="All",S246=Dashboard!$B$7)),1,0)</f>
        <v>0</v>
      </c>
      <c r="AB246" s="57" t="n">
        <f aca="false">IF(AND(V246=1,F246&lt;&gt;0),1,0)</f>
        <v>0</v>
      </c>
      <c r="AC246" s="57" t="n">
        <f aca="false">IF(AND(AA246=1,AB246=1),IF(COUNTIFS($J$17:J246,J246,$AA$17:AA246,1,$AB$17:AB246,1)=1,1,0),0)</f>
        <v>0</v>
      </c>
      <c r="AD246" s="57" t="n">
        <f aca="false">IF(AND(AA246=1,AB246=1),IF(COUNTIFS($K$17:K246,K246,$AA$17:AA246,1,$AB$17:AB246,1)=1,1,0),0)</f>
        <v>0</v>
      </c>
      <c r="AE246" s="57" t="n">
        <f aca="false">IF(AND(Z246=1,AB246=1),IF(COUNTIFS($J$17:J246,J246,$S$17:S246,S246,$Z$17:Z246,1,$AB$17:AB246,1)=1,1,0),0)</f>
        <v>0</v>
      </c>
      <c r="AF246" s="57" t="n">
        <f aca="false">IF(AND(Z246=1,AB246=1),IF(COUNTIFS($K$17:K246,K246,$S$17:S246,S246,$Z$17:Z246,1,$AB$17:AB246,1)=1,1,0),0)</f>
        <v>0</v>
      </c>
      <c r="AG246" s="57" t="n">
        <f aca="false">IF(AND(AA246=1,AB246=1),IF(COUNTIFS($J$17:J246,J246,$L$17:L246,L246,$AA$17:AA246,1,$AB$17:AB246,1)=1,1,0),0)</f>
        <v>0</v>
      </c>
      <c r="AH246" s="57" t="n">
        <f aca="false">IF(AND(AA246=1,AB246=1),IF(COUNTIFS($J$17:J246,J246,$K$17:K246,K246,$AA$17:AA246,1,$AB$17:AB246,1)=1,1,0),0)</f>
        <v>0</v>
      </c>
      <c r="AI246" s="56" t="n">
        <f aca="false">IF(V246=1,MAX(F246,0),0)</f>
        <v>0</v>
      </c>
      <c r="AJ246" s="56" t="n">
        <f aca="false">IF(V246=1,MIN(F246,0),0)</f>
        <v>0</v>
      </c>
    </row>
    <row r="247" customFormat="false" ht="40" hidden="false" customHeight="true" outlineLevel="0" collapsed="false">
      <c r="A247" s="66"/>
      <c r="B247" s="54" t="str">
        <f aca="false">IF(M247="","",IF(P247="",M247,HYPERLINK(P247,M247)))</f>
        <v/>
      </c>
      <c r="C247" s="54" t="str">
        <f aca="false">IF(N247="","",IF(Q247="",N247,HYPERLINK(Q247,N247)))</f>
        <v/>
      </c>
      <c r="D247" s="60"/>
      <c r="E247" s="54" t="str">
        <f aca="false">IF(O247="","",IF(R247="",O247,HYPERLINK(R247,O247)))</f>
        <v/>
      </c>
      <c r="F247" s="62"/>
      <c r="G247" s="61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7" t="str">
        <f aca="false">IF(ISNUMBER(A247),YEAR(A247)+IF(MONTH(A247)&gt;=10,1,0),"")</f>
        <v/>
      </c>
      <c r="T247" s="57" t="str">
        <f aca="false">IF(ISNUMBER(A247),INT(MOD(MONTH(A247)-10,12)/3)+1,"")</f>
        <v/>
      </c>
      <c r="U247" s="57" t="str">
        <f aca="false">IF(AND(I247&lt;&gt;"",D247&lt;&gt;"",OR(COUNTIFS(TransactionsData[Vendor ID],K247,TransactionsData[UEI],"&lt;&gt;"&amp;D247,TransactionsData[UEI],"?*")&gt;0,COUNTIFS(VendorGroups[Record ID],K247,VendorGroups[Source UEI],"&lt;&gt;"&amp;D247,VendorGroups[Source UEI],"?*")&gt;0)),"Conflicting vendor UEIs",IF(I247="",IF(COUNTA(A247,D247,F247:R247)&gt;0,"Missing transaction ID",""),IF(COUNTIFS(TransactionsData[Transaction ID],I247)&lt;&gt;1,"Duplicate transaction ID",IF(OR(NOT(ISNUMBER(A247)),A247&lt;1,A247&gt;DATE(2099,1,1)),"Use a valid date",IF(OR(A247&lt;$B$4,A247&gt;$D$4),"Outside coverage",IF(NOT(ISNUMBER(F247)),"Missing or invalid amount",IF(OR(K247="",L247="",N247=""),"Add vendor and office identities",IF(G247="Exclude",IF(OR(F247&lt;&gt;0,H247=""),"Review nonzero or unexplained exclusion",""),IF(G247&lt;&gt;"Include","Choose Include or Exclude",IF(COUNTIFS(AwardsData[Award ID],J247)&lt;&gt;1,"Award link needs review",IF(INDEX(AwardsData[Input check],MATCH(J247,AwardsData[Award ID],0))&lt;&gt;"","Check award inputs","")))))))))))</f>
        <v/>
      </c>
      <c r="V247" s="57" t="n">
        <f aca="false">IF(AND(I247&lt;&gt;"",U247="",G247="Include"),1,0)</f>
        <v>0</v>
      </c>
      <c r="W247" s="57" t="str">
        <f aca="false">IF(I247="","",IF(COUNTIFS(AwardsData[Award ID],J247)=1,INDEX(AwardsData[Current award type],MATCH(J247,AwardsData[Award ID],0)),"Unlinked"))</f>
        <v/>
      </c>
      <c r="X247" s="57" t="str">
        <f aca="false">IF(I247="","",IF(COUNTIFS(AwardsData[Award ID],J247)=1,INDEX(AwardsData[Current set-aside],MATCH(J247,AwardsData[Award ID],0)),"Unlinked"))</f>
        <v/>
      </c>
      <c r="Y247" s="57" t="str">
        <f aca="false">IF(I247="","",IF(COUNTIFS(AwardsData[Award ID],J247)=1,INDEX(AwardsData[Performance state],MATCH(J247,AwardsData[Award ID],0)),"Unlinked"))</f>
        <v/>
      </c>
      <c r="Z247" s="57" t="n">
        <f aca="false">IF(AND(V247=1,OR(Dashboard!$AB$2="All",K247=Dashboard!$AB$2),OR(Dashboard!$AB$3="All",L247=Dashboard!$AB$3),OR(Dashboard!$N$10="All",W247=Dashboard!$N$10)),1,0)</f>
        <v>0</v>
      </c>
      <c r="AA247" s="57" t="n">
        <f aca="false">IF(AND(Z247=1,OR(Dashboard!$B$7="All",S247=Dashboard!$B$7)),1,0)</f>
        <v>0</v>
      </c>
      <c r="AB247" s="57" t="n">
        <f aca="false">IF(AND(V247=1,F247&lt;&gt;0),1,0)</f>
        <v>0</v>
      </c>
      <c r="AC247" s="57" t="n">
        <f aca="false">IF(AND(AA247=1,AB247=1),IF(COUNTIFS($J$17:J247,J247,$AA$17:AA247,1,$AB$17:AB247,1)=1,1,0),0)</f>
        <v>0</v>
      </c>
      <c r="AD247" s="57" t="n">
        <f aca="false">IF(AND(AA247=1,AB247=1),IF(COUNTIFS($K$17:K247,K247,$AA$17:AA247,1,$AB$17:AB247,1)=1,1,0),0)</f>
        <v>0</v>
      </c>
      <c r="AE247" s="57" t="n">
        <f aca="false">IF(AND(Z247=1,AB247=1),IF(COUNTIFS($J$17:J247,J247,$S$17:S247,S247,$Z$17:Z247,1,$AB$17:AB247,1)=1,1,0),0)</f>
        <v>0</v>
      </c>
      <c r="AF247" s="57" t="n">
        <f aca="false">IF(AND(Z247=1,AB247=1),IF(COUNTIFS($K$17:K247,K247,$S$17:S247,S247,$Z$17:Z247,1,$AB$17:AB247,1)=1,1,0),0)</f>
        <v>0</v>
      </c>
      <c r="AG247" s="57" t="n">
        <f aca="false">IF(AND(AA247=1,AB247=1),IF(COUNTIFS($J$17:J247,J247,$L$17:L247,L247,$AA$17:AA247,1,$AB$17:AB247,1)=1,1,0),0)</f>
        <v>0</v>
      </c>
      <c r="AH247" s="57" t="n">
        <f aca="false">IF(AND(AA247=1,AB247=1),IF(COUNTIFS($J$17:J247,J247,$K$17:K247,K247,$AA$17:AA247,1,$AB$17:AB247,1)=1,1,0),0)</f>
        <v>0</v>
      </c>
      <c r="AI247" s="56" t="n">
        <f aca="false">IF(V247=1,MAX(F247,0),0)</f>
        <v>0</v>
      </c>
      <c r="AJ247" s="56" t="n">
        <f aca="false">IF(V247=1,MIN(F247,0),0)</f>
        <v>0</v>
      </c>
    </row>
    <row r="248" customFormat="false" ht="40" hidden="false" customHeight="true" outlineLevel="0" collapsed="false">
      <c r="A248" s="66"/>
      <c r="B248" s="54" t="str">
        <f aca="false">IF(M248="","",IF(P248="",M248,HYPERLINK(P248,M248)))</f>
        <v/>
      </c>
      <c r="C248" s="54" t="str">
        <f aca="false">IF(N248="","",IF(Q248="",N248,HYPERLINK(Q248,N248)))</f>
        <v/>
      </c>
      <c r="D248" s="60"/>
      <c r="E248" s="54" t="str">
        <f aca="false">IF(O248="","",IF(R248="",O248,HYPERLINK(R248,O248)))</f>
        <v/>
      </c>
      <c r="F248" s="62"/>
      <c r="G248" s="61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7" t="str">
        <f aca="false">IF(ISNUMBER(A248),YEAR(A248)+IF(MONTH(A248)&gt;=10,1,0),"")</f>
        <v/>
      </c>
      <c r="T248" s="57" t="str">
        <f aca="false">IF(ISNUMBER(A248),INT(MOD(MONTH(A248)-10,12)/3)+1,"")</f>
        <v/>
      </c>
      <c r="U248" s="57" t="str">
        <f aca="false">IF(AND(I248&lt;&gt;"",D248&lt;&gt;"",OR(COUNTIFS(TransactionsData[Vendor ID],K248,TransactionsData[UEI],"&lt;&gt;"&amp;D248,TransactionsData[UEI],"?*")&gt;0,COUNTIFS(VendorGroups[Record ID],K248,VendorGroups[Source UEI],"&lt;&gt;"&amp;D248,VendorGroups[Source UEI],"?*")&gt;0)),"Conflicting vendor UEIs",IF(I248="",IF(COUNTA(A248,D248,F248:R248)&gt;0,"Missing transaction ID",""),IF(COUNTIFS(TransactionsData[Transaction ID],I248)&lt;&gt;1,"Duplicate transaction ID",IF(OR(NOT(ISNUMBER(A248)),A248&lt;1,A248&gt;DATE(2099,1,1)),"Use a valid date",IF(OR(A248&lt;$B$4,A248&gt;$D$4),"Outside coverage",IF(NOT(ISNUMBER(F248)),"Missing or invalid amount",IF(OR(K248="",L248="",N248=""),"Add vendor and office identities",IF(G248="Exclude",IF(OR(F248&lt;&gt;0,H248=""),"Review nonzero or unexplained exclusion",""),IF(G248&lt;&gt;"Include","Choose Include or Exclude",IF(COUNTIFS(AwardsData[Award ID],J248)&lt;&gt;1,"Award link needs review",IF(INDEX(AwardsData[Input check],MATCH(J248,AwardsData[Award ID],0))&lt;&gt;"","Check award inputs","")))))))))))</f>
        <v/>
      </c>
      <c r="V248" s="57" t="n">
        <f aca="false">IF(AND(I248&lt;&gt;"",U248="",G248="Include"),1,0)</f>
        <v>0</v>
      </c>
      <c r="W248" s="57" t="str">
        <f aca="false">IF(I248="","",IF(COUNTIFS(AwardsData[Award ID],J248)=1,INDEX(AwardsData[Current award type],MATCH(J248,AwardsData[Award ID],0)),"Unlinked"))</f>
        <v/>
      </c>
      <c r="X248" s="57" t="str">
        <f aca="false">IF(I248="","",IF(COUNTIFS(AwardsData[Award ID],J248)=1,INDEX(AwardsData[Current set-aside],MATCH(J248,AwardsData[Award ID],0)),"Unlinked"))</f>
        <v/>
      </c>
      <c r="Y248" s="57" t="str">
        <f aca="false">IF(I248="","",IF(COUNTIFS(AwardsData[Award ID],J248)=1,INDEX(AwardsData[Performance state],MATCH(J248,AwardsData[Award ID],0)),"Unlinked"))</f>
        <v/>
      </c>
      <c r="Z248" s="57" t="n">
        <f aca="false">IF(AND(V248=1,OR(Dashboard!$AB$2="All",K248=Dashboard!$AB$2),OR(Dashboard!$AB$3="All",L248=Dashboard!$AB$3),OR(Dashboard!$N$10="All",W248=Dashboard!$N$10)),1,0)</f>
        <v>0</v>
      </c>
      <c r="AA248" s="57" t="n">
        <f aca="false">IF(AND(Z248=1,OR(Dashboard!$B$7="All",S248=Dashboard!$B$7)),1,0)</f>
        <v>0</v>
      </c>
      <c r="AB248" s="57" t="n">
        <f aca="false">IF(AND(V248=1,F248&lt;&gt;0),1,0)</f>
        <v>0</v>
      </c>
      <c r="AC248" s="57" t="n">
        <f aca="false">IF(AND(AA248=1,AB248=1),IF(COUNTIFS($J$17:J248,J248,$AA$17:AA248,1,$AB$17:AB248,1)=1,1,0),0)</f>
        <v>0</v>
      </c>
      <c r="AD248" s="57" t="n">
        <f aca="false">IF(AND(AA248=1,AB248=1),IF(COUNTIFS($K$17:K248,K248,$AA$17:AA248,1,$AB$17:AB248,1)=1,1,0),0)</f>
        <v>0</v>
      </c>
      <c r="AE248" s="57" t="n">
        <f aca="false">IF(AND(Z248=1,AB248=1),IF(COUNTIFS($J$17:J248,J248,$S$17:S248,S248,$Z$17:Z248,1,$AB$17:AB248,1)=1,1,0),0)</f>
        <v>0</v>
      </c>
      <c r="AF248" s="57" t="n">
        <f aca="false">IF(AND(Z248=1,AB248=1),IF(COUNTIFS($K$17:K248,K248,$S$17:S248,S248,$Z$17:Z248,1,$AB$17:AB248,1)=1,1,0),0)</f>
        <v>0</v>
      </c>
      <c r="AG248" s="57" t="n">
        <f aca="false">IF(AND(AA248=1,AB248=1),IF(COUNTIFS($J$17:J248,J248,$L$17:L248,L248,$AA$17:AA248,1,$AB$17:AB248,1)=1,1,0),0)</f>
        <v>0</v>
      </c>
      <c r="AH248" s="57" t="n">
        <f aca="false">IF(AND(AA248=1,AB248=1),IF(COUNTIFS($J$17:J248,J248,$K$17:K248,K248,$AA$17:AA248,1,$AB$17:AB248,1)=1,1,0),0)</f>
        <v>0</v>
      </c>
      <c r="AI248" s="56" t="n">
        <f aca="false">IF(V248=1,MAX(F248,0),0)</f>
        <v>0</v>
      </c>
      <c r="AJ248" s="56" t="n">
        <f aca="false">IF(V248=1,MIN(F248,0),0)</f>
        <v>0</v>
      </c>
    </row>
    <row r="249" customFormat="false" ht="40" hidden="false" customHeight="true" outlineLevel="0" collapsed="false">
      <c r="A249" s="66"/>
      <c r="B249" s="54" t="str">
        <f aca="false">IF(M249="","",IF(P249="",M249,HYPERLINK(P249,M249)))</f>
        <v/>
      </c>
      <c r="C249" s="54" t="str">
        <f aca="false">IF(N249="","",IF(Q249="",N249,HYPERLINK(Q249,N249)))</f>
        <v/>
      </c>
      <c r="D249" s="60"/>
      <c r="E249" s="54" t="str">
        <f aca="false">IF(O249="","",IF(R249="",O249,HYPERLINK(R249,O249)))</f>
        <v/>
      </c>
      <c r="F249" s="62"/>
      <c r="G249" s="61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7" t="str">
        <f aca="false">IF(ISNUMBER(A249),YEAR(A249)+IF(MONTH(A249)&gt;=10,1,0),"")</f>
        <v/>
      </c>
      <c r="T249" s="57" t="str">
        <f aca="false">IF(ISNUMBER(A249),INT(MOD(MONTH(A249)-10,12)/3)+1,"")</f>
        <v/>
      </c>
      <c r="U249" s="57" t="str">
        <f aca="false">IF(AND(I249&lt;&gt;"",D249&lt;&gt;"",OR(COUNTIFS(TransactionsData[Vendor ID],K249,TransactionsData[UEI],"&lt;&gt;"&amp;D249,TransactionsData[UEI],"?*")&gt;0,COUNTIFS(VendorGroups[Record ID],K249,VendorGroups[Source UEI],"&lt;&gt;"&amp;D249,VendorGroups[Source UEI],"?*")&gt;0)),"Conflicting vendor UEIs",IF(I249="",IF(COUNTA(A249,D249,F249:R249)&gt;0,"Missing transaction ID",""),IF(COUNTIFS(TransactionsData[Transaction ID],I249)&lt;&gt;1,"Duplicate transaction ID",IF(OR(NOT(ISNUMBER(A249)),A249&lt;1,A249&gt;DATE(2099,1,1)),"Use a valid date",IF(OR(A249&lt;$B$4,A249&gt;$D$4),"Outside coverage",IF(NOT(ISNUMBER(F249)),"Missing or invalid amount",IF(OR(K249="",L249="",N249=""),"Add vendor and office identities",IF(G249="Exclude",IF(OR(F249&lt;&gt;0,H249=""),"Review nonzero or unexplained exclusion",""),IF(G249&lt;&gt;"Include","Choose Include or Exclude",IF(COUNTIFS(AwardsData[Award ID],J249)&lt;&gt;1,"Award link needs review",IF(INDEX(AwardsData[Input check],MATCH(J249,AwardsData[Award ID],0))&lt;&gt;"","Check award inputs","")))))))))))</f>
        <v/>
      </c>
      <c r="V249" s="57" t="n">
        <f aca="false">IF(AND(I249&lt;&gt;"",U249="",G249="Include"),1,0)</f>
        <v>0</v>
      </c>
      <c r="W249" s="57" t="str">
        <f aca="false">IF(I249="","",IF(COUNTIFS(AwardsData[Award ID],J249)=1,INDEX(AwardsData[Current award type],MATCH(J249,AwardsData[Award ID],0)),"Unlinked"))</f>
        <v/>
      </c>
      <c r="X249" s="57" t="str">
        <f aca="false">IF(I249="","",IF(COUNTIFS(AwardsData[Award ID],J249)=1,INDEX(AwardsData[Current set-aside],MATCH(J249,AwardsData[Award ID],0)),"Unlinked"))</f>
        <v/>
      </c>
      <c r="Y249" s="57" t="str">
        <f aca="false">IF(I249="","",IF(COUNTIFS(AwardsData[Award ID],J249)=1,INDEX(AwardsData[Performance state],MATCH(J249,AwardsData[Award ID],0)),"Unlinked"))</f>
        <v/>
      </c>
      <c r="Z249" s="57" t="n">
        <f aca="false">IF(AND(V249=1,OR(Dashboard!$AB$2="All",K249=Dashboard!$AB$2),OR(Dashboard!$AB$3="All",L249=Dashboard!$AB$3),OR(Dashboard!$N$10="All",W249=Dashboard!$N$10)),1,0)</f>
        <v>0</v>
      </c>
      <c r="AA249" s="57" t="n">
        <f aca="false">IF(AND(Z249=1,OR(Dashboard!$B$7="All",S249=Dashboard!$B$7)),1,0)</f>
        <v>0</v>
      </c>
      <c r="AB249" s="57" t="n">
        <f aca="false">IF(AND(V249=1,F249&lt;&gt;0),1,0)</f>
        <v>0</v>
      </c>
      <c r="AC249" s="57" t="n">
        <f aca="false">IF(AND(AA249=1,AB249=1),IF(COUNTIFS($J$17:J249,J249,$AA$17:AA249,1,$AB$17:AB249,1)=1,1,0),0)</f>
        <v>0</v>
      </c>
      <c r="AD249" s="57" t="n">
        <f aca="false">IF(AND(AA249=1,AB249=1),IF(COUNTIFS($K$17:K249,K249,$AA$17:AA249,1,$AB$17:AB249,1)=1,1,0),0)</f>
        <v>0</v>
      </c>
      <c r="AE249" s="57" t="n">
        <f aca="false">IF(AND(Z249=1,AB249=1),IF(COUNTIFS($J$17:J249,J249,$S$17:S249,S249,$Z$17:Z249,1,$AB$17:AB249,1)=1,1,0),0)</f>
        <v>0</v>
      </c>
      <c r="AF249" s="57" t="n">
        <f aca="false">IF(AND(Z249=1,AB249=1),IF(COUNTIFS($K$17:K249,K249,$S$17:S249,S249,$Z$17:Z249,1,$AB$17:AB249,1)=1,1,0),0)</f>
        <v>0</v>
      </c>
      <c r="AG249" s="57" t="n">
        <f aca="false">IF(AND(AA249=1,AB249=1),IF(COUNTIFS($J$17:J249,J249,$L$17:L249,L249,$AA$17:AA249,1,$AB$17:AB249,1)=1,1,0),0)</f>
        <v>0</v>
      </c>
      <c r="AH249" s="57" t="n">
        <f aca="false">IF(AND(AA249=1,AB249=1),IF(COUNTIFS($J$17:J249,J249,$K$17:K249,K249,$AA$17:AA249,1,$AB$17:AB249,1)=1,1,0),0)</f>
        <v>0</v>
      </c>
      <c r="AI249" s="56" t="n">
        <f aca="false">IF(V249=1,MAX(F249,0),0)</f>
        <v>0</v>
      </c>
      <c r="AJ249" s="56" t="n">
        <f aca="false">IF(V249=1,MIN(F249,0),0)</f>
        <v>0</v>
      </c>
    </row>
    <row r="250" customFormat="false" ht="40" hidden="false" customHeight="true" outlineLevel="0" collapsed="false">
      <c r="A250" s="66"/>
      <c r="B250" s="54" t="str">
        <f aca="false">IF(M250="","",IF(P250="",M250,HYPERLINK(P250,M250)))</f>
        <v/>
      </c>
      <c r="C250" s="54" t="str">
        <f aca="false">IF(N250="","",IF(Q250="",N250,HYPERLINK(Q250,N250)))</f>
        <v/>
      </c>
      <c r="D250" s="60"/>
      <c r="E250" s="54" t="str">
        <f aca="false">IF(O250="","",IF(R250="",O250,HYPERLINK(R250,O250)))</f>
        <v/>
      </c>
      <c r="F250" s="62"/>
      <c r="G250" s="61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7" t="str">
        <f aca="false">IF(ISNUMBER(A250),YEAR(A250)+IF(MONTH(A250)&gt;=10,1,0),"")</f>
        <v/>
      </c>
      <c r="T250" s="57" t="str">
        <f aca="false">IF(ISNUMBER(A250),INT(MOD(MONTH(A250)-10,12)/3)+1,"")</f>
        <v/>
      </c>
      <c r="U250" s="57" t="str">
        <f aca="false">IF(AND(I250&lt;&gt;"",D250&lt;&gt;"",OR(COUNTIFS(TransactionsData[Vendor ID],K250,TransactionsData[UEI],"&lt;&gt;"&amp;D250,TransactionsData[UEI],"?*")&gt;0,COUNTIFS(VendorGroups[Record ID],K250,VendorGroups[Source UEI],"&lt;&gt;"&amp;D250,VendorGroups[Source UEI],"?*")&gt;0)),"Conflicting vendor UEIs",IF(I250="",IF(COUNTA(A250,D250,F250:R250)&gt;0,"Missing transaction ID",""),IF(COUNTIFS(TransactionsData[Transaction ID],I250)&lt;&gt;1,"Duplicate transaction ID",IF(OR(NOT(ISNUMBER(A250)),A250&lt;1,A250&gt;DATE(2099,1,1)),"Use a valid date",IF(OR(A250&lt;$B$4,A250&gt;$D$4),"Outside coverage",IF(NOT(ISNUMBER(F250)),"Missing or invalid amount",IF(OR(K250="",L250="",N250=""),"Add vendor and office identities",IF(G250="Exclude",IF(OR(F250&lt;&gt;0,H250=""),"Review nonzero or unexplained exclusion",""),IF(G250&lt;&gt;"Include","Choose Include or Exclude",IF(COUNTIFS(AwardsData[Award ID],J250)&lt;&gt;1,"Award link needs review",IF(INDEX(AwardsData[Input check],MATCH(J250,AwardsData[Award ID],0))&lt;&gt;"","Check award inputs","")))))))))))</f>
        <v/>
      </c>
      <c r="V250" s="57" t="n">
        <f aca="false">IF(AND(I250&lt;&gt;"",U250="",G250="Include"),1,0)</f>
        <v>0</v>
      </c>
      <c r="W250" s="57" t="str">
        <f aca="false">IF(I250="","",IF(COUNTIFS(AwardsData[Award ID],J250)=1,INDEX(AwardsData[Current award type],MATCH(J250,AwardsData[Award ID],0)),"Unlinked"))</f>
        <v/>
      </c>
      <c r="X250" s="57" t="str">
        <f aca="false">IF(I250="","",IF(COUNTIFS(AwardsData[Award ID],J250)=1,INDEX(AwardsData[Current set-aside],MATCH(J250,AwardsData[Award ID],0)),"Unlinked"))</f>
        <v/>
      </c>
      <c r="Y250" s="57" t="str">
        <f aca="false">IF(I250="","",IF(COUNTIFS(AwardsData[Award ID],J250)=1,INDEX(AwardsData[Performance state],MATCH(J250,AwardsData[Award ID],0)),"Unlinked"))</f>
        <v/>
      </c>
      <c r="Z250" s="57" t="n">
        <f aca="false">IF(AND(V250=1,OR(Dashboard!$AB$2="All",K250=Dashboard!$AB$2),OR(Dashboard!$AB$3="All",L250=Dashboard!$AB$3),OR(Dashboard!$N$10="All",W250=Dashboard!$N$10)),1,0)</f>
        <v>0</v>
      </c>
      <c r="AA250" s="57" t="n">
        <f aca="false">IF(AND(Z250=1,OR(Dashboard!$B$7="All",S250=Dashboard!$B$7)),1,0)</f>
        <v>0</v>
      </c>
      <c r="AB250" s="57" t="n">
        <f aca="false">IF(AND(V250=1,F250&lt;&gt;0),1,0)</f>
        <v>0</v>
      </c>
      <c r="AC250" s="57" t="n">
        <f aca="false">IF(AND(AA250=1,AB250=1),IF(COUNTIFS($J$17:J250,J250,$AA$17:AA250,1,$AB$17:AB250,1)=1,1,0),0)</f>
        <v>0</v>
      </c>
      <c r="AD250" s="57" t="n">
        <f aca="false">IF(AND(AA250=1,AB250=1),IF(COUNTIFS($K$17:K250,K250,$AA$17:AA250,1,$AB$17:AB250,1)=1,1,0),0)</f>
        <v>0</v>
      </c>
      <c r="AE250" s="57" t="n">
        <f aca="false">IF(AND(Z250=1,AB250=1),IF(COUNTIFS($J$17:J250,J250,$S$17:S250,S250,$Z$17:Z250,1,$AB$17:AB250,1)=1,1,0),0)</f>
        <v>0</v>
      </c>
      <c r="AF250" s="57" t="n">
        <f aca="false">IF(AND(Z250=1,AB250=1),IF(COUNTIFS($K$17:K250,K250,$S$17:S250,S250,$Z$17:Z250,1,$AB$17:AB250,1)=1,1,0),0)</f>
        <v>0</v>
      </c>
      <c r="AG250" s="57" t="n">
        <f aca="false">IF(AND(AA250=1,AB250=1),IF(COUNTIFS($J$17:J250,J250,$L$17:L250,L250,$AA$17:AA250,1,$AB$17:AB250,1)=1,1,0),0)</f>
        <v>0</v>
      </c>
      <c r="AH250" s="57" t="n">
        <f aca="false">IF(AND(AA250=1,AB250=1),IF(COUNTIFS($J$17:J250,J250,$K$17:K250,K250,$AA$17:AA250,1,$AB$17:AB250,1)=1,1,0),0)</f>
        <v>0</v>
      </c>
      <c r="AI250" s="56" t="n">
        <f aca="false">IF(V250=1,MAX(F250,0),0)</f>
        <v>0</v>
      </c>
      <c r="AJ250" s="56" t="n">
        <f aca="false">IF(V250=1,MIN(F250,0),0)</f>
        <v>0</v>
      </c>
    </row>
    <row r="251" customFormat="false" ht="40" hidden="false" customHeight="true" outlineLevel="0" collapsed="false">
      <c r="A251" s="66"/>
      <c r="B251" s="54" t="str">
        <f aca="false">IF(M251="","",IF(P251="",M251,HYPERLINK(P251,M251)))</f>
        <v/>
      </c>
      <c r="C251" s="54" t="str">
        <f aca="false">IF(N251="","",IF(Q251="",N251,HYPERLINK(Q251,N251)))</f>
        <v/>
      </c>
      <c r="D251" s="60"/>
      <c r="E251" s="54" t="str">
        <f aca="false">IF(O251="","",IF(R251="",O251,HYPERLINK(R251,O251)))</f>
        <v/>
      </c>
      <c r="F251" s="62"/>
      <c r="G251" s="61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7" t="str">
        <f aca="false">IF(ISNUMBER(A251),YEAR(A251)+IF(MONTH(A251)&gt;=10,1,0),"")</f>
        <v/>
      </c>
      <c r="T251" s="57" t="str">
        <f aca="false">IF(ISNUMBER(A251),INT(MOD(MONTH(A251)-10,12)/3)+1,"")</f>
        <v/>
      </c>
      <c r="U251" s="57" t="str">
        <f aca="false">IF(AND(I251&lt;&gt;"",D251&lt;&gt;"",OR(COUNTIFS(TransactionsData[Vendor ID],K251,TransactionsData[UEI],"&lt;&gt;"&amp;D251,TransactionsData[UEI],"?*")&gt;0,COUNTIFS(VendorGroups[Record ID],K251,VendorGroups[Source UEI],"&lt;&gt;"&amp;D251,VendorGroups[Source UEI],"?*")&gt;0)),"Conflicting vendor UEIs",IF(I251="",IF(COUNTA(A251,D251,F251:R251)&gt;0,"Missing transaction ID",""),IF(COUNTIFS(TransactionsData[Transaction ID],I251)&lt;&gt;1,"Duplicate transaction ID",IF(OR(NOT(ISNUMBER(A251)),A251&lt;1,A251&gt;DATE(2099,1,1)),"Use a valid date",IF(OR(A251&lt;$B$4,A251&gt;$D$4),"Outside coverage",IF(NOT(ISNUMBER(F251)),"Missing or invalid amount",IF(OR(K251="",L251="",N251=""),"Add vendor and office identities",IF(G251="Exclude",IF(OR(F251&lt;&gt;0,H251=""),"Review nonzero or unexplained exclusion",""),IF(G251&lt;&gt;"Include","Choose Include or Exclude",IF(COUNTIFS(AwardsData[Award ID],J251)&lt;&gt;1,"Award link needs review",IF(INDEX(AwardsData[Input check],MATCH(J251,AwardsData[Award ID],0))&lt;&gt;"","Check award inputs","")))))))))))</f>
        <v/>
      </c>
      <c r="V251" s="57" t="n">
        <f aca="false">IF(AND(I251&lt;&gt;"",U251="",G251="Include"),1,0)</f>
        <v>0</v>
      </c>
      <c r="W251" s="57" t="str">
        <f aca="false">IF(I251="","",IF(COUNTIFS(AwardsData[Award ID],J251)=1,INDEX(AwardsData[Current award type],MATCH(J251,AwardsData[Award ID],0)),"Unlinked"))</f>
        <v/>
      </c>
      <c r="X251" s="57" t="str">
        <f aca="false">IF(I251="","",IF(COUNTIFS(AwardsData[Award ID],J251)=1,INDEX(AwardsData[Current set-aside],MATCH(J251,AwardsData[Award ID],0)),"Unlinked"))</f>
        <v/>
      </c>
      <c r="Y251" s="57" t="str">
        <f aca="false">IF(I251="","",IF(COUNTIFS(AwardsData[Award ID],J251)=1,INDEX(AwardsData[Performance state],MATCH(J251,AwardsData[Award ID],0)),"Unlinked"))</f>
        <v/>
      </c>
      <c r="Z251" s="57" t="n">
        <f aca="false">IF(AND(V251=1,OR(Dashboard!$AB$2="All",K251=Dashboard!$AB$2),OR(Dashboard!$AB$3="All",L251=Dashboard!$AB$3),OR(Dashboard!$N$10="All",W251=Dashboard!$N$10)),1,0)</f>
        <v>0</v>
      </c>
      <c r="AA251" s="57" t="n">
        <f aca="false">IF(AND(Z251=1,OR(Dashboard!$B$7="All",S251=Dashboard!$B$7)),1,0)</f>
        <v>0</v>
      </c>
      <c r="AB251" s="57" t="n">
        <f aca="false">IF(AND(V251=1,F251&lt;&gt;0),1,0)</f>
        <v>0</v>
      </c>
      <c r="AC251" s="57" t="n">
        <f aca="false">IF(AND(AA251=1,AB251=1),IF(COUNTIFS($J$17:J251,J251,$AA$17:AA251,1,$AB$17:AB251,1)=1,1,0),0)</f>
        <v>0</v>
      </c>
      <c r="AD251" s="57" t="n">
        <f aca="false">IF(AND(AA251=1,AB251=1),IF(COUNTIFS($K$17:K251,K251,$AA$17:AA251,1,$AB$17:AB251,1)=1,1,0),0)</f>
        <v>0</v>
      </c>
      <c r="AE251" s="57" t="n">
        <f aca="false">IF(AND(Z251=1,AB251=1),IF(COUNTIFS($J$17:J251,J251,$S$17:S251,S251,$Z$17:Z251,1,$AB$17:AB251,1)=1,1,0),0)</f>
        <v>0</v>
      </c>
      <c r="AF251" s="57" t="n">
        <f aca="false">IF(AND(Z251=1,AB251=1),IF(COUNTIFS($K$17:K251,K251,$S$17:S251,S251,$Z$17:Z251,1,$AB$17:AB251,1)=1,1,0),0)</f>
        <v>0</v>
      </c>
      <c r="AG251" s="57" t="n">
        <f aca="false">IF(AND(AA251=1,AB251=1),IF(COUNTIFS($J$17:J251,J251,$L$17:L251,L251,$AA$17:AA251,1,$AB$17:AB251,1)=1,1,0),0)</f>
        <v>0</v>
      </c>
      <c r="AH251" s="57" t="n">
        <f aca="false">IF(AND(AA251=1,AB251=1),IF(COUNTIFS($J$17:J251,J251,$K$17:K251,K251,$AA$17:AA251,1,$AB$17:AB251,1)=1,1,0),0)</f>
        <v>0</v>
      </c>
      <c r="AI251" s="56" t="n">
        <f aca="false">IF(V251=1,MAX(F251,0),0)</f>
        <v>0</v>
      </c>
      <c r="AJ251" s="56" t="n">
        <f aca="false">IF(V251=1,MIN(F251,0),0)</f>
        <v>0</v>
      </c>
    </row>
    <row r="252" customFormat="false" ht="40" hidden="false" customHeight="true" outlineLevel="0" collapsed="false">
      <c r="A252" s="66"/>
      <c r="B252" s="54" t="str">
        <f aca="false">IF(M252="","",IF(P252="",M252,HYPERLINK(P252,M252)))</f>
        <v/>
      </c>
      <c r="C252" s="54" t="str">
        <f aca="false">IF(N252="","",IF(Q252="",N252,HYPERLINK(Q252,N252)))</f>
        <v/>
      </c>
      <c r="D252" s="60"/>
      <c r="E252" s="54" t="str">
        <f aca="false">IF(O252="","",IF(R252="",O252,HYPERLINK(R252,O252)))</f>
        <v/>
      </c>
      <c r="F252" s="62"/>
      <c r="G252" s="61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7" t="str">
        <f aca="false">IF(ISNUMBER(A252),YEAR(A252)+IF(MONTH(A252)&gt;=10,1,0),"")</f>
        <v/>
      </c>
      <c r="T252" s="57" t="str">
        <f aca="false">IF(ISNUMBER(A252),INT(MOD(MONTH(A252)-10,12)/3)+1,"")</f>
        <v/>
      </c>
      <c r="U252" s="57" t="str">
        <f aca="false">IF(AND(I252&lt;&gt;"",D252&lt;&gt;"",OR(COUNTIFS(TransactionsData[Vendor ID],K252,TransactionsData[UEI],"&lt;&gt;"&amp;D252,TransactionsData[UEI],"?*")&gt;0,COUNTIFS(VendorGroups[Record ID],K252,VendorGroups[Source UEI],"&lt;&gt;"&amp;D252,VendorGroups[Source UEI],"?*")&gt;0)),"Conflicting vendor UEIs",IF(I252="",IF(COUNTA(A252,D252,F252:R252)&gt;0,"Missing transaction ID",""),IF(COUNTIFS(TransactionsData[Transaction ID],I252)&lt;&gt;1,"Duplicate transaction ID",IF(OR(NOT(ISNUMBER(A252)),A252&lt;1,A252&gt;DATE(2099,1,1)),"Use a valid date",IF(OR(A252&lt;$B$4,A252&gt;$D$4),"Outside coverage",IF(NOT(ISNUMBER(F252)),"Missing or invalid amount",IF(OR(K252="",L252="",N252=""),"Add vendor and office identities",IF(G252="Exclude",IF(OR(F252&lt;&gt;0,H252=""),"Review nonzero or unexplained exclusion",""),IF(G252&lt;&gt;"Include","Choose Include or Exclude",IF(COUNTIFS(AwardsData[Award ID],J252)&lt;&gt;1,"Award link needs review",IF(INDEX(AwardsData[Input check],MATCH(J252,AwardsData[Award ID],0))&lt;&gt;"","Check award inputs","")))))))))))</f>
        <v/>
      </c>
      <c r="V252" s="57" t="n">
        <f aca="false">IF(AND(I252&lt;&gt;"",U252="",G252="Include"),1,0)</f>
        <v>0</v>
      </c>
      <c r="W252" s="57" t="str">
        <f aca="false">IF(I252="","",IF(COUNTIFS(AwardsData[Award ID],J252)=1,INDEX(AwardsData[Current award type],MATCH(J252,AwardsData[Award ID],0)),"Unlinked"))</f>
        <v/>
      </c>
      <c r="X252" s="57" t="str">
        <f aca="false">IF(I252="","",IF(COUNTIFS(AwardsData[Award ID],J252)=1,INDEX(AwardsData[Current set-aside],MATCH(J252,AwardsData[Award ID],0)),"Unlinked"))</f>
        <v/>
      </c>
      <c r="Y252" s="57" t="str">
        <f aca="false">IF(I252="","",IF(COUNTIFS(AwardsData[Award ID],J252)=1,INDEX(AwardsData[Performance state],MATCH(J252,AwardsData[Award ID],0)),"Unlinked"))</f>
        <v/>
      </c>
      <c r="Z252" s="57" t="n">
        <f aca="false">IF(AND(V252=1,OR(Dashboard!$AB$2="All",K252=Dashboard!$AB$2),OR(Dashboard!$AB$3="All",L252=Dashboard!$AB$3),OR(Dashboard!$N$10="All",W252=Dashboard!$N$10)),1,0)</f>
        <v>0</v>
      </c>
      <c r="AA252" s="57" t="n">
        <f aca="false">IF(AND(Z252=1,OR(Dashboard!$B$7="All",S252=Dashboard!$B$7)),1,0)</f>
        <v>0</v>
      </c>
      <c r="AB252" s="57" t="n">
        <f aca="false">IF(AND(V252=1,F252&lt;&gt;0),1,0)</f>
        <v>0</v>
      </c>
      <c r="AC252" s="57" t="n">
        <f aca="false">IF(AND(AA252=1,AB252=1),IF(COUNTIFS($J$17:J252,J252,$AA$17:AA252,1,$AB$17:AB252,1)=1,1,0),0)</f>
        <v>0</v>
      </c>
      <c r="AD252" s="57" t="n">
        <f aca="false">IF(AND(AA252=1,AB252=1),IF(COUNTIFS($K$17:K252,K252,$AA$17:AA252,1,$AB$17:AB252,1)=1,1,0),0)</f>
        <v>0</v>
      </c>
      <c r="AE252" s="57" t="n">
        <f aca="false">IF(AND(Z252=1,AB252=1),IF(COUNTIFS($J$17:J252,J252,$S$17:S252,S252,$Z$17:Z252,1,$AB$17:AB252,1)=1,1,0),0)</f>
        <v>0</v>
      </c>
      <c r="AF252" s="57" t="n">
        <f aca="false">IF(AND(Z252=1,AB252=1),IF(COUNTIFS($K$17:K252,K252,$S$17:S252,S252,$Z$17:Z252,1,$AB$17:AB252,1)=1,1,0),0)</f>
        <v>0</v>
      </c>
      <c r="AG252" s="57" t="n">
        <f aca="false">IF(AND(AA252=1,AB252=1),IF(COUNTIFS($J$17:J252,J252,$L$17:L252,L252,$AA$17:AA252,1,$AB$17:AB252,1)=1,1,0),0)</f>
        <v>0</v>
      </c>
      <c r="AH252" s="57" t="n">
        <f aca="false">IF(AND(AA252=1,AB252=1),IF(COUNTIFS($J$17:J252,J252,$K$17:K252,K252,$AA$17:AA252,1,$AB$17:AB252,1)=1,1,0),0)</f>
        <v>0</v>
      </c>
      <c r="AI252" s="56" t="n">
        <f aca="false">IF(V252=1,MAX(F252,0),0)</f>
        <v>0</v>
      </c>
      <c r="AJ252" s="56" t="n">
        <f aca="false">IF(V252=1,MIN(F252,0),0)</f>
        <v>0</v>
      </c>
    </row>
    <row r="253" customFormat="false" ht="40" hidden="false" customHeight="true" outlineLevel="0" collapsed="false">
      <c r="A253" s="66"/>
      <c r="B253" s="54" t="str">
        <f aca="false">IF(M253="","",IF(P253="",M253,HYPERLINK(P253,M253)))</f>
        <v/>
      </c>
      <c r="C253" s="54" t="str">
        <f aca="false">IF(N253="","",IF(Q253="",N253,HYPERLINK(Q253,N253)))</f>
        <v/>
      </c>
      <c r="D253" s="60"/>
      <c r="E253" s="54" t="str">
        <f aca="false">IF(O253="","",IF(R253="",O253,HYPERLINK(R253,O253)))</f>
        <v/>
      </c>
      <c r="F253" s="62"/>
      <c r="G253" s="61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7" t="str">
        <f aca="false">IF(ISNUMBER(A253),YEAR(A253)+IF(MONTH(A253)&gt;=10,1,0),"")</f>
        <v/>
      </c>
      <c r="T253" s="57" t="str">
        <f aca="false">IF(ISNUMBER(A253),INT(MOD(MONTH(A253)-10,12)/3)+1,"")</f>
        <v/>
      </c>
      <c r="U253" s="57" t="str">
        <f aca="false">IF(AND(I253&lt;&gt;"",D253&lt;&gt;"",OR(COUNTIFS(TransactionsData[Vendor ID],K253,TransactionsData[UEI],"&lt;&gt;"&amp;D253,TransactionsData[UEI],"?*")&gt;0,COUNTIFS(VendorGroups[Record ID],K253,VendorGroups[Source UEI],"&lt;&gt;"&amp;D253,VendorGroups[Source UEI],"?*")&gt;0)),"Conflicting vendor UEIs",IF(I253="",IF(COUNTA(A253,D253,F253:R253)&gt;0,"Missing transaction ID",""),IF(COUNTIFS(TransactionsData[Transaction ID],I253)&lt;&gt;1,"Duplicate transaction ID",IF(OR(NOT(ISNUMBER(A253)),A253&lt;1,A253&gt;DATE(2099,1,1)),"Use a valid date",IF(OR(A253&lt;$B$4,A253&gt;$D$4),"Outside coverage",IF(NOT(ISNUMBER(F253)),"Missing or invalid amount",IF(OR(K253="",L253="",N253=""),"Add vendor and office identities",IF(G253="Exclude",IF(OR(F253&lt;&gt;0,H253=""),"Review nonzero or unexplained exclusion",""),IF(G253&lt;&gt;"Include","Choose Include or Exclude",IF(COUNTIFS(AwardsData[Award ID],J253)&lt;&gt;1,"Award link needs review",IF(INDEX(AwardsData[Input check],MATCH(J253,AwardsData[Award ID],0))&lt;&gt;"","Check award inputs","")))))))))))</f>
        <v/>
      </c>
      <c r="V253" s="57" t="n">
        <f aca="false">IF(AND(I253&lt;&gt;"",U253="",G253="Include"),1,0)</f>
        <v>0</v>
      </c>
      <c r="W253" s="57" t="str">
        <f aca="false">IF(I253="","",IF(COUNTIFS(AwardsData[Award ID],J253)=1,INDEX(AwardsData[Current award type],MATCH(J253,AwardsData[Award ID],0)),"Unlinked"))</f>
        <v/>
      </c>
      <c r="X253" s="57" t="str">
        <f aca="false">IF(I253="","",IF(COUNTIFS(AwardsData[Award ID],J253)=1,INDEX(AwardsData[Current set-aside],MATCH(J253,AwardsData[Award ID],0)),"Unlinked"))</f>
        <v/>
      </c>
      <c r="Y253" s="57" t="str">
        <f aca="false">IF(I253="","",IF(COUNTIFS(AwardsData[Award ID],J253)=1,INDEX(AwardsData[Performance state],MATCH(J253,AwardsData[Award ID],0)),"Unlinked"))</f>
        <v/>
      </c>
      <c r="Z253" s="57" t="n">
        <f aca="false">IF(AND(V253=1,OR(Dashboard!$AB$2="All",K253=Dashboard!$AB$2),OR(Dashboard!$AB$3="All",L253=Dashboard!$AB$3),OR(Dashboard!$N$10="All",W253=Dashboard!$N$10)),1,0)</f>
        <v>0</v>
      </c>
      <c r="AA253" s="57" t="n">
        <f aca="false">IF(AND(Z253=1,OR(Dashboard!$B$7="All",S253=Dashboard!$B$7)),1,0)</f>
        <v>0</v>
      </c>
      <c r="AB253" s="57" t="n">
        <f aca="false">IF(AND(V253=1,F253&lt;&gt;0),1,0)</f>
        <v>0</v>
      </c>
      <c r="AC253" s="57" t="n">
        <f aca="false">IF(AND(AA253=1,AB253=1),IF(COUNTIFS($J$17:J253,J253,$AA$17:AA253,1,$AB$17:AB253,1)=1,1,0),0)</f>
        <v>0</v>
      </c>
      <c r="AD253" s="57" t="n">
        <f aca="false">IF(AND(AA253=1,AB253=1),IF(COUNTIFS($K$17:K253,K253,$AA$17:AA253,1,$AB$17:AB253,1)=1,1,0),0)</f>
        <v>0</v>
      </c>
      <c r="AE253" s="57" t="n">
        <f aca="false">IF(AND(Z253=1,AB253=1),IF(COUNTIFS($J$17:J253,J253,$S$17:S253,S253,$Z$17:Z253,1,$AB$17:AB253,1)=1,1,0),0)</f>
        <v>0</v>
      </c>
      <c r="AF253" s="57" t="n">
        <f aca="false">IF(AND(Z253=1,AB253=1),IF(COUNTIFS($K$17:K253,K253,$S$17:S253,S253,$Z$17:Z253,1,$AB$17:AB253,1)=1,1,0),0)</f>
        <v>0</v>
      </c>
      <c r="AG253" s="57" t="n">
        <f aca="false">IF(AND(AA253=1,AB253=1),IF(COUNTIFS($J$17:J253,J253,$L$17:L253,L253,$AA$17:AA253,1,$AB$17:AB253,1)=1,1,0),0)</f>
        <v>0</v>
      </c>
      <c r="AH253" s="57" t="n">
        <f aca="false">IF(AND(AA253=1,AB253=1),IF(COUNTIFS($J$17:J253,J253,$K$17:K253,K253,$AA$17:AA253,1,$AB$17:AB253,1)=1,1,0),0)</f>
        <v>0</v>
      </c>
      <c r="AI253" s="56" t="n">
        <f aca="false">IF(V253=1,MAX(F253,0),0)</f>
        <v>0</v>
      </c>
      <c r="AJ253" s="56" t="n">
        <f aca="false">IF(V253=1,MIN(F253,0),0)</f>
        <v>0</v>
      </c>
    </row>
    <row r="254" customFormat="false" ht="40" hidden="false" customHeight="true" outlineLevel="0" collapsed="false">
      <c r="A254" s="66"/>
      <c r="B254" s="54" t="str">
        <f aca="false">IF(M254="","",IF(P254="",M254,HYPERLINK(P254,M254)))</f>
        <v/>
      </c>
      <c r="C254" s="54" t="str">
        <f aca="false">IF(N254="","",IF(Q254="",N254,HYPERLINK(Q254,N254)))</f>
        <v/>
      </c>
      <c r="D254" s="60"/>
      <c r="E254" s="54" t="str">
        <f aca="false">IF(O254="","",IF(R254="",O254,HYPERLINK(R254,O254)))</f>
        <v/>
      </c>
      <c r="F254" s="62"/>
      <c r="G254" s="61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7" t="str">
        <f aca="false">IF(ISNUMBER(A254),YEAR(A254)+IF(MONTH(A254)&gt;=10,1,0),"")</f>
        <v/>
      </c>
      <c r="T254" s="57" t="str">
        <f aca="false">IF(ISNUMBER(A254),INT(MOD(MONTH(A254)-10,12)/3)+1,"")</f>
        <v/>
      </c>
      <c r="U254" s="57" t="str">
        <f aca="false">IF(AND(I254&lt;&gt;"",D254&lt;&gt;"",OR(COUNTIFS(TransactionsData[Vendor ID],K254,TransactionsData[UEI],"&lt;&gt;"&amp;D254,TransactionsData[UEI],"?*")&gt;0,COUNTIFS(VendorGroups[Record ID],K254,VendorGroups[Source UEI],"&lt;&gt;"&amp;D254,VendorGroups[Source UEI],"?*")&gt;0)),"Conflicting vendor UEIs",IF(I254="",IF(COUNTA(A254,D254,F254:R254)&gt;0,"Missing transaction ID",""),IF(COUNTIFS(TransactionsData[Transaction ID],I254)&lt;&gt;1,"Duplicate transaction ID",IF(OR(NOT(ISNUMBER(A254)),A254&lt;1,A254&gt;DATE(2099,1,1)),"Use a valid date",IF(OR(A254&lt;$B$4,A254&gt;$D$4),"Outside coverage",IF(NOT(ISNUMBER(F254)),"Missing or invalid amount",IF(OR(K254="",L254="",N254=""),"Add vendor and office identities",IF(G254="Exclude",IF(OR(F254&lt;&gt;0,H254=""),"Review nonzero or unexplained exclusion",""),IF(G254&lt;&gt;"Include","Choose Include or Exclude",IF(COUNTIFS(AwardsData[Award ID],J254)&lt;&gt;1,"Award link needs review",IF(INDEX(AwardsData[Input check],MATCH(J254,AwardsData[Award ID],0))&lt;&gt;"","Check award inputs","")))))))))))</f>
        <v/>
      </c>
      <c r="V254" s="57" t="n">
        <f aca="false">IF(AND(I254&lt;&gt;"",U254="",G254="Include"),1,0)</f>
        <v>0</v>
      </c>
      <c r="W254" s="57" t="str">
        <f aca="false">IF(I254="","",IF(COUNTIFS(AwardsData[Award ID],J254)=1,INDEX(AwardsData[Current award type],MATCH(J254,AwardsData[Award ID],0)),"Unlinked"))</f>
        <v/>
      </c>
      <c r="X254" s="57" t="str">
        <f aca="false">IF(I254="","",IF(COUNTIFS(AwardsData[Award ID],J254)=1,INDEX(AwardsData[Current set-aside],MATCH(J254,AwardsData[Award ID],0)),"Unlinked"))</f>
        <v/>
      </c>
      <c r="Y254" s="57" t="str">
        <f aca="false">IF(I254="","",IF(COUNTIFS(AwardsData[Award ID],J254)=1,INDEX(AwardsData[Performance state],MATCH(J254,AwardsData[Award ID],0)),"Unlinked"))</f>
        <v/>
      </c>
      <c r="Z254" s="57" t="n">
        <f aca="false">IF(AND(V254=1,OR(Dashboard!$AB$2="All",K254=Dashboard!$AB$2),OR(Dashboard!$AB$3="All",L254=Dashboard!$AB$3),OR(Dashboard!$N$10="All",W254=Dashboard!$N$10)),1,0)</f>
        <v>0</v>
      </c>
      <c r="AA254" s="57" t="n">
        <f aca="false">IF(AND(Z254=1,OR(Dashboard!$B$7="All",S254=Dashboard!$B$7)),1,0)</f>
        <v>0</v>
      </c>
      <c r="AB254" s="57" t="n">
        <f aca="false">IF(AND(V254=1,F254&lt;&gt;0),1,0)</f>
        <v>0</v>
      </c>
      <c r="AC254" s="57" t="n">
        <f aca="false">IF(AND(AA254=1,AB254=1),IF(COUNTIFS($J$17:J254,J254,$AA$17:AA254,1,$AB$17:AB254,1)=1,1,0),0)</f>
        <v>0</v>
      </c>
      <c r="AD254" s="57" t="n">
        <f aca="false">IF(AND(AA254=1,AB254=1),IF(COUNTIFS($K$17:K254,K254,$AA$17:AA254,1,$AB$17:AB254,1)=1,1,0),0)</f>
        <v>0</v>
      </c>
      <c r="AE254" s="57" t="n">
        <f aca="false">IF(AND(Z254=1,AB254=1),IF(COUNTIFS($J$17:J254,J254,$S$17:S254,S254,$Z$17:Z254,1,$AB$17:AB254,1)=1,1,0),0)</f>
        <v>0</v>
      </c>
      <c r="AF254" s="57" t="n">
        <f aca="false">IF(AND(Z254=1,AB254=1),IF(COUNTIFS($K$17:K254,K254,$S$17:S254,S254,$Z$17:Z254,1,$AB$17:AB254,1)=1,1,0),0)</f>
        <v>0</v>
      </c>
      <c r="AG254" s="57" t="n">
        <f aca="false">IF(AND(AA254=1,AB254=1),IF(COUNTIFS($J$17:J254,J254,$L$17:L254,L254,$AA$17:AA254,1,$AB$17:AB254,1)=1,1,0),0)</f>
        <v>0</v>
      </c>
      <c r="AH254" s="57" t="n">
        <f aca="false">IF(AND(AA254=1,AB254=1),IF(COUNTIFS($J$17:J254,J254,$K$17:K254,K254,$AA$17:AA254,1,$AB$17:AB254,1)=1,1,0),0)</f>
        <v>0</v>
      </c>
      <c r="AI254" s="56" t="n">
        <f aca="false">IF(V254=1,MAX(F254,0),0)</f>
        <v>0</v>
      </c>
      <c r="AJ254" s="56" t="n">
        <f aca="false">IF(V254=1,MIN(F254,0),0)</f>
        <v>0</v>
      </c>
    </row>
    <row r="255" customFormat="false" ht="40" hidden="false" customHeight="true" outlineLevel="0" collapsed="false">
      <c r="A255" s="66"/>
      <c r="B255" s="54" t="str">
        <f aca="false">IF(M255="","",IF(P255="",M255,HYPERLINK(P255,M255)))</f>
        <v/>
      </c>
      <c r="C255" s="54" t="str">
        <f aca="false">IF(N255="","",IF(Q255="",N255,HYPERLINK(Q255,N255)))</f>
        <v/>
      </c>
      <c r="D255" s="60"/>
      <c r="E255" s="54" t="str">
        <f aca="false">IF(O255="","",IF(R255="",O255,HYPERLINK(R255,O255)))</f>
        <v/>
      </c>
      <c r="F255" s="62"/>
      <c r="G255" s="61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7" t="str">
        <f aca="false">IF(ISNUMBER(A255),YEAR(A255)+IF(MONTH(A255)&gt;=10,1,0),"")</f>
        <v/>
      </c>
      <c r="T255" s="57" t="str">
        <f aca="false">IF(ISNUMBER(A255),INT(MOD(MONTH(A255)-10,12)/3)+1,"")</f>
        <v/>
      </c>
      <c r="U255" s="57" t="str">
        <f aca="false">IF(AND(I255&lt;&gt;"",D255&lt;&gt;"",OR(COUNTIFS(TransactionsData[Vendor ID],K255,TransactionsData[UEI],"&lt;&gt;"&amp;D255,TransactionsData[UEI],"?*")&gt;0,COUNTIFS(VendorGroups[Record ID],K255,VendorGroups[Source UEI],"&lt;&gt;"&amp;D255,VendorGroups[Source UEI],"?*")&gt;0)),"Conflicting vendor UEIs",IF(I255="",IF(COUNTA(A255,D255,F255:R255)&gt;0,"Missing transaction ID",""),IF(COUNTIFS(TransactionsData[Transaction ID],I255)&lt;&gt;1,"Duplicate transaction ID",IF(OR(NOT(ISNUMBER(A255)),A255&lt;1,A255&gt;DATE(2099,1,1)),"Use a valid date",IF(OR(A255&lt;$B$4,A255&gt;$D$4),"Outside coverage",IF(NOT(ISNUMBER(F255)),"Missing or invalid amount",IF(OR(K255="",L255="",N255=""),"Add vendor and office identities",IF(G255="Exclude",IF(OR(F255&lt;&gt;0,H255=""),"Review nonzero or unexplained exclusion",""),IF(G255&lt;&gt;"Include","Choose Include or Exclude",IF(COUNTIFS(AwardsData[Award ID],J255)&lt;&gt;1,"Award link needs review",IF(INDEX(AwardsData[Input check],MATCH(J255,AwardsData[Award ID],0))&lt;&gt;"","Check award inputs","")))))))))))</f>
        <v/>
      </c>
      <c r="V255" s="57" t="n">
        <f aca="false">IF(AND(I255&lt;&gt;"",U255="",G255="Include"),1,0)</f>
        <v>0</v>
      </c>
      <c r="W255" s="57" t="str">
        <f aca="false">IF(I255="","",IF(COUNTIFS(AwardsData[Award ID],J255)=1,INDEX(AwardsData[Current award type],MATCH(J255,AwardsData[Award ID],0)),"Unlinked"))</f>
        <v/>
      </c>
      <c r="X255" s="57" t="str">
        <f aca="false">IF(I255="","",IF(COUNTIFS(AwardsData[Award ID],J255)=1,INDEX(AwardsData[Current set-aside],MATCH(J255,AwardsData[Award ID],0)),"Unlinked"))</f>
        <v/>
      </c>
      <c r="Y255" s="57" t="str">
        <f aca="false">IF(I255="","",IF(COUNTIFS(AwardsData[Award ID],J255)=1,INDEX(AwardsData[Performance state],MATCH(J255,AwardsData[Award ID],0)),"Unlinked"))</f>
        <v/>
      </c>
      <c r="Z255" s="57" t="n">
        <f aca="false">IF(AND(V255=1,OR(Dashboard!$AB$2="All",K255=Dashboard!$AB$2),OR(Dashboard!$AB$3="All",L255=Dashboard!$AB$3),OR(Dashboard!$N$10="All",W255=Dashboard!$N$10)),1,0)</f>
        <v>0</v>
      </c>
      <c r="AA255" s="57" t="n">
        <f aca="false">IF(AND(Z255=1,OR(Dashboard!$B$7="All",S255=Dashboard!$B$7)),1,0)</f>
        <v>0</v>
      </c>
      <c r="AB255" s="57" t="n">
        <f aca="false">IF(AND(V255=1,F255&lt;&gt;0),1,0)</f>
        <v>0</v>
      </c>
      <c r="AC255" s="57" t="n">
        <f aca="false">IF(AND(AA255=1,AB255=1),IF(COUNTIFS($J$17:J255,J255,$AA$17:AA255,1,$AB$17:AB255,1)=1,1,0),0)</f>
        <v>0</v>
      </c>
      <c r="AD255" s="57" t="n">
        <f aca="false">IF(AND(AA255=1,AB255=1),IF(COUNTIFS($K$17:K255,K255,$AA$17:AA255,1,$AB$17:AB255,1)=1,1,0),0)</f>
        <v>0</v>
      </c>
      <c r="AE255" s="57" t="n">
        <f aca="false">IF(AND(Z255=1,AB255=1),IF(COUNTIFS($J$17:J255,J255,$S$17:S255,S255,$Z$17:Z255,1,$AB$17:AB255,1)=1,1,0),0)</f>
        <v>0</v>
      </c>
      <c r="AF255" s="57" t="n">
        <f aca="false">IF(AND(Z255=1,AB255=1),IF(COUNTIFS($K$17:K255,K255,$S$17:S255,S255,$Z$17:Z255,1,$AB$17:AB255,1)=1,1,0),0)</f>
        <v>0</v>
      </c>
      <c r="AG255" s="57" t="n">
        <f aca="false">IF(AND(AA255=1,AB255=1),IF(COUNTIFS($J$17:J255,J255,$L$17:L255,L255,$AA$17:AA255,1,$AB$17:AB255,1)=1,1,0),0)</f>
        <v>0</v>
      </c>
      <c r="AH255" s="57" t="n">
        <f aca="false">IF(AND(AA255=1,AB255=1),IF(COUNTIFS($J$17:J255,J255,$K$17:K255,K255,$AA$17:AA255,1,$AB$17:AB255,1)=1,1,0),0)</f>
        <v>0</v>
      </c>
      <c r="AI255" s="56" t="n">
        <f aca="false">IF(V255=1,MAX(F255,0),0)</f>
        <v>0</v>
      </c>
      <c r="AJ255" s="56" t="n">
        <f aca="false">IF(V255=1,MIN(F255,0),0)</f>
        <v>0</v>
      </c>
    </row>
    <row r="256" customFormat="false" ht="40" hidden="false" customHeight="true" outlineLevel="0" collapsed="false">
      <c r="A256" s="66"/>
      <c r="B256" s="54" t="str">
        <f aca="false">IF(M256="","",IF(P256="",M256,HYPERLINK(P256,M256)))</f>
        <v/>
      </c>
      <c r="C256" s="54" t="str">
        <f aca="false">IF(N256="","",IF(Q256="",N256,HYPERLINK(Q256,N256)))</f>
        <v/>
      </c>
      <c r="D256" s="60"/>
      <c r="E256" s="54" t="str">
        <f aca="false">IF(O256="","",IF(R256="",O256,HYPERLINK(R256,O256)))</f>
        <v/>
      </c>
      <c r="F256" s="62"/>
      <c r="G256" s="61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7" t="str">
        <f aca="false">IF(ISNUMBER(A256),YEAR(A256)+IF(MONTH(A256)&gt;=10,1,0),"")</f>
        <v/>
      </c>
      <c r="T256" s="57" t="str">
        <f aca="false">IF(ISNUMBER(A256),INT(MOD(MONTH(A256)-10,12)/3)+1,"")</f>
        <v/>
      </c>
      <c r="U256" s="57" t="str">
        <f aca="false">IF(AND(I256&lt;&gt;"",D256&lt;&gt;"",OR(COUNTIFS(TransactionsData[Vendor ID],K256,TransactionsData[UEI],"&lt;&gt;"&amp;D256,TransactionsData[UEI],"?*")&gt;0,COUNTIFS(VendorGroups[Record ID],K256,VendorGroups[Source UEI],"&lt;&gt;"&amp;D256,VendorGroups[Source UEI],"?*")&gt;0)),"Conflicting vendor UEIs",IF(I256="",IF(COUNTA(A256,D256,F256:R256)&gt;0,"Missing transaction ID",""),IF(COUNTIFS(TransactionsData[Transaction ID],I256)&lt;&gt;1,"Duplicate transaction ID",IF(OR(NOT(ISNUMBER(A256)),A256&lt;1,A256&gt;DATE(2099,1,1)),"Use a valid date",IF(OR(A256&lt;$B$4,A256&gt;$D$4),"Outside coverage",IF(NOT(ISNUMBER(F256)),"Missing or invalid amount",IF(OR(K256="",L256="",N256=""),"Add vendor and office identities",IF(G256="Exclude",IF(OR(F256&lt;&gt;0,H256=""),"Review nonzero or unexplained exclusion",""),IF(G256&lt;&gt;"Include","Choose Include or Exclude",IF(COUNTIFS(AwardsData[Award ID],J256)&lt;&gt;1,"Award link needs review",IF(INDEX(AwardsData[Input check],MATCH(J256,AwardsData[Award ID],0))&lt;&gt;"","Check award inputs","")))))))))))</f>
        <v/>
      </c>
      <c r="V256" s="57" t="n">
        <f aca="false">IF(AND(I256&lt;&gt;"",U256="",G256="Include"),1,0)</f>
        <v>0</v>
      </c>
      <c r="W256" s="57" t="str">
        <f aca="false">IF(I256="","",IF(COUNTIFS(AwardsData[Award ID],J256)=1,INDEX(AwardsData[Current award type],MATCH(J256,AwardsData[Award ID],0)),"Unlinked"))</f>
        <v/>
      </c>
      <c r="X256" s="57" t="str">
        <f aca="false">IF(I256="","",IF(COUNTIFS(AwardsData[Award ID],J256)=1,INDEX(AwardsData[Current set-aside],MATCH(J256,AwardsData[Award ID],0)),"Unlinked"))</f>
        <v/>
      </c>
      <c r="Y256" s="57" t="str">
        <f aca="false">IF(I256="","",IF(COUNTIFS(AwardsData[Award ID],J256)=1,INDEX(AwardsData[Performance state],MATCH(J256,AwardsData[Award ID],0)),"Unlinked"))</f>
        <v/>
      </c>
      <c r="Z256" s="57" t="n">
        <f aca="false">IF(AND(V256=1,OR(Dashboard!$AB$2="All",K256=Dashboard!$AB$2),OR(Dashboard!$AB$3="All",L256=Dashboard!$AB$3),OR(Dashboard!$N$10="All",W256=Dashboard!$N$10)),1,0)</f>
        <v>0</v>
      </c>
      <c r="AA256" s="57" t="n">
        <f aca="false">IF(AND(Z256=1,OR(Dashboard!$B$7="All",S256=Dashboard!$B$7)),1,0)</f>
        <v>0</v>
      </c>
      <c r="AB256" s="57" t="n">
        <f aca="false">IF(AND(V256=1,F256&lt;&gt;0),1,0)</f>
        <v>0</v>
      </c>
      <c r="AC256" s="57" t="n">
        <f aca="false">IF(AND(AA256=1,AB256=1),IF(COUNTIFS($J$17:J256,J256,$AA$17:AA256,1,$AB$17:AB256,1)=1,1,0),0)</f>
        <v>0</v>
      </c>
      <c r="AD256" s="57" t="n">
        <f aca="false">IF(AND(AA256=1,AB256=1),IF(COUNTIFS($K$17:K256,K256,$AA$17:AA256,1,$AB$17:AB256,1)=1,1,0),0)</f>
        <v>0</v>
      </c>
      <c r="AE256" s="57" t="n">
        <f aca="false">IF(AND(Z256=1,AB256=1),IF(COUNTIFS($J$17:J256,J256,$S$17:S256,S256,$Z$17:Z256,1,$AB$17:AB256,1)=1,1,0),0)</f>
        <v>0</v>
      </c>
      <c r="AF256" s="57" t="n">
        <f aca="false">IF(AND(Z256=1,AB256=1),IF(COUNTIFS($K$17:K256,K256,$S$17:S256,S256,$Z$17:Z256,1,$AB$17:AB256,1)=1,1,0),0)</f>
        <v>0</v>
      </c>
      <c r="AG256" s="57" t="n">
        <f aca="false">IF(AND(AA256=1,AB256=1),IF(COUNTIFS($J$17:J256,J256,$L$17:L256,L256,$AA$17:AA256,1,$AB$17:AB256,1)=1,1,0),0)</f>
        <v>0</v>
      </c>
      <c r="AH256" s="57" t="n">
        <f aca="false">IF(AND(AA256=1,AB256=1),IF(COUNTIFS($J$17:J256,J256,$K$17:K256,K256,$AA$17:AA256,1,$AB$17:AB256,1)=1,1,0),0)</f>
        <v>0</v>
      </c>
      <c r="AI256" s="56" t="n">
        <f aca="false">IF(V256=1,MAX(F256,0),0)</f>
        <v>0</v>
      </c>
      <c r="AJ256" s="56" t="n">
        <f aca="false">IF(V256=1,MIN(F256,0),0)</f>
        <v>0</v>
      </c>
    </row>
    <row r="257" customFormat="false" ht="40" hidden="false" customHeight="true" outlineLevel="0" collapsed="false">
      <c r="A257" s="66"/>
      <c r="B257" s="54" t="str">
        <f aca="false">IF(M257="","",IF(P257="",M257,HYPERLINK(P257,M257)))</f>
        <v/>
      </c>
      <c r="C257" s="54" t="str">
        <f aca="false">IF(N257="","",IF(Q257="",N257,HYPERLINK(Q257,N257)))</f>
        <v/>
      </c>
      <c r="D257" s="60"/>
      <c r="E257" s="54" t="str">
        <f aca="false">IF(O257="","",IF(R257="",O257,HYPERLINK(R257,O257)))</f>
        <v/>
      </c>
      <c r="F257" s="62"/>
      <c r="G257" s="61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7" t="str">
        <f aca="false">IF(ISNUMBER(A257),YEAR(A257)+IF(MONTH(A257)&gt;=10,1,0),"")</f>
        <v/>
      </c>
      <c r="T257" s="57" t="str">
        <f aca="false">IF(ISNUMBER(A257),INT(MOD(MONTH(A257)-10,12)/3)+1,"")</f>
        <v/>
      </c>
      <c r="U257" s="57" t="str">
        <f aca="false">IF(AND(I257&lt;&gt;"",D257&lt;&gt;"",OR(COUNTIFS(TransactionsData[Vendor ID],K257,TransactionsData[UEI],"&lt;&gt;"&amp;D257,TransactionsData[UEI],"?*")&gt;0,COUNTIFS(VendorGroups[Record ID],K257,VendorGroups[Source UEI],"&lt;&gt;"&amp;D257,VendorGroups[Source UEI],"?*")&gt;0)),"Conflicting vendor UEIs",IF(I257="",IF(COUNTA(A257,D257,F257:R257)&gt;0,"Missing transaction ID",""),IF(COUNTIFS(TransactionsData[Transaction ID],I257)&lt;&gt;1,"Duplicate transaction ID",IF(OR(NOT(ISNUMBER(A257)),A257&lt;1,A257&gt;DATE(2099,1,1)),"Use a valid date",IF(OR(A257&lt;$B$4,A257&gt;$D$4),"Outside coverage",IF(NOT(ISNUMBER(F257)),"Missing or invalid amount",IF(OR(K257="",L257="",N257=""),"Add vendor and office identities",IF(G257="Exclude",IF(OR(F257&lt;&gt;0,H257=""),"Review nonzero or unexplained exclusion",""),IF(G257&lt;&gt;"Include","Choose Include or Exclude",IF(COUNTIFS(AwardsData[Award ID],J257)&lt;&gt;1,"Award link needs review",IF(INDEX(AwardsData[Input check],MATCH(J257,AwardsData[Award ID],0))&lt;&gt;"","Check award inputs","")))))))))))</f>
        <v/>
      </c>
      <c r="V257" s="57" t="n">
        <f aca="false">IF(AND(I257&lt;&gt;"",U257="",G257="Include"),1,0)</f>
        <v>0</v>
      </c>
      <c r="W257" s="57" t="str">
        <f aca="false">IF(I257="","",IF(COUNTIFS(AwardsData[Award ID],J257)=1,INDEX(AwardsData[Current award type],MATCH(J257,AwardsData[Award ID],0)),"Unlinked"))</f>
        <v/>
      </c>
      <c r="X257" s="57" t="str">
        <f aca="false">IF(I257="","",IF(COUNTIFS(AwardsData[Award ID],J257)=1,INDEX(AwardsData[Current set-aside],MATCH(J257,AwardsData[Award ID],0)),"Unlinked"))</f>
        <v/>
      </c>
      <c r="Y257" s="57" t="str">
        <f aca="false">IF(I257="","",IF(COUNTIFS(AwardsData[Award ID],J257)=1,INDEX(AwardsData[Performance state],MATCH(J257,AwardsData[Award ID],0)),"Unlinked"))</f>
        <v/>
      </c>
      <c r="Z257" s="57" t="n">
        <f aca="false">IF(AND(V257=1,OR(Dashboard!$AB$2="All",K257=Dashboard!$AB$2),OR(Dashboard!$AB$3="All",L257=Dashboard!$AB$3),OR(Dashboard!$N$10="All",W257=Dashboard!$N$10)),1,0)</f>
        <v>0</v>
      </c>
      <c r="AA257" s="57" t="n">
        <f aca="false">IF(AND(Z257=1,OR(Dashboard!$B$7="All",S257=Dashboard!$B$7)),1,0)</f>
        <v>0</v>
      </c>
      <c r="AB257" s="57" t="n">
        <f aca="false">IF(AND(V257=1,F257&lt;&gt;0),1,0)</f>
        <v>0</v>
      </c>
      <c r="AC257" s="57" t="n">
        <f aca="false">IF(AND(AA257=1,AB257=1),IF(COUNTIFS($J$17:J257,J257,$AA$17:AA257,1,$AB$17:AB257,1)=1,1,0),0)</f>
        <v>0</v>
      </c>
      <c r="AD257" s="57" t="n">
        <f aca="false">IF(AND(AA257=1,AB257=1),IF(COUNTIFS($K$17:K257,K257,$AA$17:AA257,1,$AB$17:AB257,1)=1,1,0),0)</f>
        <v>0</v>
      </c>
      <c r="AE257" s="57" t="n">
        <f aca="false">IF(AND(Z257=1,AB257=1),IF(COUNTIFS($J$17:J257,J257,$S$17:S257,S257,$Z$17:Z257,1,$AB$17:AB257,1)=1,1,0),0)</f>
        <v>0</v>
      </c>
      <c r="AF257" s="57" t="n">
        <f aca="false">IF(AND(Z257=1,AB257=1),IF(COUNTIFS($K$17:K257,K257,$S$17:S257,S257,$Z$17:Z257,1,$AB$17:AB257,1)=1,1,0),0)</f>
        <v>0</v>
      </c>
      <c r="AG257" s="57" t="n">
        <f aca="false">IF(AND(AA257=1,AB257=1),IF(COUNTIFS($J$17:J257,J257,$L$17:L257,L257,$AA$17:AA257,1,$AB$17:AB257,1)=1,1,0),0)</f>
        <v>0</v>
      </c>
      <c r="AH257" s="57" t="n">
        <f aca="false">IF(AND(AA257=1,AB257=1),IF(COUNTIFS($J$17:J257,J257,$K$17:K257,K257,$AA$17:AA257,1,$AB$17:AB257,1)=1,1,0),0)</f>
        <v>0</v>
      </c>
      <c r="AI257" s="56" t="n">
        <f aca="false">IF(V257=1,MAX(F257,0),0)</f>
        <v>0</v>
      </c>
      <c r="AJ257" s="56" t="n">
        <f aca="false">IF(V257=1,MIN(F257,0),0)</f>
        <v>0</v>
      </c>
    </row>
    <row r="258" customFormat="false" ht="40" hidden="false" customHeight="true" outlineLevel="0" collapsed="false">
      <c r="A258" s="66"/>
      <c r="B258" s="54" t="str">
        <f aca="false">IF(M258="","",IF(P258="",M258,HYPERLINK(P258,M258)))</f>
        <v/>
      </c>
      <c r="C258" s="54" t="str">
        <f aca="false">IF(N258="","",IF(Q258="",N258,HYPERLINK(Q258,N258)))</f>
        <v/>
      </c>
      <c r="D258" s="60"/>
      <c r="E258" s="54" t="str">
        <f aca="false">IF(O258="","",IF(R258="",O258,HYPERLINK(R258,O258)))</f>
        <v/>
      </c>
      <c r="F258" s="62"/>
      <c r="G258" s="61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7" t="str">
        <f aca="false">IF(ISNUMBER(A258),YEAR(A258)+IF(MONTH(A258)&gt;=10,1,0),"")</f>
        <v/>
      </c>
      <c r="T258" s="57" t="str">
        <f aca="false">IF(ISNUMBER(A258),INT(MOD(MONTH(A258)-10,12)/3)+1,"")</f>
        <v/>
      </c>
      <c r="U258" s="57" t="str">
        <f aca="false">IF(AND(I258&lt;&gt;"",D258&lt;&gt;"",OR(COUNTIFS(TransactionsData[Vendor ID],K258,TransactionsData[UEI],"&lt;&gt;"&amp;D258,TransactionsData[UEI],"?*")&gt;0,COUNTIFS(VendorGroups[Record ID],K258,VendorGroups[Source UEI],"&lt;&gt;"&amp;D258,VendorGroups[Source UEI],"?*")&gt;0)),"Conflicting vendor UEIs",IF(I258="",IF(COUNTA(A258,D258,F258:R258)&gt;0,"Missing transaction ID",""),IF(COUNTIFS(TransactionsData[Transaction ID],I258)&lt;&gt;1,"Duplicate transaction ID",IF(OR(NOT(ISNUMBER(A258)),A258&lt;1,A258&gt;DATE(2099,1,1)),"Use a valid date",IF(OR(A258&lt;$B$4,A258&gt;$D$4),"Outside coverage",IF(NOT(ISNUMBER(F258)),"Missing or invalid amount",IF(OR(K258="",L258="",N258=""),"Add vendor and office identities",IF(G258="Exclude",IF(OR(F258&lt;&gt;0,H258=""),"Review nonzero or unexplained exclusion",""),IF(G258&lt;&gt;"Include","Choose Include or Exclude",IF(COUNTIFS(AwardsData[Award ID],J258)&lt;&gt;1,"Award link needs review",IF(INDEX(AwardsData[Input check],MATCH(J258,AwardsData[Award ID],0))&lt;&gt;"","Check award inputs","")))))))))))</f>
        <v/>
      </c>
      <c r="V258" s="57" t="n">
        <f aca="false">IF(AND(I258&lt;&gt;"",U258="",G258="Include"),1,0)</f>
        <v>0</v>
      </c>
      <c r="W258" s="57" t="str">
        <f aca="false">IF(I258="","",IF(COUNTIFS(AwardsData[Award ID],J258)=1,INDEX(AwardsData[Current award type],MATCH(J258,AwardsData[Award ID],0)),"Unlinked"))</f>
        <v/>
      </c>
      <c r="X258" s="57" t="str">
        <f aca="false">IF(I258="","",IF(COUNTIFS(AwardsData[Award ID],J258)=1,INDEX(AwardsData[Current set-aside],MATCH(J258,AwardsData[Award ID],0)),"Unlinked"))</f>
        <v/>
      </c>
      <c r="Y258" s="57" t="str">
        <f aca="false">IF(I258="","",IF(COUNTIFS(AwardsData[Award ID],J258)=1,INDEX(AwardsData[Performance state],MATCH(J258,AwardsData[Award ID],0)),"Unlinked"))</f>
        <v/>
      </c>
      <c r="Z258" s="57" t="n">
        <f aca="false">IF(AND(V258=1,OR(Dashboard!$AB$2="All",K258=Dashboard!$AB$2),OR(Dashboard!$AB$3="All",L258=Dashboard!$AB$3),OR(Dashboard!$N$10="All",W258=Dashboard!$N$10)),1,0)</f>
        <v>0</v>
      </c>
      <c r="AA258" s="57" t="n">
        <f aca="false">IF(AND(Z258=1,OR(Dashboard!$B$7="All",S258=Dashboard!$B$7)),1,0)</f>
        <v>0</v>
      </c>
      <c r="AB258" s="57" t="n">
        <f aca="false">IF(AND(V258=1,F258&lt;&gt;0),1,0)</f>
        <v>0</v>
      </c>
      <c r="AC258" s="57" t="n">
        <f aca="false">IF(AND(AA258=1,AB258=1),IF(COUNTIFS($J$17:J258,J258,$AA$17:AA258,1,$AB$17:AB258,1)=1,1,0),0)</f>
        <v>0</v>
      </c>
      <c r="AD258" s="57" t="n">
        <f aca="false">IF(AND(AA258=1,AB258=1),IF(COUNTIFS($K$17:K258,K258,$AA$17:AA258,1,$AB$17:AB258,1)=1,1,0),0)</f>
        <v>0</v>
      </c>
      <c r="AE258" s="57" t="n">
        <f aca="false">IF(AND(Z258=1,AB258=1),IF(COUNTIFS($J$17:J258,J258,$S$17:S258,S258,$Z$17:Z258,1,$AB$17:AB258,1)=1,1,0),0)</f>
        <v>0</v>
      </c>
      <c r="AF258" s="57" t="n">
        <f aca="false">IF(AND(Z258=1,AB258=1),IF(COUNTIFS($K$17:K258,K258,$S$17:S258,S258,$Z$17:Z258,1,$AB$17:AB258,1)=1,1,0),0)</f>
        <v>0</v>
      </c>
      <c r="AG258" s="57" t="n">
        <f aca="false">IF(AND(AA258=1,AB258=1),IF(COUNTIFS($J$17:J258,J258,$L$17:L258,L258,$AA$17:AA258,1,$AB$17:AB258,1)=1,1,0),0)</f>
        <v>0</v>
      </c>
      <c r="AH258" s="57" t="n">
        <f aca="false">IF(AND(AA258=1,AB258=1),IF(COUNTIFS($J$17:J258,J258,$K$17:K258,K258,$AA$17:AA258,1,$AB$17:AB258,1)=1,1,0),0)</f>
        <v>0</v>
      </c>
      <c r="AI258" s="56" t="n">
        <f aca="false">IF(V258=1,MAX(F258,0),0)</f>
        <v>0</v>
      </c>
      <c r="AJ258" s="56" t="n">
        <f aca="false">IF(V258=1,MIN(F258,0),0)</f>
        <v>0</v>
      </c>
    </row>
    <row r="259" customFormat="false" ht="40" hidden="false" customHeight="true" outlineLevel="0" collapsed="false">
      <c r="A259" s="66"/>
      <c r="B259" s="54" t="str">
        <f aca="false">IF(M259="","",IF(P259="",M259,HYPERLINK(P259,M259)))</f>
        <v/>
      </c>
      <c r="C259" s="54" t="str">
        <f aca="false">IF(N259="","",IF(Q259="",N259,HYPERLINK(Q259,N259)))</f>
        <v/>
      </c>
      <c r="D259" s="60"/>
      <c r="E259" s="54" t="str">
        <f aca="false">IF(O259="","",IF(R259="",O259,HYPERLINK(R259,O259)))</f>
        <v/>
      </c>
      <c r="F259" s="62"/>
      <c r="G259" s="61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7" t="str">
        <f aca="false">IF(ISNUMBER(A259),YEAR(A259)+IF(MONTH(A259)&gt;=10,1,0),"")</f>
        <v/>
      </c>
      <c r="T259" s="57" t="str">
        <f aca="false">IF(ISNUMBER(A259),INT(MOD(MONTH(A259)-10,12)/3)+1,"")</f>
        <v/>
      </c>
      <c r="U259" s="57" t="str">
        <f aca="false">IF(AND(I259&lt;&gt;"",D259&lt;&gt;"",OR(COUNTIFS(TransactionsData[Vendor ID],K259,TransactionsData[UEI],"&lt;&gt;"&amp;D259,TransactionsData[UEI],"?*")&gt;0,COUNTIFS(VendorGroups[Record ID],K259,VendorGroups[Source UEI],"&lt;&gt;"&amp;D259,VendorGroups[Source UEI],"?*")&gt;0)),"Conflicting vendor UEIs",IF(I259="",IF(COUNTA(A259,D259,F259:R259)&gt;0,"Missing transaction ID",""),IF(COUNTIFS(TransactionsData[Transaction ID],I259)&lt;&gt;1,"Duplicate transaction ID",IF(OR(NOT(ISNUMBER(A259)),A259&lt;1,A259&gt;DATE(2099,1,1)),"Use a valid date",IF(OR(A259&lt;$B$4,A259&gt;$D$4),"Outside coverage",IF(NOT(ISNUMBER(F259)),"Missing or invalid amount",IF(OR(K259="",L259="",N259=""),"Add vendor and office identities",IF(G259="Exclude",IF(OR(F259&lt;&gt;0,H259=""),"Review nonzero or unexplained exclusion",""),IF(G259&lt;&gt;"Include","Choose Include or Exclude",IF(COUNTIFS(AwardsData[Award ID],J259)&lt;&gt;1,"Award link needs review",IF(INDEX(AwardsData[Input check],MATCH(J259,AwardsData[Award ID],0))&lt;&gt;"","Check award inputs","")))))))))))</f>
        <v/>
      </c>
      <c r="V259" s="57" t="n">
        <f aca="false">IF(AND(I259&lt;&gt;"",U259="",G259="Include"),1,0)</f>
        <v>0</v>
      </c>
      <c r="W259" s="57" t="str">
        <f aca="false">IF(I259="","",IF(COUNTIFS(AwardsData[Award ID],J259)=1,INDEX(AwardsData[Current award type],MATCH(J259,AwardsData[Award ID],0)),"Unlinked"))</f>
        <v/>
      </c>
      <c r="X259" s="57" t="str">
        <f aca="false">IF(I259="","",IF(COUNTIFS(AwardsData[Award ID],J259)=1,INDEX(AwardsData[Current set-aside],MATCH(J259,AwardsData[Award ID],0)),"Unlinked"))</f>
        <v/>
      </c>
      <c r="Y259" s="57" t="str">
        <f aca="false">IF(I259="","",IF(COUNTIFS(AwardsData[Award ID],J259)=1,INDEX(AwardsData[Performance state],MATCH(J259,AwardsData[Award ID],0)),"Unlinked"))</f>
        <v/>
      </c>
      <c r="Z259" s="57" t="n">
        <f aca="false">IF(AND(V259=1,OR(Dashboard!$AB$2="All",K259=Dashboard!$AB$2),OR(Dashboard!$AB$3="All",L259=Dashboard!$AB$3),OR(Dashboard!$N$10="All",W259=Dashboard!$N$10)),1,0)</f>
        <v>0</v>
      </c>
      <c r="AA259" s="57" t="n">
        <f aca="false">IF(AND(Z259=1,OR(Dashboard!$B$7="All",S259=Dashboard!$B$7)),1,0)</f>
        <v>0</v>
      </c>
      <c r="AB259" s="57" t="n">
        <f aca="false">IF(AND(V259=1,F259&lt;&gt;0),1,0)</f>
        <v>0</v>
      </c>
      <c r="AC259" s="57" t="n">
        <f aca="false">IF(AND(AA259=1,AB259=1),IF(COUNTIFS($J$17:J259,J259,$AA$17:AA259,1,$AB$17:AB259,1)=1,1,0),0)</f>
        <v>0</v>
      </c>
      <c r="AD259" s="57" t="n">
        <f aca="false">IF(AND(AA259=1,AB259=1),IF(COUNTIFS($K$17:K259,K259,$AA$17:AA259,1,$AB$17:AB259,1)=1,1,0),0)</f>
        <v>0</v>
      </c>
      <c r="AE259" s="57" t="n">
        <f aca="false">IF(AND(Z259=1,AB259=1),IF(COUNTIFS($J$17:J259,J259,$S$17:S259,S259,$Z$17:Z259,1,$AB$17:AB259,1)=1,1,0),0)</f>
        <v>0</v>
      </c>
      <c r="AF259" s="57" t="n">
        <f aca="false">IF(AND(Z259=1,AB259=1),IF(COUNTIFS($K$17:K259,K259,$S$17:S259,S259,$Z$17:Z259,1,$AB$17:AB259,1)=1,1,0),0)</f>
        <v>0</v>
      </c>
      <c r="AG259" s="57" t="n">
        <f aca="false">IF(AND(AA259=1,AB259=1),IF(COUNTIFS($J$17:J259,J259,$L$17:L259,L259,$AA$17:AA259,1,$AB$17:AB259,1)=1,1,0),0)</f>
        <v>0</v>
      </c>
      <c r="AH259" s="57" t="n">
        <f aca="false">IF(AND(AA259=1,AB259=1),IF(COUNTIFS($J$17:J259,J259,$K$17:K259,K259,$AA$17:AA259,1,$AB$17:AB259,1)=1,1,0),0)</f>
        <v>0</v>
      </c>
      <c r="AI259" s="56" t="n">
        <f aca="false">IF(V259=1,MAX(F259,0),0)</f>
        <v>0</v>
      </c>
      <c r="AJ259" s="56" t="n">
        <f aca="false">IF(V259=1,MIN(F259,0),0)</f>
        <v>0</v>
      </c>
    </row>
    <row r="260" customFormat="false" ht="40" hidden="false" customHeight="true" outlineLevel="0" collapsed="false">
      <c r="A260" s="66"/>
      <c r="B260" s="54" t="str">
        <f aca="false">IF(M260="","",IF(P260="",M260,HYPERLINK(P260,M260)))</f>
        <v/>
      </c>
      <c r="C260" s="54" t="str">
        <f aca="false">IF(N260="","",IF(Q260="",N260,HYPERLINK(Q260,N260)))</f>
        <v/>
      </c>
      <c r="D260" s="60"/>
      <c r="E260" s="54" t="str">
        <f aca="false">IF(O260="","",IF(R260="",O260,HYPERLINK(R260,O260)))</f>
        <v/>
      </c>
      <c r="F260" s="62"/>
      <c r="G260" s="61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7" t="str">
        <f aca="false">IF(ISNUMBER(A260),YEAR(A260)+IF(MONTH(A260)&gt;=10,1,0),"")</f>
        <v/>
      </c>
      <c r="T260" s="57" t="str">
        <f aca="false">IF(ISNUMBER(A260),INT(MOD(MONTH(A260)-10,12)/3)+1,"")</f>
        <v/>
      </c>
      <c r="U260" s="57" t="str">
        <f aca="false">IF(AND(I260&lt;&gt;"",D260&lt;&gt;"",OR(COUNTIFS(TransactionsData[Vendor ID],K260,TransactionsData[UEI],"&lt;&gt;"&amp;D260,TransactionsData[UEI],"?*")&gt;0,COUNTIFS(VendorGroups[Record ID],K260,VendorGroups[Source UEI],"&lt;&gt;"&amp;D260,VendorGroups[Source UEI],"?*")&gt;0)),"Conflicting vendor UEIs",IF(I260="",IF(COUNTA(A260,D260,F260:R260)&gt;0,"Missing transaction ID",""),IF(COUNTIFS(TransactionsData[Transaction ID],I260)&lt;&gt;1,"Duplicate transaction ID",IF(OR(NOT(ISNUMBER(A260)),A260&lt;1,A260&gt;DATE(2099,1,1)),"Use a valid date",IF(OR(A260&lt;$B$4,A260&gt;$D$4),"Outside coverage",IF(NOT(ISNUMBER(F260)),"Missing or invalid amount",IF(OR(K260="",L260="",N260=""),"Add vendor and office identities",IF(G260="Exclude",IF(OR(F260&lt;&gt;0,H260=""),"Review nonzero or unexplained exclusion",""),IF(G260&lt;&gt;"Include","Choose Include or Exclude",IF(COUNTIFS(AwardsData[Award ID],J260)&lt;&gt;1,"Award link needs review",IF(INDEX(AwardsData[Input check],MATCH(J260,AwardsData[Award ID],0))&lt;&gt;"","Check award inputs","")))))))))))</f>
        <v/>
      </c>
      <c r="V260" s="57" t="n">
        <f aca="false">IF(AND(I260&lt;&gt;"",U260="",G260="Include"),1,0)</f>
        <v>0</v>
      </c>
      <c r="W260" s="57" t="str">
        <f aca="false">IF(I260="","",IF(COUNTIFS(AwardsData[Award ID],J260)=1,INDEX(AwardsData[Current award type],MATCH(J260,AwardsData[Award ID],0)),"Unlinked"))</f>
        <v/>
      </c>
      <c r="X260" s="57" t="str">
        <f aca="false">IF(I260="","",IF(COUNTIFS(AwardsData[Award ID],J260)=1,INDEX(AwardsData[Current set-aside],MATCH(J260,AwardsData[Award ID],0)),"Unlinked"))</f>
        <v/>
      </c>
      <c r="Y260" s="57" t="str">
        <f aca="false">IF(I260="","",IF(COUNTIFS(AwardsData[Award ID],J260)=1,INDEX(AwardsData[Performance state],MATCH(J260,AwardsData[Award ID],0)),"Unlinked"))</f>
        <v/>
      </c>
      <c r="Z260" s="57" t="n">
        <f aca="false">IF(AND(V260=1,OR(Dashboard!$AB$2="All",K260=Dashboard!$AB$2),OR(Dashboard!$AB$3="All",L260=Dashboard!$AB$3),OR(Dashboard!$N$10="All",W260=Dashboard!$N$10)),1,0)</f>
        <v>0</v>
      </c>
      <c r="AA260" s="57" t="n">
        <f aca="false">IF(AND(Z260=1,OR(Dashboard!$B$7="All",S260=Dashboard!$B$7)),1,0)</f>
        <v>0</v>
      </c>
      <c r="AB260" s="57" t="n">
        <f aca="false">IF(AND(V260=1,F260&lt;&gt;0),1,0)</f>
        <v>0</v>
      </c>
      <c r="AC260" s="57" t="n">
        <f aca="false">IF(AND(AA260=1,AB260=1),IF(COUNTIFS($J$17:J260,J260,$AA$17:AA260,1,$AB$17:AB260,1)=1,1,0),0)</f>
        <v>0</v>
      </c>
      <c r="AD260" s="57" t="n">
        <f aca="false">IF(AND(AA260=1,AB260=1),IF(COUNTIFS($K$17:K260,K260,$AA$17:AA260,1,$AB$17:AB260,1)=1,1,0),0)</f>
        <v>0</v>
      </c>
      <c r="AE260" s="57" t="n">
        <f aca="false">IF(AND(Z260=1,AB260=1),IF(COUNTIFS($J$17:J260,J260,$S$17:S260,S260,$Z$17:Z260,1,$AB$17:AB260,1)=1,1,0),0)</f>
        <v>0</v>
      </c>
      <c r="AF260" s="57" t="n">
        <f aca="false">IF(AND(Z260=1,AB260=1),IF(COUNTIFS($K$17:K260,K260,$S$17:S260,S260,$Z$17:Z260,1,$AB$17:AB260,1)=1,1,0),0)</f>
        <v>0</v>
      </c>
      <c r="AG260" s="57" t="n">
        <f aca="false">IF(AND(AA260=1,AB260=1),IF(COUNTIFS($J$17:J260,J260,$L$17:L260,L260,$AA$17:AA260,1,$AB$17:AB260,1)=1,1,0),0)</f>
        <v>0</v>
      </c>
      <c r="AH260" s="57" t="n">
        <f aca="false">IF(AND(AA260=1,AB260=1),IF(COUNTIFS($J$17:J260,J260,$K$17:K260,K260,$AA$17:AA260,1,$AB$17:AB260,1)=1,1,0),0)</f>
        <v>0</v>
      </c>
      <c r="AI260" s="56" t="n">
        <f aca="false">IF(V260=1,MAX(F260,0),0)</f>
        <v>0</v>
      </c>
      <c r="AJ260" s="56" t="n">
        <f aca="false">IF(V260=1,MIN(F260,0),0)</f>
        <v>0</v>
      </c>
    </row>
    <row r="261" customFormat="false" ht="40" hidden="false" customHeight="true" outlineLevel="0" collapsed="false">
      <c r="A261" s="66"/>
      <c r="B261" s="54" t="str">
        <f aca="false">IF(M261="","",IF(P261="",M261,HYPERLINK(P261,M261)))</f>
        <v/>
      </c>
      <c r="C261" s="54" t="str">
        <f aca="false">IF(N261="","",IF(Q261="",N261,HYPERLINK(Q261,N261)))</f>
        <v/>
      </c>
      <c r="D261" s="60"/>
      <c r="E261" s="54" t="str">
        <f aca="false">IF(O261="","",IF(R261="",O261,HYPERLINK(R261,O261)))</f>
        <v/>
      </c>
      <c r="F261" s="62"/>
      <c r="G261" s="61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7" t="str">
        <f aca="false">IF(ISNUMBER(A261),YEAR(A261)+IF(MONTH(A261)&gt;=10,1,0),"")</f>
        <v/>
      </c>
      <c r="T261" s="57" t="str">
        <f aca="false">IF(ISNUMBER(A261),INT(MOD(MONTH(A261)-10,12)/3)+1,"")</f>
        <v/>
      </c>
      <c r="U261" s="57" t="str">
        <f aca="false">IF(AND(I261&lt;&gt;"",D261&lt;&gt;"",OR(COUNTIFS(TransactionsData[Vendor ID],K261,TransactionsData[UEI],"&lt;&gt;"&amp;D261,TransactionsData[UEI],"?*")&gt;0,COUNTIFS(VendorGroups[Record ID],K261,VendorGroups[Source UEI],"&lt;&gt;"&amp;D261,VendorGroups[Source UEI],"?*")&gt;0)),"Conflicting vendor UEIs",IF(I261="",IF(COUNTA(A261,D261,F261:R261)&gt;0,"Missing transaction ID",""),IF(COUNTIFS(TransactionsData[Transaction ID],I261)&lt;&gt;1,"Duplicate transaction ID",IF(OR(NOT(ISNUMBER(A261)),A261&lt;1,A261&gt;DATE(2099,1,1)),"Use a valid date",IF(OR(A261&lt;$B$4,A261&gt;$D$4),"Outside coverage",IF(NOT(ISNUMBER(F261)),"Missing or invalid amount",IF(OR(K261="",L261="",N261=""),"Add vendor and office identities",IF(G261="Exclude",IF(OR(F261&lt;&gt;0,H261=""),"Review nonzero or unexplained exclusion",""),IF(G261&lt;&gt;"Include","Choose Include or Exclude",IF(COUNTIFS(AwardsData[Award ID],J261)&lt;&gt;1,"Award link needs review",IF(INDEX(AwardsData[Input check],MATCH(J261,AwardsData[Award ID],0))&lt;&gt;"","Check award inputs","")))))))))))</f>
        <v/>
      </c>
      <c r="V261" s="57" t="n">
        <f aca="false">IF(AND(I261&lt;&gt;"",U261="",G261="Include"),1,0)</f>
        <v>0</v>
      </c>
      <c r="W261" s="57" t="str">
        <f aca="false">IF(I261="","",IF(COUNTIFS(AwardsData[Award ID],J261)=1,INDEX(AwardsData[Current award type],MATCH(J261,AwardsData[Award ID],0)),"Unlinked"))</f>
        <v/>
      </c>
      <c r="X261" s="57" t="str">
        <f aca="false">IF(I261="","",IF(COUNTIFS(AwardsData[Award ID],J261)=1,INDEX(AwardsData[Current set-aside],MATCH(J261,AwardsData[Award ID],0)),"Unlinked"))</f>
        <v/>
      </c>
      <c r="Y261" s="57" t="str">
        <f aca="false">IF(I261="","",IF(COUNTIFS(AwardsData[Award ID],J261)=1,INDEX(AwardsData[Performance state],MATCH(J261,AwardsData[Award ID],0)),"Unlinked"))</f>
        <v/>
      </c>
      <c r="Z261" s="57" t="n">
        <f aca="false">IF(AND(V261=1,OR(Dashboard!$AB$2="All",K261=Dashboard!$AB$2),OR(Dashboard!$AB$3="All",L261=Dashboard!$AB$3),OR(Dashboard!$N$10="All",W261=Dashboard!$N$10)),1,0)</f>
        <v>0</v>
      </c>
      <c r="AA261" s="57" t="n">
        <f aca="false">IF(AND(Z261=1,OR(Dashboard!$B$7="All",S261=Dashboard!$B$7)),1,0)</f>
        <v>0</v>
      </c>
      <c r="AB261" s="57" t="n">
        <f aca="false">IF(AND(V261=1,F261&lt;&gt;0),1,0)</f>
        <v>0</v>
      </c>
      <c r="AC261" s="57" t="n">
        <f aca="false">IF(AND(AA261=1,AB261=1),IF(COUNTIFS($J$17:J261,J261,$AA$17:AA261,1,$AB$17:AB261,1)=1,1,0),0)</f>
        <v>0</v>
      </c>
      <c r="AD261" s="57" t="n">
        <f aca="false">IF(AND(AA261=1,AB261=1),IF(COUNTIFS($K$17:K261,K261,$AA$17:AA261,1,$AB$17:AB261,1)=1,1,0),0)</f>
        <v>0</v>
      </c>
      <c r="AE261" s="57" t="n">
        <f aca="false">IF(AND(Z261=1,AB261=1),IF(COUNTIFS($J$17:J261,J261,$S$17:S261,S261,$Z$17:Z261,1,$AB$17:AB261,1)=1,1,0),0)</f>
        <v>0</v>
      </c>
      <c r="AF261" s="57" t="n">
        <f aca="false">IF(AND(Z261=1,AB261=1),IF(COUNTIFS($K$17:K261,K261,$S$17:S261,S261,$Z$17:Z261,1,$AB$17:AB261,1)=1,1,0),0)</f>
        <v>0</v>
      </c>
      <c r="AG261" s="57" t="n">
        <f aca="false">IF(AND(AA261=1,AB261=1),IF(COUNTIFS($J$17:J261,J261,$L$17:L261,L261,$AA$17:AA261,1,$AB$17:AB261,1)=1,1,0),0)</f>
        <v>0</v>
      </c>
      <c r="AH261" s="57" t="n">
        <f aca="false">IF(AND(AA261=1,AB261=1),IF(COUNTIFS($J$17:J261,J261,$K$17:K261,K261,$AA$17:AA261,1,$AB$17:AB261,1)=1,1,0),0)</f>
        <v>0</v>
      </c>
      <c r="AI261" s="56" t="n">
        <f aca="false">IF(V261=1,MAX(F261,0),0)</f>
        <v>0</v>
      </c>
      <c r="AJ261" s="56" t="n">
        <f aca="false">IF(V261=1,MIN(F261,0),0)</f>
        <v>0</v>
      </c>
    </row>
    <row r="262" customFormat="false" ht="40" hidden="false" customHeight="true" outlineLevel="0" collapsed="false">
      <c r="A262" s="66"/>
      <c r="B262" s="54" t="str">
        <f aca="false">IF(M262="","",IF(P262="",M262,HYPERLINK(P262,M262)))</f>
        <v/>
      </c>
      <c r="C262" s="54" t="str">
        <f aca="false">IF(N262="","",IF(Q262="",N262,HYPERLINK(Q262,N262)))</f>
        <v/>
      </c>
      <c r="D262" s="60"/>
      <c r="E262" s="54" t="str">
        <f aca="false">IF(O262="","",IF(R262="",O262,HYPERLINK(R262,O262)))</f>
        <v/>
      </c>
      <c r="F262" s="62"/>
      <c r="G262" s="61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7" t="str">
        <f aca="false">IF(ISNUMBER(A262),YEAR(A262)+IF(MONTH(A262)&gt;=10,1,0),"")</f>
        <v/>
      </c>
      <c r="T262" s="57" t="str">
        <f aca="false">IF(ISNUMBER(A262),INT(MOD(MONTH(A262)-10,12)/3)+1,"")</f>
        <v/>
      </c>
      <c r="U262" s="57" t="str">
        <f aca="false">IF(AND(I262&lt;&gt;"",D262&lt;&gt;"",OR(COUNTIFS(TransactionsData[Vendor ID],K262,TransactionsData[UEI],"&lt;&gt;"&amp;D262,TransactionsData[UEI],"?*")&gt;0,COUNTIFS(VendorGroups[Record ID],K262,VendorGroups[Source UEI],"&lt;&gt;"&amp;D262,VendorGroups[Source UEI],"?*")&gt;0)),"Conflicting vendor UEIs",IF(I262="",IF(COUNTA(A262,D262,F262:R262)&gt;0,"Missing transaction ID",""),IF(COUNTIFS(TransactionsData[Transaction ID],I262)&lt;&gt;1,"Duplicate transaction ID",IF(OR(NOT(ISNUMBER(A262)),A262&lt;1,A262&gt;DATE(2099,1,1)),"Use a valid date",IF(OR(A262&lt;$B$4,A262&gt;$D$4),"Outside coverage",IF(NOT(ISNUMBER(F262)),"Missing or invalid amount",IF(OR(K262="",L262="",N262=""),"Add vendor and office identities",IF(G262="Exclude",IF(OR(F262&lt;&gt;0,H262=""),"Review nonzero or unexplained exclusion",""),IF(G262&lt;&gt;"Include","Choose Include or Exclude",IF(COUNTIFS(AwardsData[Award ID],J262)&lt;&gt;1,"Award link needs review",IF(INDEX(AwardsData[Input check],MATCH(J262,AwardsData[Award ID],0))&lt;&gt;"","Check award inputs","")))))))))))</f>
        <v/>
      </c>
      <c r="V262" s="57" t="n">
        <f aca="false">IF(AND(I262&lt;&gt;"",U262="",G262="Include"),1,0)</f>
        <v>0</v>
      </c>
      <c r="W262" s="57" t="str">
        <f aca="false">IF(I262="","",IF(COUNTIFS(AwardsData[Award ID],J262)=1,INDEX(AwardsData[Current award type],MATCH(J262,AwardsData[Award ID],0)),"Unlinked"))</f>
        <v/>
      </c>
      <c r="X262" s="57" t="str">
        <f aca="false">IF(I262="","",IF(COUNTIFS(AwardsData[Award ID],J262)=1,INDEX(AwardsData[Current set-aside],MATCH(J262,AwardsData[Award ID],0)),"Unlinked"))</f>
        <v/>
      </c>
      <c r="Y262" s="57" t="str">
        <f aca="false">IF(I262="","",IF(COUNTIFS(AwardsData[Award ID],J262)=1,INDEX(AwardsData[Performance state],MATCH(J262,AwardsData[Award ID],0)),"Unlinked"))</f>
        <v/>
      </c>
      <c r="Z262" s="57" t="n">
        <f aca="false">IF(AND(V262=1,OR(Dashboard!$AB$2="All",K262=Dashboard!$AB$2),OR(Dashboard!$AB$3="All",L262=Dashboard!$AB$3),OR(Dashboard!$N$10="All",W262=Dashboard!$N$10)),1,0)</f>
        <v>0</v>
      </c>
      <c r="AA262" s="57" t="n">
        <f aca="false">IF(AND(Z262=1,OR(Dashboard!$B$7="All",S262=Dashboard!$B$7)),1,0)</f>
        <v>0</v>
      </c>
      <c r="AB262" s="57" t="n">
        <f aca="false">IF(AND(V262=1,F262&lt;&gt;0),1,0)</f>
        <v>0</v>
      </c>
      <c r="AC262" s="57" t="n">
        <f aca="false">IF(AND(AA262=1,AB262=1),IF(COUNTIFS($J$17:J262,J262,$AA$17:AA262,1,$AB$17:AB262,1)=1,1,0),0)</f>
        <v>0</v>
      </c>
      <c r="AD262" s="57" t="n">
        <f aca="false">IF(AND(AA262=1,AB262=1),IF(COUNTIFS($K$17:K262,K262,$AA$17:AA262,1,$AB$17:AB262,1)=1,1,0),0)</f>
        <v>0</v>
      </c>
      <c r="AE262" s="57" t="n">
        <f aca="false">IF(AND(Z262=1,AB262=1),IF(COUNTIFS($J$17:J262,J262,$S$17:S262,S262,$Z$17:Z262,1,$AB$17:AB262,1)=1,1,0),0)</f>
        <v>0</v>
      </c>
      <c r="AF262" s="57" t="n">
        <f aca="false">IF(AND(Z262=1,AB262=1),IF(COUNTIFS($K$17:K262,K262,$S$17:S262,S262,$Z$17:Z262,1,$AB$17:AB262,1)=1,1,0),0)</f>
        <v>0</v>
      </c>
      <c r="AG262" s="57" t="n">
        <f aca="false">IF(AND(AA262=1,AB262=1),IF(COUNTIFS($J$17:J262,J262,$L$17:L262,L262,$AA$17:AA262,1,$AB$17:AB262,1)=1,1,0),0)</f>
        <v>0</v>
      </c>
      <c r="AH262" s="57" t="n">
        <f aca="false">IF(AND(AA262=1,AB262=1),IF(COUNTIFS($J$17:J262,J262,$K$17:K262,K262,$AA$17:AA262,1,$AB$17:AB262,1)=1,1,0),0)</f>
        <v>0</v>
      </c>
      <c r="AI262" s="56" t="n">
        <f aca="false">IF(V262=1,MAX(F262,0),0)</f>
        <v>0</v>
      </c>
      <c r="AJ262" s="56" t="n">
        <f aca="false">IF(V262=1,MIN(F262,0),0)</f>
        <v>0</v>
      </c>
    </row>
  </sheetData>
  <mergeCells count="7">
    <mergeCell ref="A2:E2"/>
    <mergeCell ref="B3:D3"/>
    <mergeCell ref="A6:G6"/>
    <mergeCell ref="A7:G7"/>
    <mergeCell ref="A12:G12"/>
    <mergeCell ref="A14:G14"/>
    <mergeCell ref="A15:G15"/>
  </mergeCells>
  <conditionalFormatting sqref="U17:U262">
    <cfRule type="expression" priority="2" aboveAverage="0" equalAverage="0" bottom="0" percent="0" rank="0" text="" dxfId="10">
      <formula>LEN(U17)&gt;0</formula>
    </cfRule>
  </conditionalFormatting>
  <dataValidations count="1">
    <dataValidation type="list" allowBlank="1" showErrorMessage="1" errorStyle="stop" errorTitle="Check this input" error="Choose a value from this list." sqref="G17:G262">
      <formula1>"Include,Exclude"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&amp;L&amp;"Arial,Bold"&amp;11Transactions</oddHeader>
    <oddFooter>&amp;LTransactions&amp;RPage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