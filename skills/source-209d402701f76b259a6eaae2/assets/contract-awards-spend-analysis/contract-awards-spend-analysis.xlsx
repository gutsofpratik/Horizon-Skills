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4.xml" ContentType="application/vnd.openxmlformats-officedocument.spreadsheetml.table+xml"/>
  <Override PartName="/xl/tables/table3.xml" ContentType="application/vnd.openxmlformats-officedocument.spreadsheetml.tabl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style1.xml" ContentType="application/vnd.ms-office.chartstyle+xml"/>
  <Override PartName="/xl/charts/chart3.xml" ContentType="application/vnd.openxmlformats-officedocument.drawingml.chart+xml"/>
  <Override PartName="/xl/charts/chart1.xml" ContentType="application/vnd.openxmlformats-officedocument.drawingml.chart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7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colors4.xml" ContentType="application/vnd.ms-office.chartcolorstyle+xml"/>
  <Override PartName="/xl/charts/colors6.xml" ContentType="application/vnd.ms-office.chartcolor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3.xml" ContentType="application/vnd.ms-office.chartcolorstyle+xml"/>
  <Override PartName="/xl/charts/style6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ns2="http://schemas.libreoffice.org/" xmlns:r="http://schemas.openxmlformats.org/officeDocument/2006/relationships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shboard" sheetId="1" state="visible" r:id="rId3"/>
    <sheet name="Trends" sheetId="2" state="visible" r:id="rId4"/>
    <sheet name="Vendors &amp; Buyers" sheetId="3" state="visible" r:id="rId5"/>
    <sheet name="Awards" sheetId="4" state="visible" r:id="rId6"/>
    <sheet name="Transactions" sheetId="5" state="visible" r:id="rId7"/>
  </sheets>
  <definedNames>
    <definedName name="AwardTypeCategories">'Dashboard'!$AD$42:$AD$42</definedName>
    <definedName name="SetAsideCategories">'Dashboard'!$AG$42:$AG$42</definedName>
    <definedName name="PerformanceStateCategories">'Dashboard'!$AJ$42:$AJ$42</definedName>
    <definedName name="VendorChoices">'Dashboard'!$AM$1:$AM$1</definedName>
    <definedName name="OfficeChoices">'Dashboard'!$AN$1:$AN$1</definedName>
    <definedName name="TypeChoices">'Dashboard'!$AO$1:$AO$1</definedName>
    <definedName name="_xlnm.Print_Area" localSheetId="0">'Dashboard'!$A$1:$Y$36,'Dashboard'!$A$38:$Y$78</definedName>
    <definedName name="_xlnm.Print_Area" localSheetId="1">'Trends'!$A$1:$H$26,'Trends'!$A$31:$H$35</definedName>
    <definedName name="_xlnm.Print_Titles" localSheetId="1">'Trends'!$3:$5</definedName>
    <definedName name="_xlnm.Print_Area" localSheetId="2">'Vendors &amp; Buyers'!$A$2:$G$11,'Vendors &amp; Buyers'!$A$24:$G$28</definedName>
    <definedName name="_xlnm.Print_Titles" localSheetId="2">'Vendors &amp; Buyers'!$3:$5</definedName>
    <definedName name="_xlnm.Print_Area" localSheetId="3">'Awards'!$A$3:$G$12,'Awards'!$H$3:$M$12</definedName>
    <definedName name="_xlnm.Print_Titles" localSheetId="3">'Awards'!$3:$7,'Awards'!$A:$A</definedName>
    <definedName name="_xlnm.Print_Area" localSheetId="4">'Transactions'!$A$1:$G$22</definedName>
    <definedName name="_xlnm.Print_Titles" localSheetId="4">'Transactions'!$15:$16</definedName>
  </definedNames>
  <calcPr iterateCount="100" refMode="A1" iterate="false" iterateDelta="0.0001" calcMode="auto" fullCalcOnLoad="1" forceFullCalc="1"/>
  <extLst>
    <ext uri="{7626C862-2A13-11E5-B345-FEFF819CDC9F}">
      <ns2:extCalcPr stringRefSyntax="CalcA1ExcelA1"/>
    </ext>
  </extLst>
</workbook>
</file>

<file path=xl/sharedStrings.xml><?xml version="1.0" encoding="utf-8"?>
<sst xmlns="http://schemas.openxmlformats.org/spreadsheetml/2006/main" count="188" uniqueCount="111">
  <si>
    <t xml:space="preserve">All</t>
  </si>
  <si>
    <t xml:space="preserve">Contract awards &amp; spend</t>
  </si>
  <si>
    <t xml:space="preserve">Logo here</t>
  </si>
  <si>
    <t xml:space="preserve">Vendor ID</t>
  </si>
  <si>
    <t xml:space="preserve">Office ID</t>
  </si>
  <si>
    <t xml:space="preserve">Fiscal year</t>
  </si>
  <si>
    <t xml:space="preserve">Vendor</t>
  </si>
  <si>
    <t xml:space="preserve">Net obligations</t>
  </si>
  <si>
    <t xml:space="preserve">Awards with obligations</t>
  </si>
  <si>
    <t xml:space="preserve">Vendors with obligations</t>
  </si>
  <si>
    <t xml:space="preserve">Funding office</t>
  </si>
  <si>
    <t xml:space="preserve">Current award type</t>
  </si>
  <si>
    <t xml:space="preserve">Transactions</t>
  </si>
  <si>
    <t xml:space="preserve">Charts in USD millions</t>
  </si>
  <si>
    <t xml:space="preserve">Annual net obligations</t>
  </si>
  <si>
    <t xml:space="preserve">Leading vendors</t>
  </si>
  <si>
    <t xml:space="preserve">Category</t>
  </si>
  <si>
    <t xml:space="preserve">Annual and quarterly history use all covered years. Rankings and breakdowns use the selected fiscal year.</t>
  </si>
  <si>
    <t xml:space="preserve">Contract awards &amp; spend — breakdowns</t>
  </si>
  <si>
    <t xml:space="preserve">Quarterly history · all covered years</t>
  </si>
  <si>
    <t xml:space="preserve">Current award types</t>
  </si>
  <si>
    <t xml:space="preserve">Current set-asides</t>
  </si>
  <si>
    <t xml:space="preserve">Place of performance by state</t>
  </si>
  <si>
    <t xml:space="preserve">Current award snapshots; set-asides do not measure small-business participation. Location is place of performance.</t>
  </si>
  <si>
    <t xml:space="preserve">Trends</t>
  </si>
  <si>
    <t xml:space="preserve">Chart in USD millions; supporting tables in USD.</t>
  </si>
  <si>
    <t xml:space="preserve">Report status</t>
  </si>
  <si>
    <t xml:space="preserve">Four-quarter average begins after four complete consecutive quarters. Negative values retain their sign.</t>
  </si>
  <si>
    <t xml:space="preserve">Positive obligations</t>
  </si>
  <si>
    <t xml:space="preserve">Deobligations</t>
  </si>
  <si>
    <t xml:space="preserve">YoY change</t>
  </si>
  <si>
    <t xml:space="preserve">Year key</t>
  </si>
  <si>
    <t xml:space="preserve">Complete year</t>
  </si>
  <si>
    <t xml:space="preserve">Quarter</t>
  </si>
  <si>
    <t xml:space="preserve">From</t>
  </si>
  <si>
    <t xml:space="preserve">Through</t>
  </si>
  <si>
    <t xml:space="preserve">4-quarter average</t>
  </si>
  <si>
    <t xml:space="preserve">Coverage</t>
  </si>
  <si>
    <t xml:space="preserve">Quarter key</t>
  </si>
  <si>
    <t xml:space="preserve">Selected order</t>
  </si>
  <si>
    <t xml:space="preserve">Vendors &amp; Buyers</t>
  </si>
  <si>
    <t xml:space="preserve">Rankings follow the filters above. Award counts include nonzero obligation or deobligation actions.</t>
  </si>
  <si>
    <t xml:space="preserve">Rank</t>
  </si>
  <si>
    <t xml:space="preserve">UEI</t>
  </si>
  <si>
    <t xml:space="preserve">Record ID</t>
  </si>
  <si>
    <t xml:space="preserve">Source name</t>
  </si>
  <si>
    <t xml:space="preserve">Source UEI</t>
  </si>
  <si>
    <t xml:space="preserve">Source URL</t>
  </si>
  <si>
    <t xml:space="preserve">Filter label</t>
  </si>
  <si>
    <t xml:space="preserve">Source net</t>
  </si>
  <si>
    <t xml:space="preserve">Source deobligations</t>
  </si>
  <si>
    <t xml:space="preserve">Source awards</t>
  </si>
  <si>
    <t xml:space="preserve">Source actions</t>
  </si>
  <si>
    <t xml:space="preserve">Source rank</t>
  </si>
  <si>
    <t xml:space="preserve">Input check</t>
  </si>
  <si>
    <t xml:space="preserve">Office code</t>
  </si>
  <si>
    <t xml:space="preserve">Awards</t>
  </si>
  <si>
    <t xml:space="preserve">All source awards are listed. Only amounts follow the filters; covered amounts span all covered dates.</t>
  </si>
  <si>
    <t xml:space="preserve">Award reference</t>
  </si>
  <si>
    <t xml:space="preserve">Period obligations</t>
  </si>
  <si>
    <t xml:space="preserve">Covered obligations</t>
  </si>
  <si>
    <t xml:space="preserve">Current set-aside</t>
  </si>
  <si>
    <t xml:space="preserve">Performance state</t>
  </si>
  <si>
    <t xml:space="preserve">Current obligations</t>
  </si>
  <si>
    <t xml:space="preserve">Potential ceiling</t>
  </si>
  <si>
    <t xml:space="preserve">Award date</t>
  </si>
  <si>
    <t xml:space="preserve">Completion date</t>
  </si>
  <si>
    <t xml:space="preserve">Place of performance</t>
  </si>
  <si>
    <t xml:space="preserve">Parent vehicle</t>
  </si>
  <si>
    <t xml:space="preserve">PSC</t>
  </si>
  <si>
    <t xml:space="preserve">NAICS</t>
  </si>
  <si>
    <t xml:space="preserve">Retrieved</t>
  </si>
  <si>
    <t xml:space="preserve">Award ID</t>
  </si>
  <si>
    <t xml:space="preserve">Original award reference</t>
  </si>
  <si>
    <t xml:space="preserve">Original vendor name</t>
  </si>
  <si>
    <t xml:space="preserve">Vendor URL</t>
  </si>
  <si>
    <t xml:space="preserve">Period actions</t>
  </si>
  <si>
    <t xml:space="preserve">Covered actions</t>
  </si>
  <si>
    <t xml:space="preserve">Buyer</t>
  </si>
  <si>
    <t xml:space="preserve">Scope</t>
  </si>
  <si>
    <t xml:space="preserve">Add the buyer, work scope, reporting dates and reviewed source records.</t>
  </si>
  <si>
    <t xml:space="preserve">Net obligations include deobligations. They are not cash payments, award ceilings or vendor revenue.</t>
  </si>
  <si>
    <t xml:space="preserve">Included</t>
  </si>
  <si>
    <t xml:space="preserve">Excluded actions</t>
  </si>
  <si>
    <t xml:space="preserve">Excluded dollars</t>
  </si>
  <si>
    <t xml:space="preserve">Row total</t>
  </si>
  <si>
    <t xml:space="preserve">Search aggregate</t>
  </si>
  <si>
    <t xml:space="preserve">Difference</t>
  </si>
  <si>
    <t xml:space="preserve">Record exclusions and source reconciliation here. Keep excluded rows in the ledger.</t>
  </si>
  <si>
    <t xml:space="preserve">Blue: report settings. Green: source inputs. Gray: calculations. Expand grouped columns for IDs and calculation steps.</t>
  </si>
  <si>
    <t xml:space="preserve">Date</t>
  </si>
  <si>
    <t xml:space="preserve">Obligations</t>
  </si>
  <si>
    <t xml:space="preserve">Inclusion</t>
  </si>
  <si>
    <t xml:space="preserve">Exclusion reason</t>
  </si>
  <si>
    <t xml:space="preserve">Transaction ID</t>
  </si>
  <si>
    <t xml:space="preserve">Funding office ID</t>
  </si>
  <si>
    <t xml:space="preserve">Original office name</t>
  </si>
  <si>
    <t xml:space="preserve">Award URL</t>
  </si>
  <si>
    <t xml:space="preserve">Office URL</t>
  </si>
  <si>
    <t xml:space="preserve">FY</t>
  </si>
  <si>
    <t xml:space="preserve">Eligible</t>
  </si>
  <si>
    <t xml:space="preserve">Dimension match</t>
  </si>
  <si>
    <t xml:space="preserve">Selected</t>
  </si>
  <si>
    <t xml:space="preserve">Nonzero</t>
  </si>
  <si>
    <t xml:space="preserve">First selected award</t>
  </si>
  <si>
    <t xml:space="preserve">First selected vendor</t>
  </si>
  <si>
    <t xml:space="preserve">First annual award</t>
  </si>
  <si>
    <t xml:space="preserve">First annual vendor</t>
  </si>
  <si>
    <t xml:space="preserve">First office award</t>
  </si>
  <si>
    <t xml:space="preserve">First vendor award</t>
  </si>
  <si>
    <t xml:space="preserve">Positive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</si>
</sst>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&quot;FY&quot;0;&quot;FY&quot;0;&quot;FY&quot;0;@"/>
    <numFmt numFmtId="166" formatCode="#,##0"/>
    <numFmt numFmtId="167" formatCode="\$#,##0.00;[RED]&quot;-$&quot;#,##0.00;\$0.00"/>
    <numFmt numFmtId="168" formatCode="\+0.0%;\-0.0%;0.0%"/>
    <numFmt numFmtId="169" formatCode="mm/dd/yy"/>
    <numFmt numFmtId="170" formatCode="\$0.00000000"/>
  </numFmts>
  <fonts count="21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sz val="11"/>
      <color rgb="FF29384D"/>
      <name val="Arial"/>
      <family val="0"/>
      <charset val="1"/>
    </font>
    <font>
      <b val="true"/>
      <sz val="23"/>
      <color rgb="FF1B283F"/>
      <name val="Arial"/>
      <family val="0"/>
      <charset val="1"/>
    </font>
    <font>
      <sz val="11"/>
      <color rgb="FF62738A"/>
      <name val="Arial"/>
      <family val="0"/>
      <charset val="1"/>
    </font>
    <font>
      <b val="true"/>
      <sz val="12"/>
      <color rgb="FF29384D"/>
      <name val="Arial"/>
      <family val="0"/>
      <charset val="1"/>
    </font>
    <font>
      <sz val="10"/>
      <color rgb="FF62738A"/>
      <name val="Arial"/>
      <family val="0"/>
      <charset val="1"/>
    </font>
    <font>
      <b val="true"/>
      <sz val="12"/>
      <color rgb="FF1B283F"/>
      <name val="Arial"/>
      <family val="0"/>
      <charset val="1"/>
    </font>
    <font>
      <sz val="11"/>
      <color rgb="FFA13F3A"/>
      <name val="Arial"/>
      <family val="0"/>
      <charset val="1"/>
    </font>
    <font>
      <sz val="27"/>
      <color rgb="FF1B283F"/>
      <name val="Arial"/>
      <family val="0"/>
      <charset val="1"/>
    </font>
    <font>
      <sz val="9"/>
      <color rgb="FF62738A"/>
      <name val="Arial"/>
      <family val="0"/>
      <charset val="1"/>
    </font>
    <font>
      <b val="true"/>
      <sz val="14"/>
      <color rgb="FF1B283F"/>
      <name val="Arial"/>
      <family val="0"/>
      <charset val="1"/>
    </font>
    <font>
      <b val="true"/>
      <sz val="17"/>
      <color rgb="FF1B283F"/>
      <name val="Arial"/>
      <family val="0"/>
      <charset val="1"/>
    </font>
    <font>
      <sz val="9.75"/>
      <color rgb="FF000000"/>
      <name val="Arial"/>
      <family val="2"/>
    </font>
    <font>
      <b val="true"/>
      <sz val="19"/>
      <color rgb="FF1B283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000000"/>
      <name val="Arial"/>
      <family val="2"/>
    </font>
    <font>
      <sz val="11"/>
      <color rgb="FF268CA1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F7F9FC"/>
        <bgColor rgb="FFF3F5F7"/>
      </patternFill>
    </fill>
    <fill>
      <patternFill patternType="solid">
        <fgColor rgb="FFFFFFFF"/>
        <bgColor rgb="FFF7F9FC"/>
      </patternFill>
    </fill>
    <fill>
      <patternFill patternType="solid">
        <fgColor rgb="FFE6ECF3"/>
        <bgColor rgb="FFEFF2FA"/>
      </patternFill>
    </fill>
    <fill>
      <patternFill patternType="solid">
        <fgColor rgb="FFEDF4FD"/>
        <bgColor rgb="FFEFF2FA"/>
      </patternFill>
    </fill>
    <fill>
      <patternFill patternType="solid">
        <fgColor rgb="FFEDF6F8"/>
        <bgColor rgb="FFEFF6F3"/>
      </patternFill>
    </fill>
    <fill>
      <patternFill patternType="solid">
        <fgColor rgb="FFEFF2FA"/>
        <bgColor rgb="FFEDF4FD"/>
      </patternFill>
    </fill>
    <fill>
      <patternFill patternType="solid">
        <fgColor rgb="FFF4F0F8"/>
        <bgColor rgb="FFEFF2FA"/>
      </patternFill>
    </fill>
    <fill>
      <patternFill patternType="solid">
        <fgColor rgb="FFEFF6F3"/>
        <bgColor rgb="FFF0F6F3"/>
      </patternFill>
    </fill>
    <fill>
      <patternFill patternType="solid">
        <fgColor rgb="FF1B283F"/>
        <bgColor rgb="FF29384D"/>
      </patternFill>
    </fill>
    <fill>
      <patternFill patternType="solid">
        <fgColor rgb="FFF3F5F7"/>
        <bgColor rgb="FFF0F6F3"/>
      </patternFill>
    </fill>
    <fill>
      <patternFill patternType="solid">
        <fgColor rgb="FFF0F6F3"/>
        <bgColor rgb="FFEFF6F3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>
        <color rgb="FFDCE4ED"/>
      </left>
      <right style="thin">
        <color rgb="FFDCE4ED"/>
      </right>
      <top style="thin">
        <color rgb="FFDCE4ED"/>
      </top>
      <bottom/>
      <diagonal/>
    </border>
    <border diagonalUp="false" diagonalDown="false">
      <left style="thin">
        <color rgb="FFDCE4ED"/>
      </left>
      <right style="thin">
        <color rgb="FFDCE4ED"/>
      </right>
      <top/>
      <bottom/>
      <diagonal/>
    </border>
    <border diagonalUp="false" diagonalDown="false">
      <left style="thin">
        <color rgb="FFDCE4ED"/>
      </left>
      <right/>
      <top/>
      <bottom/>
      <diagonal/>
    </border>
    <border diagonalUp="false" diagonalDown="false">
      <left/>
      <right style="thin">
        <color rgb="FFDCE4ED"/>
      </right>
      <top/>
      <bottom/>
      <diagonal/>
    </border>
    <border diagonalUp="false" diagonalDown="false">
      <left style="thin">
        <color rgb="FFDCE4ED"/>
      </left>
      <right style="thin">
        <color rgb="FFDCE4ED"/>
      </right>
      <top/>
      <bottom style="thin">
        <color rgb="FFDCE4ED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0" fillId="5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5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6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7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8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9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6" borderId="2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2" fillId="7" borderId="2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2" fillId="8" borderId="2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2" fillId="9" borderId="2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2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7" borderId="2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8" borderId="2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9" borderId="2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6" borderId="3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6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6" borderId="4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7" borderId="3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7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7" borderId="4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8" borderId="3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8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8" borderId="4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9" borderId="3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9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9" borderId="4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6" borderId="5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7" borderId="5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8" borderId="5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9" borderId="5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10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5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5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1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1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11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5" fillId="11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11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1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12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12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5" fillId="1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5" fillId="5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5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5" fillId="12" borderId="0" xfId="2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17">
    <dxf>
      <fill>
        <patternFill patternType="solid">
          <fgColor rgb="FF1B283F"/>
          <bgColor rgb="FF000000"/>
        </patternFill>
      </fill>
    </dxf>
    <dxf>
      <fill>
        <patternFill patternType="solid">
          <fgColor rgb="FFF3F5F7"/>
          <bgColor rgb="FF000000"/>
        </patternFill>
      </fill>
    </dxf>
    <dxf>
      <fill>
        <patternFill patternType="solid">
          <fgColor rgb="FF29384D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268CA1"/>
          <bgColor rgb="FF000000"/>
        </patternFill>
      </fill>
    </dxf>
    <dxf>
      <fill>
        <patternFill patternType="solid">
          <fgColor rgb="FFF0F6F3"/>
          <bgColor rgb="FF000000"/>
        </patternFill>
      </fill>
    </dxf>
    <dxf>
      <font>
        <color rgb="FFA13F3A"/>
      </font>
      <fill>
        <patternFill>
          <bgColor rgb="FFFFF1DF"/>
        </patternFill>
      </fill>
    </dxf>
    <dxf>
      <font>
        <color rgb="FFA13F3A"/>
      </font>
      <fill>
        <patternFill>
          <bgColor rgb="FFFFF1DF"/>
        </patternFill>
      </fill>
    </dxf>
    <dxf>
      <font>
        <color rgb="FFA13F3A"/>
      </font>
      <fill>
        <patternFill>
          <bgColor rgb="FFFFF1DF"/>
        </patternFill>
      </fill>
    </dxf>
    <dxf>
      <font>
        <color rgb="FFA13F3A"/>
      </font>
      <fill>
        <patternFill>
          <bgColor rgb="FFFFF1DF"/>
        </patternFill>
      </fill>
    </dxf>
    <dxf>
      <font>
        <color rgb="FF000000"/>
      </font>
      <border diagonalUp="false" diagonalDown="false">
        <left/>
        <right/>
        <top style="thin">
          <color theme="1"/>
        </top>
        <bottom style="thin">
          <color theme="1"/>
        </bottom>
        <diagonal/>
      </border>
    </dxf>
    <dxf>
      <fill>
        <patternFill>
          <bgColor theme="0" tint="-0.15"/>
        </patternFill>
      </fill>
    </dxf>
    <dxf>
      <fill>
        <patternFill>
          <bgColor theme="0" tint="-0.15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000000"/>
      </font>
      <border diagonalUp="false" diagonalDown="false">
        <left/>
        <right/>
        <top/>
        <bottom style="thin">
          <color theme="1"/>
        </bottom>
        <diagonal/>
      </border>
    </dxf>
    <dxf>
      <font>
        <b val="1"/>
        <color rgb="FF000000"/>
      </font>
      <border diagonalUp="false" diagonalDown="false">
        <left/>
        <right/>
        <top style="thin">
          <color theme="1"/>
        </top>
        <bottom/>
        <diagonal/>
      </border>
    </dxf>
  </dxfs>
  <tableStyles count="1">
    <tableStyle count="7" name="TableStyleLight1">
      <tableStyleElement dxfId="10" type="wholeTable"/>
      <tableStyleElement dxfId="11" type="firstColumnStripe"/>
      <tableStyleElement dxfId="12" type="firstRowStripe"/>
      <tableStyleElement dxfId="13" type="lastColumn"/>
      <tableStyleElement dxfId="14" type="firstColumn"/>
      <tableStyleElement dxfId="15" type="headerRow"/>
      <tableStyleElement dxfId="16" type="totalRow"/>
    </tableStyle>
  </tableStyles>
  <colors>
    <indexedColors>
      <rgbColor rgb="FF000000"/>
      <rgbColor rgb="FFFFFFFF"/>
      <rgbColor rgb="FFFF0000"/>
      <rgbColor rgb="FF00FF00"/>
      <rgbColor rgb="FF0000FF"/>
      <rgbColor rgb="FFF3F5F7"/>
      <rgbColor rgb="FFFF00FF"/>
      <rgbColor rgb="FF00FFFF"/>
      <rgbColor rgb="FF800000"/>
      <rgbColor rgb="FF008000"/>
      <rgbColor rgb="FF000080"/>
      <rgbColor rgb="FF808000"/>
      <rgbColor rgb="FF800080"/>
      <rgbColor rgb="FF268CA1"/>
      <rgbColor rgb="FFCCCCCC"/>
      <rgbColor rgb="FF8B8B8B"/>
      <rgbColor rgb="FF9999FF"/>
      <rgbColor rgb="FFA13F3A"/>
      <rgbColor rgb="FFFFF1DF"/>
      <rgbColor rgb="FFEDF6F8"/>
      <rgbColor rgb="FF660066"/>
      <rgbColor rgb="FFFF8080"/>
      <rgbColor rgb="FF0066CC"/>
      <rgbColor rgb="FFD9D9D9"/>
      <rgbColor rgb="FF000080"/>
      <rgbColor rgb="FFFF00FF"/>
      <rgbColor rgb="FFF7F9FC"/>
      <rgbColor rgb="FF00FFFF"/>
      <rgbColor rgb="FF800080"/>
      <rgbColor rgb="FF800000"/>
      <rgbColor rgb="FF008080"/>
      <rgbColor rgb="FF0000FF"/>
      <rgbColor rgb="FF00CCFF"/>
      <rgbColor rgb="FFEDF4FD"/>
      <rgbColor rgb="FFEFF6F3"/>
      <rgbColor rgb="FFF0F6F3"/>
      <rgbColor rgb="FFE6ECF3"/>
      <rgbColor rgb="FFF4F0F8"/>
      <rgbColor rgb="FFEFF2FA"/>
      <rgbColor rgb="FFDCE4ED"/>
      <rgbColor rgb="FF496EB4"/>
      <rgbColor rgb="FF33CCCC"/>
      <rgbColor rgb="FF99CC00"/>
      <rgbColor rgb="FFFFCC00"/>
      <rgbColor rgb="FFFF9900"/>
      <rgbColor rgb="FFFF6600"/>
      <rgbColor rgb="FF62738A"/>
      <rgbColor rgb="FF8561AD"/>
      <rgbColor rgb="FF1B283F"/>
      <rgbColor rgb="FF4C867B"/>
      <rgbColor rgb="FF003300"/>
      <rgbColor rgb="FF333300"/>
      <rgbColor rgb="FF993300"/>
      <rgbColor rgb="FF993366"/>
      <rgbColor rgb="FF333399"/>
      <rgbColor rgb="FF29384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_rels/chart5.xml.rels><?xml version="1.0" encoding="UTF-8"?>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
</Relationships>
</file>

<file path=xl/charts/_rels/chart6.xml.rels><?xml version="1.0" encoding="UTF-8"?>
<Relationships xmlns="http://schemas.openxmlformats.org/package/2006/relationships"><Relationship Id="rId1" Type="http://schemas.microsoft.com/office/2011/relationships/chartStyle" Target="style6.xml"/><Relationship Id="rId2" Type="http://schemas.microsoft.com/office/2011/relationships/chartColorStyle" Target="colors6.xml"/>
</Relationships>
</file>

<file path=xl/charts/_rels/chart7.xml.rels><?xml version="1.0" encoding="UTF-8"?>
<Relationships xmlns="http://schemas.openxmlformats.org/package/2006/relationships"><Relationship Id="rId1" Type="http://schemas.microsoft.com/office/2011/relationships/chartStyle" Target="style7.xml"/><Relationship Id="rId2" Type="http://schemas.microsoft.com/office/2011/relationships/chartColorStyle" Target="colors7.xml"/>
</Relationships>
</file>

<file path=xl/charts/chart1.xml><?xml version="1.0" encoding="utf-8"?>
<ns0:chartSpace xmlns:ns0="http://schemas.openxmlformats.org/drawingml/2006/chart" xmlns:ns1="http://schemas.openxmlformats.org/drawingml/2006/main" xmlns:ns2="http://schemas.microsoft.com/office/drawing/2012/chart">
  <ns0:lang val="en-US"/>
  <ns0:roundedCorners val="0"/>
  <ns0:chart>
    <ns0:autoTitleDeleted val="1"/>
    <ns0:plotArea>
      <ns0:barChart>
        <ns0:barDir val="col"/>
        <ns0:grouping val="clustered"/>
        <ns0:varyColors val="0"/>
        <ns0:ser>
          <ns0:idx val="0"/>
          <ns0:order val="0"/>
          <ns0:tx>
            <ns0:strRef>
              <ns0:f>"Net obligations"</ns0:f>
              <ns0:strCache>
                <ns0:ptCount val="1"/>
                <ns0:pt idx="0">
                  <ns0:v>Net obligations</ns0:v>
                </ns0:pt>
              </ns0:strCache>
            </ns0:strRef>
          </ns0:tx>
          <ns0:spPr>
            <ns1:solidFill>
              <ns1:srgbClr val="268CA1"/>
            </ns1:solidFill>
            <ns1:ln w="0">
              <ns1:noFill/>
            </ns1:ln>
          </ns0:spPr>
          <ns0:invertIfNegative val="0"/>
          <ns0:dLbls>
            <ns0:txPr>
              <ns1:bodyPr wrap="none"/>
              <ns1:lstStyle/>
              <ns1:p>
                <ns1:pPr>
                  <ns1:defRPr sz="1000" b="0" u="none" strike="noStrike">
                    <ns1:uFillTx/>
                    <ns1:latin typeface="Arial"/>
                  </ns1:defRPr>
                </ns1:pPr>
              </ns1:p>
            </ns0:txPr>
            <ns0:showLegendKey val="0"/>
            <ns0:showVal val="0"/>
            <ns0:showCatName val="0"/>
            <ns0:showSerName val="0"/>
            <ns0:showPercent val="0"/>
            <ns0:separator> </ns0:separator>
            <ns0:extLst>
              <ns0:ext uri="{CE6537A1-D6FC-4f65-9D91-7224C49458BB}">
                <ns2:showLeaderLines val="1"/>
              </ns0:ext>
            </ns0:extLst>
          </ns0:dLbls>
          <ns0:cat>
            <ns0:strRef>
              <ns0:f>Dashboard!$AA$22</ns0:f>
              <ns0:strCache>
                <ns0:ptCount val="1"/>
                <ns0:pt idx="0">
                  <ns0:v/>
                </ns0:pt>
              </ns0:strCache>
            </ns0:strRef>
          </ns0:cat>
          <ns0:val>
            <ns0:numRef>
              <ns0:f>Dashboard!$AB$22</ns0:f>
              <ns0:numCache>
                <ns0:formatCode>General</ns0:formatCode>
                <ns0:ptCount val="1"/>
              </ns0:numCache>
            </ns0:numRef>
          </ns0:val>
        </ns0:ser>
        <ns0:gapWidth val="150"/>
        <ns0:overlap val="0"/>
        <ns0:axId val="59531274"/>
        <ns0:axId val="70379615"/>
      </ns0:barChart>
      <ns0:catAx>
        <ns0:axId val="59531274"/>
        <ns0:scaling>
          <ns0:orientation val="minMax"/>
        </ns0:scaling>
        <ns0:delete val="0"/>
        <ns0:axPos val="b"/>
        <ns0:majorGridlines>
          <ns0:spPr>
            <ns1:ln w="9360">
              <ns1:solidFill>
                <ns1:srgbClr val="CCCCCC"/>
              </ns1:solidFill>
              <ns1:prstDash val="dash"/>
              <ns1:round/>
            </ns1:ln>
          </ns0:spPr>
        </ns0:majorGridlines>
        <ns0:numFmt formatCode="General" sourceLinked="0"/>
        <ns0:majorTickMark val="none"/>
        <ns0:minorTickMark val="none"/>
        <ns0:tickLblPos val="nextTo"/>
        <ns0:spPr>
          <ns1:ln w="12600">
            <ns1:solidFill>
              <ns1:srgbClr val="8B8B8B"/>
            </ns1:solidFill>
            <ns1:round/>
          </ns1:ln>
        </ns0:spPr>
        <ns0:txPr>
          <ns1:bodyPr/>
          <ns1:lstStyle/>
          <ns1:p>
            <ns1:pPr>
              <ns1:defRPr sz="975" b="0" u="none" strike="noStrike">
                <ns1:solidFill>
                  <ns1:srgbClr val="000000"/>
                </ns1:solidFill>
                <ns1:uFillTx/>
                <ns1:latin typeface="Arial"/>
                <ns1:ea typeface="Arial"/>
              </ns1:defRPr>
            </ns1:pPr>
          </ns1:p>
        </ns0:txPr>
        <ns0:crossAx val="70379615"/>
        <ns0:crosses val="autoZero"/>
        <ns0:auto val="1"/>
        <ns0:lblAlgn val="ctr"/>
        <ns0:lblOffset val="100"/>
        <ns0:noMultiLvlLbl val="0"/>
      </ns0:catAx>
      <ns0:valAx>
        <ns0:axId val="70379615"/>
        <ns0:scaling>
          <ns0:orientation val="minMax"/>
        </ns0:scaling>
        <ns0:delete val="0"/>
        <ns0:axPos val="l"/>
        <ns0:majorGridlines>
          <ns0:spPr>
            <ns1:ln w="9360">
              <ns1:solidFill>
                <ns1:srgbClr val="CCCCCC"/>
              </ns1:solidFill>
              <ns1:prstDash val="dash"/>
              <ns1:round/>
            </ns1:ln>
          </ns0:spPr>
        </ns0:majorGridlines>
        <ns0:numFmt formatCode="General" sourceLinked="0"/>
        <ns0:majorTickMark val="none"/>
        <ns0:minorTickMark val="none"/>
        <ns0:tickLblPos val="nextTo"/>
        <ns0:spPr>
          <ns1:ln w="12600">
            <ns1:solidFill>
              <ns1:srgbClr val="8B8B8B"/>
            </ns1:solidFill>
            <ns1:round/>
          </ns1:ln>
        </ns0:spPr>
        <ns0:txPr>
          <ns1:bodyPr/>
          <ns1:lstStyle/>
          <ns1:p>
            <ns1:pPr>
              <ns1:defRPr sz="975" b="0" u="none" strike="noStrike">
                <ns1:solidFill>
                  <ns1:srgbClr val="000000"/>
                </ns1:solidFill>
                <ns1:uFillTx/>
                <ns1:latin typeface="Arial"/>
                <ns1:ea typeface="Arial"/>
              </ns1:defRPr>
            </ns1:pPr>
          </ns1:p>
        </ns0:txPr>
        <ns0:crossAx val="59531274"/>
        <ns0:crosses val="autoZero"/>
        <ns0:crossBetween val="between"/>
      </ns0:valAx>
      <ns0:spPr>
        <ns1:ln w="0">
          <ns1:noFill/>
        </ns1:ln>
      </ns0:spPr>
    </ns0:plotArea>
    <ns0:plotVisOnly val="0"/>
    <ns0:dispBlanksAs val="gap"/>
  </ns0:chart>
  <ns0:spPr>
    <ns1:ln w="9360">
      <ns1:solidFill>
        <ns1:srgbClr val="D9D9D9"/>
      </ns1:solidFill>
      <ns1:round/>
    </ns1:ln>
  </ns0:spPr>
</ns0:chartSpace>
</file>

<file path=xl/charts/chart2.xml><?xml version="1.0" encoding="utf-8"?>
<ns0:chartSpace xmlns:ns0="http://schemas.openxmlformats.org/drawingml/2006/chart" xmlns:ns1="http://schemas.openxmlformats.org/drawingml/2006/main" xmlns:ns2="http://schemas.microsoft.com/office/drawing/2012/chart">
  <ns0:lang val="en-US"/>
  <ns0:roundedCorners val="0"/>
  <ns0:chart>
    <ns0:autoTitleDeleted val="1"/>
    <ns0:plotArea>
      <ns0:barChart>
        <ns0:barDir val="bar"/>
        <ns0:grouping val="clustered"/>
        <ns0:varyColors val="0"/>
        <ns0:ser>
          <ns0:idx val="0"/>
          <ns0:order val="0"/>
          <ns0:tx>
            <ns0:strRef>
              <ns0:f>"Net obligations"</ns0:f>
              <ns0:strCache>
                <ns0:ptCount val="1"/>
                <ns0:pt idx="0">
                  <ns0:v>Net obligations</ns0:v>
                </ns0:pt>
              </ns0:strCache>
            </ns0:strRef>
          </ns0:tx>
          <ns0:spPr>
            <ns1:solidFill>
              <ns1:srgbClr val="268CA1"/>
            </ns1:solidFill>
            <ns1:ln w="0">
              <ns1:noFill/>
            </ns1:ln>
          </ns0:spPr>
          <ns0:invertIfNegative val="0"/>
          <ns0:dLbls>
            <ns0:txPr>
              <ns1:bodyPr wrap="none"/>
              <ns1:lstStyle/>
              <ns1:p>
                <ns1:pPr>
                  <ns1:defRPr sz="1000" b="0" u="none" strike="noStrike">
                    <ns1:uFillTx/>
                    <ns1:latin typeface="Arial"/>
                  </ns1:defRPr>
                </ns1:pPr>
              </ns1:p>
            </ns0:txPr>
            <ns0:showLegendKey val="0"/>
            <ns0:showVal val="0"/>
            <ns0:showCatName val="0"/>
            <ns0:showSerName val="0"/>
            <ns0:showPercent val="0"/>
            <ns0:separator> </ns0:separator>
            <ns0:extLst>
              <ns0:ext uri="{CE6537A1-D6FC-4f65-9D91-7224C49458BB}">
                <ns2:showLeaderLines val="1"/>
              </ns0:ext>
            </ns0:extLst>
          </ns0:dLbls>
          <ns0:cat>
            <ns0:strRef>
              <ns0:f>Dashboard!$AD$22:$AD$27</ns0:f>
              <ns0:strCache>
                <ns0:ptCount val="6"/>
                <ns0:pt idx="0">
                  <ns0:v/>
                </ns0:pt>
                <ns0:pt idx="1">
                  <ns0:v/>
                </ns0:pt>
                <ns0:pt idx="2">
                  <ns0:v/>
                </ns0:pt>
                <ns0:pt idx="3">
                  <ns0:v/>
                </ns0:pt>
                <ns0:pt idx="4">
                  <ns0:v/>
                </ns0:pt>
                <ns0:pt idx="5">
                  <ns0:v/>
                </ns0:pt>
              </ns0:strCache>
            </ns0:strRef>
          </ns0:cat>
          <ns0:val>
            <ns0:numRef>
              <ns0:f>Dashboard!$AE$22:$AE$27</ns0:f>
              <ns0:numCache>
                <ns0:formatCode>General</ns0:formatCode>
                <ns0:ptCount val="6"/>
              </ns0:numCache>
            </ns0:numRef>
          </ns0:val>
        </ns0:ser>
        <ns0:gapWidth val="150"/>
        <ns0:overlap val="0"/>
        <ns0:axId val="60256491"/>
        <ns0:axId val="87036850"/>
      </ns0:barChart>
      <ns0:catAx>
        <ns0:axId val="60256491"/>
        <ns0:scaling>
          <ns0:orientation val="minMax"/>
        </ns0:scaling>
        <ns0:delete val="0"/>
        <ns0:axPos val="b"/>
        <ns0:majorGridlines>
          <ns0:spPr>
            <ns1:ln w="9360">
              <ns1:solidFill>
                <ns1:srgbClr val="CCCCCC"/>
              </ns1:solidFill>
              <ns1:prstDash val="dash"/>
              <ns1:round/>
            </ns1:ln>
          </ns0:spPr>
        </ns0:majorGridlines>
        <ns0:numFmt formatCode="General" sourceLinked="0"/>
        <ns0:majorTickMark val="none"/>
        <ns0:minorTickMark val="none"/>
        <ns0:tickLblPos val="nextTo"/>
        <ns0:spPr>
          <ns1:ln w="12600">
            <ns1:solidFill>
              <ns1:srgbClr val="8B8B8B"/>
            </ns1:solidFill>
            <ns1:round/>
          </ns1:ln>
        </ns0:spPr>
        <ns0:txPr>
          <ns1:bodyPr/>
          <ns1:lstStyle/>
          <ns1:p>
            <ns1:pPr>
              <ns1:defRPr sz="975" b="0" u="none" strike="noStrike">
                <ns1:solidFill>
                  <ns1:srgbClr val="000000"/>
                </ns1:solidFill>
                <ns1:uFillTx/>
                <ns1:latin typeface="Arial"/>
                <ns1:ea typeface="Arial"/>
              </ns1:defRPr>
            </ns1:pPr>
          </ns1:p>
        </ns0:txPr>
        <ns0:crossAx val="87036850"/>
        <ns0:crosses val="autoZero"/>
        <ns0:auto val="1"/>
        <ns0:lblAlgn val="ctr"/>
        <ns0:lblOffset val="100"/>
        <ns0:noMultiLvlLbl val="0"/>
      </ns0:catAx>
      <ns0:valAx>
        <ns0:axId val="87036850"/>
        <ns0:scaling>
          <ns0:orientation val="minMax"/>
        </ns0:scaling>
        <ns0:delete val="0"/>
        <ns0:axPos val="l"/>
        <ns0:majorGridlines>
          <ns0:spPr>
            <ns1:ln w="9360">
              <ns1:solidFill>
                <ns1:srgbClr val="CCCCCC"/>
              </ns1:solidFill>
              <ns1:prstDash val="dash"/>
              <ns1:round/>
            </ns1:ln>
          </ns0:spPr>
        </ns0:majorGridlines>
        <ns0:numFmt formatCode="General" sourceLinked="0"/>
        <ns0:majorTickMark val="none"/>
        <ns0:minorTickMark val="none"/>
        <ns0:tickLblPos val="nextTo"/>
        <ns0:spPr>
          <ns1:ln w="12600">
            <ns1:solidFill>
              <ns1:srgbClr val="8B8B8B"/>
            </ns1:solidFill>
            <ns1:round/>
          </ns1:ln>
        </ns0:spPr>
        <ns0:txPr>
          <ns1:bodyPr/>
          <ns1:lstStyle/>
          <ns1:p>
            <ns1:pPr>
              <ns1:defRPr sz="975" b="0" u="none" strike="noStrike">
                <ns1:solidFill>
                  <ns1:srgbClr val="000000"/>
                </ns1:solidFill>
                <ns1:uFillTx/>
                <ns1:latin typeface="Arial"/>
                <ns1:ea typeface="Arial"/>
              </ns1:defRPr>
            </ns1:pPr>
          </ns1:p>
        </ns0:txPr>
        <ns0:crossAx val="60256491"/>
        <ns0:crosses val="autoZero"/>
        <ns0:crossBetween val="between"/>
      </ns0:valAx>
      <ns0:spPr>
        <ns1:ln w="0">
          <ns1:noFill/>
        </ns1:ln>
      </ns0:spPr>
    </ns0:plotArea>
    <ns0:plotVisOnly val="0"/>
    <ns0:dispBlanksAs val="gap"/>
  </ns0:chart>
  <ns0:spPr>
    <ns1:ln w="9360">
      <ns1:solidFill>
        <ns1:srgbClr val="D9D9D9"/>
      </ns1:solidFill>
      <ns1:round/>
    </ns1:ln>
  </ns0:spPr>
</ns0:chartSpace>
</file>

<file path=xl/charts/chart3.xml><?xml version="1.0" encoding="utf-8"?>
<ns0:chartSpace xmlns:ns0="http://schemas.openxmlformats.org/drawingml/2006/chart" xmlns:ns1="http://schemas.openxmlformats.org/drawingml/2006/main" xmlns:ns2="http://schemas.microsoft.com/office/drawing/2012/chart">
  <ns0:lang val="en-US"/>
  <ns0:roundedCorners val="0"/>
  <ns0:chart>
    <ns0:autoTitleDeleted val="1"/>
    <ns0:plotArea>
      <ns0:lineChart>
        <ns0:grouping val="standard"/>
        <ns0:varyColors val="0"/>
        <ns0:ser>
          <ns0:idx val="0"/>
          <ns0:order val="0"/>
          <ns0:tx>
            <ns0:strRef>
              <ns0:f>"Net obligations"</ns0:f>
              <ns0:strCache>
                <ns0:ptCount val="1"/>
                <ns0:pt idx="0">
                  <ns0:v>Net obligations</ns0:v>
                </ns0:pt>
              </ns0:strCache>
            </ns0:strRef>
          </ns0:tx>
          <ns0:spPr>
            <ns1:solidFill>
              <ns1:srgbClr val="268CA1"/>
            </ns1:solidFill>
            <ns1:ln w="19080">
              <ns1:solidFill>
                <ns1:srgbClr val="268CA1"/>
              </ns1:solidFill>
              <ns1:round/>
            </ns1:ln>
          </ns0:spPr>
          <ns0:marker>
            <ns0:symbol val="none"/>
          </ns0:marker>
          <ns0:dLbls>
            <ns0:txPr>
              <ns1:bodyPr wrap="none"/>
              <ns1:lstStyle/>
              <ns1:p>
                <ns1:pPr>
                  <ns1:defRPr sz="1000" b="0" u="none" strike="noStrike">
                    <ns1:uFillTx/>
                    <ns1:latin typeface="Arial"/>
                  </ns1:defRPr>
                </ns1:pPr>
              </ns1:p>
            </ns0:txPr>
            <ns0:showLegendKey val="0"/>
            <ns0:showVal val="0"/>
            <ns0:showCatName val="0"/>
            <ns0:showSerName val="0"/>
            <ns0:showPercent val="0"/>
            <ns0:separator> </ns0:separator>
            <ns0:extLst>
              <ns0:ext uri="{CE6537A1-D6FC-4f65-9D91-7224C49458BB}">
                <ns2:showLeaderLines val="1"/>
              </ns0:ext>
            </ns0:extLst>
          </ns0:dLbls>
          <ns0:cat>
            <ns0:strRef>
              <ns0:f>Dashboard!$AA$42:$AA$45</ns0:f>
              <ns0:strCache>
                <ns0:ptCount val="4"/>
                <ns0:pt idx="0">
                  <ns0:v/>
                </ns0:pt>
                <ns0:pt idx="1">
                  <ns0:v/>
                </ns0:pt>
                <ns0:pt idx="2">
                  <ns0:v/>
                </ns0:pt>
                <ns0:pt idx="3">
                  <ns0:v/>
                </ns0:pt>
              </ns0:strCache>
            </ns0:strRef>
          </ns0:cat>
          <ns0:val>
            <ns0:numRef>
              <ns0:f>Dashboard!$AB$42:$AB$45</ns0:f>
              <ns0:numCache>
                <ns0:formatCode>General</ns0:formatCode>
                <ns0:ptCount val="4"/>
              </ns0:numCache>
            </ns0:numRef>
          </ns0:val>
          <ns0:smooth val="0"/>
        </ns0:ser>
        <ns0:hiLowLines>
          <ns0:spPr>
            <ns1:ln w="0">
              <ns1:noFill/>
            </ns1:ln>
          </ns0:spPr>
        </ns0:hiLowLines>
        <ns0:marker val="0"/>
        <ns0:axId val="19394269"/>
        <ns0:axId val="36112772"/>
      </ns0:lineChart>
      <ns0:catAx>
        <ns0:axId val="19394269"/>
        <ns0:scaling>
          <ns0:orientation val="minMax"/>
        </ns0:scaling>
        <ns0:delete val="0"/>
        <ns0:axPos val="b"/>
        <ns0:majorGridlines>
          <ns0:spPr>
            <ns1:ln w="9360">
              <ns1:solidFill>
                <ns1:srgbClr val="CCCCCC"/>
              </ns1:solidFill>
              <ns1:prstDash val="dash"/>
              <ns1:round/>
            </ns1:ln>
          </ns0:spPr>
        </ns0:majorGridlines>
        <ns0:numFmt formatCode="General" sourceLinked="0"/>
        <ns0:majorTickMark val="none"/>
        <ns0:minorTickMark val="none"/>
        <ns0:tickLblPos val="nextTo"/>
        <ns0:spPr>
          <ns1:ln w="12600">
            <ns1:solidFill>
              <ns1:srgbClr val="8B8B8B"/>
            </ns1:solidFill>
            <ns1:round/>
          </ns1:ln>
        </ns0:spPr>
        <ns0:txPr>
          <ns1:bodyPr/>
          <ns1:lstStyle/>
          <ns1:p>
            <ns1:pPr>
              <ns1:defRPr sz="975" b="0" u="none" strike="noStrike">
                <ns1:solidFill>
                  <ns1:srgbClr val="000000"/>
                </ns1:solidFill>
                <ns1:uFillTx/>
                <ns1:latin typeface="Arial"/>
                <ns1:ea typeface="Arial"/>
              </ns1:defRPr>
            </ns1:pPr>
          </ns1:p>
        </ns0:txPr>
        <ns0:crossAx val="36112772"/>
        <ns0:crosses val="autoZero"/>
        <ns0:auto val="1"/>
        <ns0:lblAlgn val="ctr"/>
        <ns0:lblOffset val="100"/>
        <ns0:noMultiLvlLbl val="0"/>
      </ns0:catAx>
      <ns0:valAx>
        <ns0:axId val="36112772"/>
        <ns0:scaling>
          <ns0:orientation val="minMax"/>
        </ns0:scaling>
        <ns0:delete val="0"/>
        <ns0:axPos val="l"/>
        <ns0:majorGridlines>
          <ns0:spPr>
            <ns1:ln w="9360">
              <ns1:solidFill>
                <ns1:srgbClr val="CCCCCC"/>
              </ns1:solidFill>
              <ns1:prstDash val="dash"/>
              <ns1:round/>
            </ns1:ln>
          </ns0:spPr>
        </ns0:majorGridlines>
        <ns0:numFmt formatCode="General" sourceLinked="0"/>
        <ns0:majorTickMark val="none"/>
        <ns0:minorTickMark val="none"/>
        <ns0:tickLblPos val="nextTo"/>
        <ns0:spPr>
          <ns1:ln w="12600">
            <ns1:solidFill>
              <ns1:srgbClr val="8B8B8B"/>
            </ns1:solidFill>
            <ns1:round/>
          </ns1:ln>
        </ns0:spPr>
        <ns0:txPr>
          <ns1:bodyPr/>
          <ns1:lstStyle/>
          <ns1:p>
            <ns1:pPr>
              <ns1:defRPr sz="975" b="0" u="none" strike="noStrike">
                <ns1:solidFill>
                  <ns1:srgbClr val="000000"/>
                </ns1:solidFill>
                <ns1:uFillTx/>
                <ns1:latin typeface="Arial"/>
                <ns1:ea typeface="Arial"/>
              </ns1:defRPr>
            </ns1:pPr>
          </ns1:p>
        </ns0:txPr>
        <ns0:crossAx val="19394269"/>
        <ns0:crosses val="autoZero"/>
        <ns0:crossBetween val="between"/>
      </ns0:valAx>
      <ns0:spPr>
        <ns1:ln w="0">
          <ns1:noFill/>
        </ns1:ln>
      </ns0:spPr>
    </ns0:plotArea>
    <ns0:plotVisOnly val="0"/>
    <ns0:dispBlanksAs val="gap"/>
  </ns0:chart>
  <ns0:spPr>
    <ns1:ln w="9360">
      <ns1:solidFill>
        <ns1:srgbClr val="D9D9D9"/>
      </ns1:solidFill>
      <ns1:round/>
    </ns1:ln>
  </ns0:spPr>
</ns0:chartSpace>
</file>

<file path=xl/charts/chart4.xml><?xml version="1.0" encoding="utf-8"?>
<ns0:chartSpace xmlns:ns0="http://schemas.openxmlformats.org/drawingml/2006/chart" xmlns:ns1="http://schemas.openxmlformats.org/drawingml/2006/main" xmlns:ns2="http://schemas.microsoft.com/office/drawing/2012/chart">
  <ns0:lang val="en-US"/>
  <ns0:roundedCorners val="0"/>
  <ns0:chart>
    <ns0:autoTitleDeleted val="1"/>
    <ns0:plotArea>
      <ns0:barChart>
        <ns0:barDir val="bar"/>
        <ns0:grouping val="clustered"/>
        <ns0:varyColors val="0"/>
        <ns0:ser>
          <ns0:idx val="0"/>
          <ns0:order val="0"/>
          <ns0:tx>
            <ns0:strRef>
              <ns0:f>"Net obligations"</ns0:f>
              <ns0:strCache>
                <ns0:ptCount val="1"/>
                <ns0:pt idx="0">
                  <ns0:v>Net obligations</ns0:v>
                </ns0:pt>
              </ns0:strCache>
            </ns0:strRef>
          </ns0:tx>
          <ns0:spPr>
            <ns1:solidFill>
              <ns1:srgbClr val="496EB4"/>
            </ns1:solidFill>
            <ns1:ln w="0">
              <ns1:noFill/>
            </ns1:ln>
          </ns0:spPr>
          <ns0:invertIfNegative val="0"/>
          <ns0:dLbls>
            <ns0:txPr>
              <ns1:bodyPr wrap="none"/>
              <ns1:lstStyle/>
              <ns1:p>
                <ns1:pPr>
                  <ns1:defRPr sz="1000" b="0" u="none" strike="noStrike">
                    <ns1:uFillTx/>
                    <ns1:latin typeface="Arial"/>
                  </ns1:defRPr>
                </ns1:pPr>
              </ns1:p>
            </ns0:txPr>
            <ns0:showLegendKey val="0"/>
            <ns0:showVal val="0"/>
            <ns0:showCatName val="0"/>
            <ns0:showSerName val="0"/>
            <ns0:showPercent val="0"/>
            <ns0:separator> </ns0:separator>
            <ns0:extLst>
              <ns0:ext uri="{CE6537A1-D6FC-4f65-9D91-7224C49458BB}">
                <ns2:showLeaderLines val="1"/>
              </ns0:ext>
            </ns0:extLst>
          </ns0:dLbls>
          <ns0:cat>
            <ns0:strRef>
              <ns0:f>Dashboard!$AD$42</ns0:f>
              <ns0:strCache>
                <ns0:ptCount val="1"/>
                <ns0:pt idx="0">
                  <ns0:v/>
                </ns0:pt>
              </ns0:strCache>
            </ns0:strRef>
          </ns0:cat>
          <ns0:val>
            <ns0:numRef>
              <ns0:f>Dashboard!$AE$42</ns0:f>
              <ns0:numCache>
                <ns0:formatCode>General</ns0:formatCode>
                <ns0:ptCount val="1"/>
              </ns0:numCache>
            </ns0:numRef>
          </ns0:val>
        </ns0:ser>
        <ns0:gapWidth val="150"/>
        <ns0:overlap val="0"/>
        <ns0:axId val="43804131"/>
        <ns0:axId val="41189276"/>
      </ns0:barChart>
      <ns0:catAx>
        <ns0:axId val="43804131"/>
        <ns0:scaling>
          <ns0:orientation val="minMax"/>
        </ns0:scaling>
        <ns0:delete val="0"/>
        <ns0:axPos val="b"/>
        <ns0:majorGridlines>
          <ns0:spPr>
            <ns1:ln w="9360">
              <ns1:solidFill>
                <ns1:srgbClr val="CCCCCC"/>
              </ns1:solidFill>
              <ns1:prstDash val="dash"/>
              <ns1:round/>
            </ns1:ln>
          </ns0:spPr>
        </ns0:majorGridlines>
        <ns0:numFmt formatCode="General" sourceLinked="0"/>
        <ns0:majorTickMark val="none"/>
        <ns0:minorTickMark val="none"/>
        <ns0:tickLblPos val="nextTo"/>
        <ns0:spPr>
          <ns1:ln w="12600">
            <ns1:solidFill>
              <ns1:srgbClr val="8B8B8B"/>
            </ns1:solidFill>
            <ns1:round/>
          </ns1:ln>
        </ns0:spPr>
        <ns0:txPr>
          <ns1:bodyPr/>
          <ns1:lstStyle/>
          <ns1:p>
            <ns1:pPr>
              <ns1:defRPr sz="975" b="0" u="none" strike="noStrike">
                <ns1:solidFill>
                  <ns1:srgbClr val="000000"/>
                </ns1:solidFill>
                <ns1:uFillTx/>
                <ns1:latin typeface="Arial"/>
                <ns1:ea typeface="Arial"/>
              </ns1:defRPr>
            </ns1:pPr>
          </ns1:p>
        </ns0:txPr>
        <ns0:crossAx val="41189276"/>
        <ns0:crosses val="autoZero"/>
        <ns0:auto val="1"/>
        <ns0:lblAlgn val="ctr"/>
        <ns0:lblOffset val="100"/>
        <ns0:noMultiLvlLbl val="0"/>
      </ns0:catAx>
      <ns0:valAx>
        <ns0:axId val="41189276"/>
        <ns0:scaling>
          <ns0:orientation val="minMax"/>
        </ns0:scaling>
        <ns0:delete val="0"/>
        <ns0:axPos val="l"/>
        <ns0:majorGridlines>
          <ns0:spPr>
            <ns1:ln w="9360">
              <ns1:solidFill>
                <ns1:srgbClr val="CCCCCC"/>
              </ns1:solidFill>
              <ns1:prstDash val="dash"/>
              <ns1:round/>
            </ns1:ln>
          </ns0:spPr>
        </ns0:majorGridlines>
        <ns0:numFmt formatCode="General" sourceLinked="0"/>
        <ns0:majorTickMark val="none"/>
        <ns0:minorTickMark val="none"/>
        <ns0:tickLblPos val="nextTo"/>
        <ns0:spPr>
          <ns1:ln w="12600">
            <ns1:solidFill>
              <ns1:srgbClr val="8B8B8B"/>
            </ns1:solidFill>
            <ns1:round/>
          </ns1:ln>
        </ns0:spPr>
        <ns0:txPr>
          <ns1:bodyPr/>
          <ns1:lstStyle/>
          <ns1:p>
            <ns1:pPr>
              <ns1:defRPr sz="975" b="0" u="none" strike="noStrike">
                <ns1:solidFill>
                  <ns1:srgbClr val="000000"/>
                </ns1:solidFill>
                <ns1:uFillTx/>
                <ns1:latin typeface="Arial"/>
                <ns1:ea typeface="Arial"/>
              </ns1:defRPr>
            </ns1:pPr>
          </ns1:p>
        </ns0:txPr>
        <ns0:crossAx val="43804131"/>
        <ns0:crosses val="autoZero"/>
        <ns0:crossBetween val="between"/>
      </ns0:valAx>
      <ns0:spPr>
        <ns1:ln w="0">
          <ns1:noFill/>
        </ns1:ln>
      </ns0:spPr>
    </ns0:plotArea>
    <ns0:plotVisOnly val="0"/>
    <ns0:dispBlanksAs val="gap"/>
  </ns0:chart>
  <ns0:spPr>
    <ns1:ln w="9360">
      <ns1:solidFill>
        <ns1:srgbClr val="D9D9D9"/>
      </ns1:solidFill>
      <ns1:round/>
    </ns1:ln>
  </ns0:spPr>
</ns0:chartSpace>
</file>

<file path=xl/charts/chart5.xml><?xml version="1.0" encoding="utf-8"?>
<ns0:chartSpace xmlns:ns0="http://schemas.openxmlformats.org/drawingml/2006/chart" xmlns:ns1="http://schemas.openxmlformats.org/drawingml/2006/main" xmlns:ns2="http://schemas.microsoft.com/office/drawing/2012/chart">
  <ns0:lang val="en-US"/>
  <ns0:roundedCorners val="0"/>
  <ns0:chart>
    <ns0:autoTitleDeleted val="1"/>
    <ns0:plotArea>
      <ns0:barChart>
        <ns0:barDir val="bar"/>
        <ns0:grouping val="clustered"/>
        <ns0:varyColors val="0"/>
        <ns0:ser>
          <ns0:idx val="0"/>
          <ns0:order val="0"/>
          <ns0:tx>
            <ns0:strRef>
              <ns0:f>"Net obligations"</ns0:f>
              <ns0:strCache>
                <ns0:ptCount val="1"/>
                <ns0:pt idx="0">
                  <ns0:v>Net obligations</ns0:v>
                </ns0:pt>
              </ns0:strCache>
            </ns0:strRef>
          </ns0:tx>
          <ns0:spPr>
            <ns1:solidFill>
              <ns1:srgbClr val="8561AD"/>
            </ns1:solidFill>
            <ns1:ln w="0">
              <ns1:noFill/>
            </ns1:ln>
          </ns0:spPr>
          <ns0:invertIfNegative val="0"/>
          <ns0:dLbls>
            <ns0:txPr>
              <ns1:bodyPr wrap="none"/>
              <ns1:lstStyle/>
              <ns1:p>
                <ns1:pPr>
                  <ns1:defRPr sz="1000" b="0" u="none" strike="noStrike">
                    <ns1:uFillTx/>
                    <ns1:latin typeface="Arial"/>
                  </ns1:defRPr>
                </ns1:pPr>
              </ns1:p>
            </ns0:txPr>
            <ns0:showLegendKey val="0"/>
            <ns0:showVal val="0"/>
            <ns0:showCatName val="0"/>
            <ns0:showSerName val="0"/>
            <ns0:showPercent val="0"/>
            <ns0:separator> </ns0:separator>
            <ns0:extLst>
              <ns0:ext uri="{CE6537A1-D6FC-4f65-9D91-7224C49458BB}">
                <ns2:showLeaderLines val="1"/>
              </ns0:ext>
            </ns0:extLst>
          </ns0:dLbls>
          <ns0:cat>
            <ns0:strRef>
              <ns0:f>Dashboard!$AG$42</ns0:f>
              <ns0:strCache>
                <ns0:ptCount val="1"/>
                <ns0:pt idx="0">
                  <ns0:v/>
                </ns0:pt>
              </ns0:strCache>
            </ns0:strRef>
          </ns0:cat>
          <ns0:val>
            <ns0:numRef>
              <ns0:f>Dashboard!$AH$42</ns0:f>
              <ns0:numCache>
                <ns0:formatCode>General</ns0:formatCode>
                <ns0:ptCount val="1"/>
              </ns0:numCache>
            </ns0:numRef>
          </ns0:val>
        </ns0:ser>
        <ns0:gapWidth val="150"/>
        <ns0:overlap val="0"/>
        <ns0:axId val="65868796"/>
        <ns0:axId val="38982423"/>
      </ns0:barChart>
      <ns0:catAx>
        <ns0:axId val="65868796"/>
        <ns0:scaling>
          <ns0:orientation val="minMax"/>
        </ns0:scaling>
        <ns0:delete val="0"/>
        <ns0:axPos val="b"/>
        <ns0:majorGridlines>
          <ns0:spPr>
            <ns1:ln w="9360">
              <ns1:solidFill>
                <ns1:srgbClr val="CCCCCC"/>
              </ns1:solidFill>
              <ns1:prstDash val="dash"/>
              <ns1:round/>
            </ns1:ln>
          </ns0:spPr>
        </ns0:majorGridlines>
        <ns0:numFmt formatCode="General" sourceLinked="0"/>
        <ns0:majorTickMark val="none"/>
        <ns0:minorTickMark val="none"/>
        <ns0:tickLblPos val="nextTo"/>
        <ns0:spPr>
          <ns1:ln w="12600">
            <ns1:solidFill>
              <ns1:srgbClr val="8B8B8B"/>
            </ns1:solidFill>
            <ns1:round/>
          </ns1:ln>
        </ns0:spPr>
        <ns0:txPr>
          <ns1:bodyPr/>
          <ns1:lstStyle/>
          <ns1:p>
            <ns1:pPr>
              <ns1:defRPr sz="975" b="0" u="none" strike="noStrike">
                <ns1:solidFill>
                  <ns1:srgbClr val="000000"/>
                </ns1:solidFill>
                <ns1:uFillTx/>
                <ns1:latin typeface="Arial"/>
                <ns1:ea typeface="Arial"/>
              </ns1:defRPr>
            </ns1:pPr>
          </ns1:p>
        </ns0:txPr>
        <ns0:crossAx val="38982423"/>
        <ns0:crosses val="autoZero"/>
        <ns0:auto val="1"/>
        <ns0:lblAlgn val="ctr"/>
        <ns0:lblOffset val="100"/>
        <ns0:noMultiLvlLbl val="0"/>
      </ns0:catAx>
      <ns0:valAx>
        <ns0:axId val="38982423"/>
        <ns0:scaling>
          <ns0:orientation val="minMax"/>
        </ns0:scaling>
        <ns0:delete val="0"/>
        <ns0:axPos val="l"/>
        <ns0:majorGridlines>
          <ns0:spPr>
            <ns1:ln w="9360">
              <ns1:solidFill>
                <ns1:srgbClr val="CCCCCC"/>
              </ns1:solidFill>
              <ns1:prstDash val="dash"/>
              <ns1:round/>
            </ns1:ln>
          </ns0:spPr>
        </ns0:majorGridlines>
        <ns0:numFmt formatCode="General" sourceLinked="0"/>
        <ns0:majorTickMark val="none"/>
        <ns0:minorTickMark val="none"/>
        <ns0:tickLblPos val="nextTo"/>
        <ns0:spPr>
          <ns1:ln w="12600">
            <ns1:solidFill>
              <ns1:srgbClr val="8B8B8B"/>
            </ns1:solidFill>
            <ns1:round/>
          </ns1:ln>
        </ns0:spPr>
        <ns0:txPr>
          <ns1:bodyPr/>
          <ns1:lstStyle/>
          <ns1:p>
            <ns1:pPr>
              <ns1:defRPr sz="975" b="0" u="none" strike="noStrike">
                <ns1:solidFill>
                  <ns1:srgbClr val="000000"/>
                </ns1:solidFill>
                <ns1:uFillTx/>
                <ns1:latin typeface="Arial"/>
                <ns1:ea typeface="Arial"/>
              </ns1:defRPr>
            </ns1:pPr>
          </ns1:p>
        </ns0:txPr>
        <ns0:crossAx val="65868796"/>
        <ns0:crosses val="autoZero"/>
        <ns0:crossBetween val="between"/>
      </ns0:valAx>
      <ns0:spPr>
        <ns1:ln w="0">
          <ns1:noFill/>
        </ns1:ln>
      </ns0:spPr>
    </ns0:plotArea>
    <ns0:plotVisOnly val="0"/>
    <ns0:dispBlanksAs val="gap"/>
  </ns0:chart>
  <ns0:spPr>
    <ns1:ln w="9360">
      <ns1:solidFill>
        <ns1:srgbClr val="D9D9D9"/>
      </ns1:solidFill>
      <ns1:round/>
    </ns1:ln>
  </ns0:spPr>
</ns0:chartSpace>
</file>

<file path=xl/charts/chart6.xml><?xml version="1.0" encoding="utf-8"?>
<ns0:chartSpace xmlns:ns0="http://schemas.openxmlformats.org/drawingml/2006/chart" xmlns:ns1="http://schemas.openxmlformats.org/drawingml/2006/main" xmlns:ns2="http://schemas.microsoft.com/office/drawing/2012/chart">
  <ns0:lang val="en-US"/>
  <ns0:roundedCorners val="0"/>
  <ns0:chart>
    <ns0:autoTitleDeleted val="1"/>
    <ns0:plotArea>
      <ns0:barChart>
        <ns0:barDir val="bar"/>
        <ns0:grouping val="clustered"/>
        <ns0:varyColors val="0"/>
        <ns0:ser>
          <ns0:idx val="0"/>
          <ns0:order val="0"/>
          <ns0:tx>
            <ns0:strRef>
              <ns0:f>"Net obligations"</ns0:f>
              <ns0:strCache>
                <ns0:ptCount val="1"/>
                <ns0:pt idx="0">
                  <ns0:v>Net obligations</ns0:v>
                </ns0:pt>
              </ns0:strCache>
            </ns0:strRef>
          </ns0:tx>
          <ns0:spPr>
            <ns1:solidFill>
              <ns1:srgbClr val="4C867B"/>
            </ns1:solidFill>
            <ns1:ln w="0">
              <ns1:noFill/>
            </ns1:ln>
          </ns0:spPr>
          <ns0:invertIfNegative val="0"/>
          <ns0:dLbls>
            <ns0:txPr>
              <ns1:bodyPr wrap="none"/>
              <ns1:lstStyle/>
              <ns1:p>
                <ns1:pPr>
                  <ns1:defRPr sz="1000" b="0" u="none" strike="noStrike">
                    <ns1:uFillTx/>
                    <ns1:latin typeface="Arial"/>
                  </ns1:defRPr>
                </ns1:pPr>
              </ns1:p>
            </ns0:txPr>
            <ns0:showLegendKey val="0"/>
            <ns0:showVal val="0"/>
            <ns0:showCatName val="0"/>
            <ns0:showSerName val="0"/>
            <ns0:showPercent val="0"/>
            <ns0:separator> </ns0:separator>
            <ns0:extLst>
              <ns0:ext uri="{CE6537A1-D6FC-4f65-9D91-7224C49458BB}">
                <ns2:showLeaderLines val="1"/>
              </ns0:ext>
            </ns0:extLst>
          </ns0:dLbls>
          <ns0:cat>
            <ns0:strRef>
              <ns0:f>Dashboard!$AJ$42</ns0:f>
              <ns0:strCache>
                <ns0:ptCount val="1"/>
                <ns0:pt idx="0">
                  <ns0:v/>
                </ns0:pt>
              </ns0:strCache>
            </ns0:strRef>
          </ns0:cat>
          <ns0:val>
            <ns0:numRef>
              <ns0:f>Dashboard!$AK$42</ns0:f>
              <ns0:numCache>
                <ns0:formatCode>General</ns0:formatCode>
                <ns0:ptCount val="1"/>
              </ns0:numCache>
            </ns0:numRef>
          </ns0:val>
        </ns0:ser>
        <ns0:gapWidth val="150"/>
        <ns0:overlap val="0"/>
        <ns0:axId val="83868874"/>
        <ns0:axId val="54010439"/>
      </ns0:barChart>
      <ns0:catAx>
        <ns0:axId val="83868874"/>
        <ns0:scaling>
          <ns0:orientation val="minMax"/>
        </ns0:scaling>
        <ns0:delete val="0"/>
        <ns0:axPos val="b"/>
        <ns0:majorGridlines>
          <ns0:spPr>
            <ns1:ln w="9360">
              <ns1:solidFill>
                <ns1:srgbClr val="CCCCCC"/>
              </ns1:solidFill>
              <ns1:prstDash val="dash"/>
              <ns1:round/>
            </ns1:ln>
          </ns0:spPr>
        </ns0:majorGridlines>
        <ns0:numFmt formatCode="General" sourceLinked="0"/>
        <ns0:majorTickMark val="none"/>
        <ns0:minorTickMark val="none"/>
        <ns0:tickLblPos val="nextTo"/>
        <ns0:spPr>
          <ns1:ln w="12600">
            <ns1:solidFill>
              <ns1:srgbClr val="8B8B8B"/>
            </ns1:solidFill>
            <ns1:round/>
          </ns1:ln>
        </ns0:spPr>
        <ns0:txPr>
          <ns1:bodyPr/>
          <ns1:lstStyle/>
          <ns1:p>
            <ns1:pPr>
              <ns1:defRPr sz="975" b="0" u="none" strike="noStrike">
                <ns1:solidFill>
                  <ns1:srgbClr val="000000"/>
                </ns1:solidFill>
                <ns1:uFillTx/>
                <ns1:latin typeface="Arial"/>
                <ns1:ea typeface="Arial"/>
              </ns1:defRPr>
            </ns1:pPr>
          </ns1:p>
        </ns0:txPr>
        <ns0:crossAx val="54010439"/>
        <ns0:crosses val="autoZero"/>
        <ns0:auto val="1"/>
        <ns0:lblAlgn val="ctr"/>
        <ns0:lblOffset val="100"/>
        <ns0:noMultiLvlLbl val="0"/>
      </ns0:catAx>
      <ns0:valAx>
        <ns0:axId val="54010439"/>
        <ns0:scaling>
          <ns0:orientation val="minMax"/>
        </ns0:scaling>
        <ns0:delete val="0"/>
        <ns0:axPos val="l"/>
        <ns0:majorGridlines>
          <ns0:spPr>
            <ns1:ln w="9360">
              <ns1:solidFill>
                <ns1:srgbClr val="CCCCCC"/>
              </ns1:solidFill>
              <ns1:prstDash val="dash"/>
              <ns1:round/>
            </ns1:ln>
          </ns0:spPr>
        </ns0:majorGridlines>
        <ns0:numFmt formatCode="General" sourceLinked="0"/>
        <ns0:majorTickMark val="none"/>
        <ns0:minorTickMark val="none"/>
        <ns0:tickLblPos val="nextTo"/>
        <ns0:spPr>
          <ns1:ln w="12600">
            <ns1:solidFill>
              <ns1:srgbClr val="8B8B8B"/>
            </ns1:solidFill>
            <ns1:round/>
          </ns1:ln>
        </ns0:spPr>
        <ns0:txPr>
          <ns1:bodyPr/>
          <ns1:lstStyle/>
          <ns1:p>
            <ns1:pPr>
              <ns1:defRPr sz="975" b="0" u="none" strike="noStrike">
                <ns1:solidFill>
                  <ns1:srgbClr val="000000"/>
                </ns1:solidFill>
                <ns1:uFillTx/>
                <ns1:latin typeface="Arial"/>
                <ns1:ea typeface="Arial"/>
              </ns1:defRPr>
            </ns1:pPr>
          </ns1:p>
        </ns0:txPr>
        <ns0:crossAx val="83868874"/>
        <ns0:crosses val="autoZero"/>
        <ns0:crossBetween val="between"/>
      </ns0:valAx>
      <ns0:spPr>
        <ns1:ln w="0">
          <ns1:noFill/>
        </ns1:ln>
      </ns0:spPr>
    </ns0:plotArea>
    <ns0:plotVisOnly val="0"/>
    <ns0:dispBlanksAs val="gap"/>
  </ns0:chart>
  <ns0:spPr>
    <ns1:ln w="9360">
      <ns1:solidFill>
        <ns1:srgbClr val="D9D9D9"/>
      </ns1:solidFill>
      <ns1:round/>
    </ns1:ln>
  </ns0:spPr>
</ns0:chartSpace>
</file>

<file path=xl/charts/chart7.xml><?xml version="1.0" encoding="utf-8"?>
<ns0:chartSpace xmlns:ns0="http://schemas.openxmlformats.org/drawingml/2006/chart" xmlns:ns1="http://schemas.openxmlformats.org/drawingml/2006/main" xmlns:ns2="http://schemas.microsoft.com/office/drawing/2012/chart">
  <ns0:lang val="en-US"/>
  <ns0:roundedCorners val="0"/>
  <ns0:chart>
    <ns0:autoTitleDeleted val="1"/>
    <ns0:plotArea>
      <ns0:lineChart>
        <ns0:grouping val="standard"/>
        <ns0:varyColors val="0"/>
        <ns0:ser>
          <ns0:idx val="0"/>
          <ns0:order val="0"/>
          <ns0:tx>
            <ns0:strRef>
              <ns0:f>"Net obligations"</ns0:f>
              <ns0:strCache>
                <ns0:ptCount val="1"/>
                <ns0:pt idx="0">
                  <ns0:v>Net obligations</ns0:v>
                </ns0:pt>
              </ns0:strCache>
            </ns0:strRef>
          </ns0:tx>
          <ns0:spPr>
            <ns1:solidFill>
              <ns1:srgbClr val="268CA1"/>
            </ns1:solidFill>
            <ns1:ln w="19080">
              <ns1:solidFill>
                <ns1:srgbClr val="268CA1"/>
              </ns1:solidFill>
              <ns1:round/>
            </ns1:ln>
          </ns0:spPr>
          <ns0:marker>
            <ns0:symbol val="none"/>
          </ns0:marker>
          <ns0:dLbls>
            <ns0:txPr>
              <ns1:bodyPr wrap="none"/>
              <ns1:lstStyle/>
              <ns1:p>
                <ns1:pPr>
                  <ns1:defRPr sz="1000" b="0" u="none" strike="noStrike">
                    <ns1:uFillTx/>
                    <ns1:latin typeface="Arial"/>
                  </ns1:defRPr>
                </ns1:pPr>
              </ns1:p>
            </ns0:txPr>
            <ns0:showLegendKey val="0"/>
            <ns0:showVal val="0"/>
            <ns0:showCatName val="0"/>
            <ns0:showSerName val="0"/>
            <ns0:showPercent val="0"/>
            <ns0:separator> </ns0:separator>
            <ns0:extLst>
              <ns0:ext uri="{CE6537A1-D6FC-4f65-9D91-7224C49458BB}">
                <ns2:showLeaderLines val="1"/>
              </ns0:ext>
            </ns0:extLst>
          </ns0:dLbls>
          <ns0:cat>
            <ns0:strRef>
              <ns0:f>Trends!$A$32:$A$35</ns0:f>
              <ns0:strCache>
                <ns0:ptCount val="4"/>
                <ns0:pt idx="0">
                  <ns0:v/>
                </ns0:pt>
                <ns0:pt idx="1">
                  <ns0:v/>
                </ns0:pt>
                <ns0:pt idx="2">
                  <ns0:v/>
                </ns0:pt>
                <ns0:pt idx="3">
                  <ns0:v/>
                </ns0:pt>
              </ns0:strCache>
            </ns0:strRef>
          </ns0:cat>
          <ns0:val>
            <ns0:numRef>
              <ns0:f>Trends!$L$32:$L$35</ns0:f>
              <ns0:numCache>
                <ns0:formatCode>General</ns0:formatCode>
                <ns0:ptCount val="4"/>
              </ns0:numCache>
            </ns0:numRef>
          </ns0:val>
          <ns0:smooth val="0"/>
        </ns0:ser>
        <ns0:ser>
          <ns0:idx val="1"/>
          <ns0:order val="1"/>
          <ns0:tx>
            <ns0:strRef>
              <ns0:f>"4-quarter average"</ns0:f>
              <ns0:strCache>
                <ns0:ptCount val="1"/>
                <ns0:pt idx="0">
                  <ns0:v>4-quarter average</ns0:v>
                </ns0:pt>
              </ns0:strCache>
            </ns0:strRef>
          </ns0:tx>
          <ns0:spPr>
            <ns1:solidFill>
              <ns1:srgbClr val="496EB4"/>
            </ns1:solidFill>
            <ns1:ln w="19080">
              <ns1:solidFill>
                <ns1:srgbClr val="496EB4"/>
              </ns1:solidFill>
              <ns1:prstDash val="dash"/>
              <ns1:round/>
            </ns1:ln>
          </ns0:spPr>
          <ns0:marker>
            <ns0:symbol val="none"/>
          </ns0:marker>
          <ns0:dLbls>
            <ns0:txPr>
              <ns1:bodyPr wrap="none"/>
              <ns1:lstStyle/>
              <ns1:p>
                <ns1:pPr>
                  <ns1:defRPr sz="1000" b="0" u="none" strike="noStrike">
                    <ns1:uFillTx/>
                    <ns1:latin typeface="Arial"/>
                  </ns1:defRPr>
                </ns1:pPr>
              </ns1:p>
            </ns0:txPr>
            <ns0:showLegendKey val="0"/>
            <ns0:showVal val="0"/>
            <ns0:showCatName val="0"/>
            <ns0:showSerName val="0"/>
            <ns0:showPercent val="0"/>
            <ns0:separator> </ns0:separator>
            <ns0:extLst>
              <ns0:ext uri="{CE6537A1-D6FC-4f65-9D91-7224C49458BB}">
                <ns2:showLeaderLines val="1"/>
              </ns0:ext>
            </ns0:extLst>
          </ns0:dLbls>
          <ns0:cat>
            <ns0:strRef>
              <ns0:f>Trends!$A$32:$A$35</ns0:f>
              <ns0:strCache>
                <ns0:ptCount val="4"/>
                <ns0:pt idx="0">
                  <ns0:v/>
                </ns0:pt>
                <ns0:pt idx="1">
                  <ns0:v/>
                </ns0:pt>
                <ns0:pt idx="2">
                  <ns0:v/>
                </ns0:pt>
                <ns0:pt idx="3">
                  <ns0:v/>
                </ns0:pt>
              </ns0:strCache>
            </ns0:strRef>
          </ns0:cat>
          <ns0:val>
            <ns0:numRef>
              <ns0:f>Trends!$M$32:$M$35</ns0:f>
              <ns0:numCache>
                <ns0:formatCode>General</ns0:formatCode>
                <ns0:ptCount val="4"/>
              </ns0:numCache>
            </ns0:numRef>
          </ns0:val>
          <ns0:smooth val="0"/>
        </ns0:ser>
        <ns0:hiLowLines>
          <ns0:spPr>
            <ns1:ln w="0">
              <ns1:noFill/>
            </ns1:ln>
          </ns0:spPr>
        </ns0:hiLowLines>
        <ns0:marker val="0"/>
        <ns0:axId val="86415374"/>
        <ns0:axId val="58421204"/>
      </ns0:lineChart>
      <ns0:catAx>
        <ns0:axId val="86415374"/>
        <ns0:scaling>
          <ns0:orientation val="minMax"/>
        </ns0:scaling>
        <ns0:delete val="0"/>
        <ns0:axPos val="b"/>
        <ns0:majorGridlines>
          <ns0:spPr>
            <ns1:ln w="9360">
              <ns1:solidFill>
                <ns1:srgbClr val="CCCCCC"/>
              </ns1:solidFill>
              <ns1:prstDash val="dash"/>
              <ns1:round/>
            </ns1:ln>
          </ns0:spPr>
        </ns0:majorGridlines>
        <ns0:numFmt formatCode="General" sourceLinked="0"/>
        <ns0:majorTickMark val="none"/>
        <ns0:minorTickMark val="none"/>
        <ns0:tickLblPos val="nextTo"/>
        <ns0:spPr>
          <ns1:ln w="12600">
            <ns1:solidFill>
              <ns1:srgbClr val="8B8B8B"/>
            </ns1:solidFill>
            <ns1:round/>
          </ns1:ln>
        </ns0:spPr>
        <ns0:txPr>
          <ns1:bodyPr/>
          <ns1:lstStyle/>
          <ns1:p>
            <ns1:pPr>
              <ns1:defRPr sz="975" b="0" u="none" strike="noStrike">
                <ns1:solidFill>
                  <ns1:srgbClr val="000000"/>
                </ns1:solidFill>
                <ns1:uFillTx/>
                <ns1:latin typeface="Arial"/>
                <ns1:ea typeface="Arial"/>
              </ns1:defRPr>
            </ns1:pPr>
          </ns1:p>
        </ns0:txPr>
        <ns0:crossAx val="58421204"/>
        <ns0:crosses val="autoZero"/>
        <ns0:auto val="1"/>
        <ns0:lblAlgn val="ctr"/>
        <ns0:lblOffset val="100"/>
        <ns0:noMultiLvlLbl val="0"/>
      </ns0:catAx>
      <ns0:valAx>
        <ns0:axId val="58421204"/>
        <ns0:scaling>
          <ns0:orientation val="minMax"/>
        </ns0:scaling>
        <ns0:delete val="0"/>
        <ns0:axPos val="l"/>
        <ns0:majorGridlines>
          <ns0:spPr>
            <ns1:ln w="9360">
              <ns1:solidFill>
                <ns1:srgbClr val="CCCCCC"/>
              </ns1:solidFill>
              <ns1:prstDash val="dash"/>
              <ns1:round/>
            </ns1:ln>
          </ns0:spPr>
        </ns0:majorGridlines>
        <ns0:numFmt formatCode="General" sourceLinked="0"/>
        <ns0:majorTickMark val="none"/>
        <ns0:minorTickMark val="none"/>
        <ns0:tickLblPos val="nextTo"/>
        <ns0:spPr>
          <ns1:ln w="12600">
            <ns1:solidFill>
              <ns1:srgbClr val="8B8B8B"/>
            </ns1:solidFill>
            <ns1:round/>
          </ns1:ln>
        </ns0:spPr>
        <ns0:txPr>
          <ns1:bodyPr/>
          <ns1:lstStyle/>
          <ns1:p>
            <ns1:pPr>
              <ns1:defRPr sz="975" b="0" u="none" strike="noStrike">
                <ns1:solidFill>
                  <ns1:srgbClr val="000000"/>
                </ns1:solidFill>
                <ns1:uFillTx/>
                <ns1:latin typeface="Arial"/>
                <ns1:ea typeface="Arial"/>
              </ns1:defRPr>
            </ns1:pPr>
          </ns1:p>
        </ns0:txPr>
        <ns0:crossAx val="86415374"/>
        <ns0:crosses val="autoZero"/>
        <ns0:crossBetween val="between"/>
      </ns0:valAx>
      <ns0:spPr>
        <ns1:ln w="0">
          <ns1:noFill/>
        </ns1:ln>
      </ns0:spPr>
    </ns0:plotArea>
    <ns0:legend>
      <ns0:legendPos val="t"/>
      <ns0:overlay val="0"/>
      <ns0:spPr>
        <ns1:noFill/>
        <ns1:ln w="0">
          <ns1:noFill/>
        </ns1:ln>
      </ns0:spPr>
      <ns0:txPr>
        <ns1:bodyPr/>
        <ns1:lstStyle/>
        <ns1:p>
          <ns1:pPr>
            <ns1:defRPr sz="900" b="0" u="none" strike="noStrike">
              <ns1:solidFill>
                <ns1:srgbClr val="000000"/>
              </ns1:solidFill>
              <ns1:uFillTx/>
              <ns1:latin typeface="Arial"/>
              <ns1:ea typeface="Arial"/>
            </ns1:defRPr>
          </ns1:pPr>
        </ns1:p>
      </ns0:txPr>
    </ns0:legend>
    <ns0:plotVisOnly val="0"/>
    <ns0:dispBlanksAs val="gap"/>
  </ns0:chart>
  <ns0:spPr>
    <ns1:ln w="9360">
      <ns1:solidFill>
        <ns1:srgbClr val="D9D9D9"/>
      </ns1:solidFill>
      <ns1:round/>
    </ns1:ln>
  </ns0:spPr>
</ns0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6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7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7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21</xdr:row>
      <xdr:rowOff>0</xdr:rowOff>
    </xdr:from>
    <xdr:to>
      <xdr:col>11</xdr:col>
      <xdr:colOff>359640</xdr:colOff>
      <xdr:row>34</xdr:row>
      <xdr:rowOff>209160</xdr:rowOff>
    </xdr:to>
    <xdr:graphicFrame>
      <xdr:nvGraphicFramePr>
        <xdr:cNvPr id="1" name="Chart"/>
        <xdr:cNvGraphicFramePr/>
      </xdr:nvGraphicFramePr>
      <xdr:xfrm>
        <a:off x="125640" y="4438800"/>
        <a:ext cx="3710160" cy="2933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0</xdr:colOff>
      <xdr:row>21</xdr:row>
      <xdr:rowOff>0</xdr:rowOff>
    </xdr:from>
    <xdr:to>
      <xdr:col>23</xdr:col>
      <xdr:colOff>359640</xdr:colOff>
      <xdr:row>34</xdr:row>
      <xdr:rowOff>209160</xdr:rowOff>
    </xdr:to>
    <xdr:graphicFrame>
      <xdr:nvGraphicFramePr>
        <xdr:cNvPr id="2" name="Chart"/>
        <xdr:cNvGraphicFramePr/>
      </xdr:nvGraphicFramePr>
      <xdr:xfrm>
        <a:off x="3945960" y="4438800"/>
        <a:ext cx="3709800" cy="2933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40</xdr:row>
      <xdr:rowOff>0</xdr:rowOff>
    </xdr:from>
    <xdr:to>
      <xdr:col>11</xdr:col>
      <xdr:colOff>359640</xdr:colOff>
      <xdr:row>55</xdr:row>
      <xdr:rowOff>209160</xdr:rowOff>
    </xdr:to>
    <xdr:graphicFrame>
      <xdr:nvGraphicFramePr>
        <xdr:cNvPr id="3" name="Chart"/>
        <xdr:cNvGraphicFramePr/>
      </xdr:nvGraphicFramePr>
      <xdr:xfrm>
        <a:off x="125640" y="8820000"/>
        <a:ext cx="3710160" cy="3352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13</xdr:col>
      <xdr:colOff>0</xdr:colOff>
      <xdr:row>40</xdr:row>
      <xdr:rowOff>0</xdr:rowOff>
    </xdr:from>
    <xdr:to>
      <xdr:col>23</xdr:col>
      <xdr:colOff>359640</xdr:colOff>
      <xdr:row>55</xdr:row>
      <xdr:rowOff>209160</xdr:rowOff>
    </xdr:to>
    <xdr:graphicFrame>
      <xdr:nvGraphicFramePr>
        <xdr:cNvPr id="4" name="Chart"/>
        <xdr:cNvGraphicFramePr/>
      </xdr:nvGraphicFramePr>
      <xdr:xfrm>
        <a:off x="3945960" y="8820000"/>
        <a:ext cx="3709800" cy="3352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58</xdr:row>
      <xdr:rowOff>0</xdr:rowOff>
    </xdr:from>
    <xdr:to>
      <xdr:col>11</xdr:col>
      <xdr:colOff>359640</xdr:colOff>
      <xdr:row>73</xdr:row>
      <xdr:rowOff>209160</xdr:rowOff>
    </xdr:to>
    <xdr:graphicFrame>
      <xdr:nvGraphicFramePr>
        <xdr:cNvPr id="5" name="Chart"/>
        <xdr:cNvGraphicFramePr/>
      </xdr:nvGraphicFramePr>
      <xdr:xfrm>
        <a:off x="125640" y="12592080"/>
        <a:ext cx="3710160" cy="3352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13</xdr:col>
      <xdr:colOff>0</xdr:colOff>
      <xdr:row>58</xdr:row>
      <xdr:rowOff>0</xdr:rowOff>
    </xdr:from>
    <xdr:to>
      <xdr:col>23</xdr:col>
      <xdr:colOff>359640</xdr:colOff>
      <xdr:row>73</xdr:row>
      <xdr:rowOff>209160</xdr:rowOff>
    </xdr:to>
    <xdr:graphicFrame>
      <xdr:nvGraphicFramePr>
        <xdr:cNvPr id="6" name="Chart"/>
        <xdr:cNvGraphicFramePr/>
      </xdr:nvGraphicFramePr>
      <xdr:xfrm>
        <a:off x="3945960" y="12592080"/>
        <a:ext cx="3709800" cy="3352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7</xdr:row>
      <xdr:rowOff>0</xdr:rowOff>
    </xdr:from>
    <xdr:to>
      <xdr:col>7</xdr:col>
      <xdr:colOff>1330200</xdr:colOff>
      <xdr:row>21</xdr:row>
      <xdr:rowOff>317160</xdr:rowOff>
    </xdr:to>
    <xdr:graphicFrame>
      <xdr:nvGraphicFramePr>
        <xdr:cNvPr id="7" name="Chart"/>
        <xdr:cNvGraphicFramePr/>
      </xdr:nvGraphicFramePr>
      <xdr:xfrm>
        <a:off x="0" y="2451240"/>
        <a:ext cx="10179720" cy="4762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AwardsData" displayName="AwardsData" ref="A7:Y22" headerRowCount="1" totalsRowCount="0" totalsRowShown="0">
  <autoFilter ref="A7:Y22"/>
  <tableColumns count="25">
    <tableColumn id="1" name="Award reference">
      <calculatedColumnFormula>IF(S8="","",IF(U8="",S8,HYPERLINK(U8,S8)))</calculatedColumnFormula>
    </tableColumn>
    <tableColumn id="2" name="Vendor">
      <calculatedColumnFormula>IF(T8="","",IF(V8="",T8,HYPERLINK(V8,T8)))</calculatedColumnFormula>
    </tableColumn>
    <tableColumn id="3" name="UEI"/>
    <tableColumn id="4" name="Period obligations">
      <calculatedColumnFormula>IF(R8="","",IF('Trends'!$B$6&lt;&gt;"","",SUMIFS(TransactionsData[Obligations],TransactionsData[Award ID],R8,TransactionsData[Selected],1)))</calculatedColumnFormula>
    </tableColumn>
    <tableColumn id="5" name="Covered obligations">
      <calculatedColumnFormula>IF(R8="","",IF('Trends'!$B$6&lt;&gt;"","",SUMIFS(TransactionsData[Obligations],TransactionsData[Award ID],R8,TransactionsData[Dimension match],1)))</calculatedColumnFormula>
    </tableColumn>
    <tableColumn id="6" name="Current award type"/>
    <tableColumn id="7" name="Current set-aside"/>
    <tableColumn id="8" name="Performance state"/>
    <tableColumn id="9" name="Current obligations"/>
    <tableColumn id="10" name="Potential ceiling"/>
    <tableColumn id="11" name="Award date"/>
    <tableColumn id="12" name="Completion date"/>
    <tableColumn id="13" name="Place of performance"/>
    <tableColumn id="14" name="Parent vehicle"/>
    <tableColumn id="15" name="PSC"/>
    <tableColumn id="16" name="NAICS"/>
    <tableColumn id="17" name="Retrieved"/>
    <tableColumn id="18" name="Award ID"/>
    <tableColumn id="19" name="Original award reference"/>
    <tableColumn id="20" name="Original vendor name"/>
    <tableColumn id="21" name="Source URL"/>
    <tableColumn id="22" name="Vendor URL"/>
    <tableColumn id="23" name="Input check">
      <calculatedColumnFormula>IF(R8="",IF(COUNTA(C8,F8:V8)&gt;0,"Missing award ID",""),IF(COUNTIFS(AwardsData[Award ID],R8)&lt;&gt;1,"Duplicate award ID",IF(OR(S8="",T8="",F8=""),"Add reference, vendor and award type",IF(OR(AND(I8&lt;&gt;"",NOT(ISNUMBER(I8))),AND(J8&lt;&gt;"",NOT(ISNUMBER(J8)))),"Use numeric snapshot amounts",IF(OR(COUNTIF(AwardTypeCategories,F8)&lt;&gt;1,COUNTIF(SetAsideCategories,G8)&lt;&gt;1,COUNTIF(PerformanceStateCategories,H8)&lt;&gt;1),"New category: refresh report","")))))</calculatedColumnFormula>
    </tableColumn>
    <tableColumn id="24" name="Period actions">
      <calculatedColumnFormula>IF(R8="","",COUNTIFS(TransactionsData[Award ID],R8,TransactionsData[Selected],1))</calculatedColumnFormula>
    </tableColumn>
    <tableColumn id="25" name="Covered actions">
      <calculatedColumnFormula>IF(R8="","",COUNTIFS(TransactionsData[Award ID],R8,TransactionsData[Dimension match],1))</calculatedColumn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2" name="OfficeGroups" displayName="OfficeGroups" ref="A24:R34" headerRowCount="1" totalsRowCount="0" totalsRowShown="0">
  <autoFilter ref="A24:R34"/>
  <tableColumns count="18">
    <tableColumn id="1" name="Rank">
      <calculatedColumnFormula>IF('Trends'!$B$6&lt;&gt;"","",IF(COUNTIFS(OfficeGroups[Source rank],1)=1,1,""))</calculatedColumnFormula>
    </tableColumn>
    <tableColumn id="2" name="Funding office">
      <calculatedColumnFormula>IF('Trends'!$B$6&lt;&gt;"","",IF(COUNTIFS(OfficeGroups[Source rank],1)=1,IF(INDEX(OfficeGroups[Source URL],MATCH(1,OfficeGroups[Source rank],0))="",INDEX(OfficeGroups[Source name],MATCH(1,OfficeGroups[Source rank],0)),HYPERLINK(INDEX(OfficeGroups[Source URL],MATCH(1,OfficeGroups[Source rank],0)),INDEX(OfficeGroups[Source name],MATCH(1,OfficeGroups[Source rank],0)))),""))</calculatedColumnFormula>
    </tableColumn>
    <tableColumn id="3" name="Office code">
      <calculatedColumnFormula>IF('Trends'!$B$6&lt;&gt;"","",IF(COUNTIFS(OfficeGroups[Source rank],1)=1,IF(INDEX(OfficeGroups[Source UEI],MATCH(1,OfficeGroups[Source rank],0))="","Not supplied",INDEX(OfficeGroups[Source UEI],MATCH(1,OfficeGroups[Source rank],0))),""))</calculatedColumnFormula>
    </tableColumn>
    <tableColumn id="4" name="Net obligations">
      <calculatedColumnFormula>IF('Trends'!$B$6&lt;&gt;"","",IF(COUNTIFS(OfficeGroups[Source rank],1)=1,INDEX(OfficeGroups[Source net],MATCH(1,OfficeGroups[Source rank],0)),""))</calculatedColumnFormula>
    </tableColumn>
    <tableColumn id="5" name="Deobligations">
      <calculatedColumnFormula>IF('Trends'!$B$6&lt;&gt;"","",IF(COUNTIFS(OfficeGroups[Source rank],1)=1,INDEX(OfficeGroups[Source deobligations],MATCH(1,OfficeGroups[Source rank],0)),""))</calculatedColumnFormula>
    </tableColumn>
    <tableColumn id="6" name="Awards with obligations">
      <calculatedColumnFormula>IF('Trends'!$B$6&lt;&gt;"","",IF(COUNTIFS(OfficeGroups[Source rank],1)=1,INDEX(OfficeGroups[Source awards],MATCH(1,OfficeGroups[Source rank],0)),""))</calculatedColumnFormula>
    </tableColumn>
    <tableColumn id="7" name="Transactions">
      <calculatedColumnFormula>IF('Trends'!$B$6&lt;&gt;"","",IF(COUNTIFS(OfficeGroups[Source rank],1)=1,INDEX(OfficeGroups[Source actions],MATCH(1,OfficeGroups[Source rank],0)),""))</calculatedColumnFormula>
    </tableColumn>
    <tableColumn id="8" name="Record ID"/>
    <tableColumn id="9" name="Source name"/>
    <tableColumn id="10" name="Source UEI"/>
    <tableColumn id="11" name="Source URL"/>
    <tableColumn id="12" name="Filter label">
      <calculatedColumnFormula>IF(H25="","",I25&amp;IF(J25="",""," ["&amp;J25&amp;"]"))</calculatedColumnFormula>
    </tableColumn>
    <tableColumn id="13" name="Source net">
      <calculatedColumnFormula>IF(H25="","",SUMIFS(TransactionsData[Obligations],TransactionsData[Funding office ID],H25,TransactionsData[Selected],1))</calculatedColumnFormula>
    </tableColumn>
    <tableColumn id="14" name="Source deobligations">
      <calculatedColumnFormula>IF(H25="","",SUMIFS(TransactionsData[Deobligations],TransactionsData[Funding office ID],H25,TransactionsData[Selected],1))</calculatedColumnFormula>
    </tableColumn>
    <tableColumn id="15" name="Source awards">
      <calculatedColumnFormula>IF(H25="","",SUMIFS(TransactionsData[First office award],TransactionsData[Funding office ID],H25))</calculatedColumnFormula>
    </tableColumn>
    <tableColumn id="16" name="Source actions">
      <calculatedColumnFormula>IF(H25="","",COUNTIFS(TransactionsData[Funding office ID],H25,TransactionsData[Selected],1))</calculatedColumnFormula>
    </tableColumn>
    <tableColumn id="17" name="Source rank">
      <calculatedColumnFormula>IF(OR(H25="",P25=0),"",COUNTIFS(OfficeGroups[Source net],"&gt;"&amp;M25,OfficeGroups[Source actions],"&gt;0")+COUNTIFS(OfficeGroups[Source net],M25,OfficeGroups[Record ID],"&lt;"&amp;H25,OfficeGroups[Source actions],"&gt;0")+1)</calculatedColumnFormula>
    </tableColumn>
    <tableColumn id="18" name="Input check">
      <calculatedColumnFormula>IF(H25="",IF(COUNTA(I25:K25)&gt;0,"Missing record ID",""),IF(COUNTIFS(OfficeGroups[Record ID],H25)&lt;&gt;1,"Duplicate record ID",IF(I25="","Add name","")))</calculatedColumnFormula>
    </tableColumn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id="3" name="TransactionsData" displayName="TransactionsData" ref="A16:AJ46" headerRowCount="1" totalsRowCount="0" totalsRowShown="0">
  <autoFilter ref="A16:AJ46"/>
  <tableColumns count="36">
    <tableColumn id="1" name="Date"/>
    <tableColumn id="2" name="Award reference">
      <calculatedColumnFormula>IF(M17="","",IF(P17="",M17,HYPERLINK(P17,M17)))</calculatedColumnFormula>
    </tableColumn>
    <tableColumn id="3" name="Vendor">
      <calculatedColumnFormula>IF(N17="","",IF(Q17="",N17,HYPERLINK(Q17,N17)))</calculatedColumnFormula>
    </tableColumn>
    <tableColumn id="4" name="UEI"/>
    <tableColumn id="5" name="Funding office">
      <calculatedColumnFormula>IF(O17="","",IF(R17="",O17,HYPERLINK(R17,O17)))</calculatedColumnFormula>
    </tableColumn>
    <tableColumn id="6" name="Obligations"/>
    <tableColumn id="7" name="Inclusion"/>
    <tableColumn id="8" name="Exclusion reason"/>
    <tableColumn id="9" name="Transaction ID"/>
    <tableColumn id="10" name="Award ID"/>
    <tableColumn id="11" name="Vendor ID"/>
    <tableColumn id="12" name="Funding office ID"/>
    <tableColumn id="13" name="Original award reference"/>
    <tableColumn id="14" name="Original vendor name"/>
    <tableColumn id="15" name="Original office name"/>
    <tableColumn id="16" name="Award URL"/>
    <tableColumn id="17" name="Vendor URL"/>
    <tableColumn id="18" name="Office URL"/>
    <tableColumn id="19" name="FY">
      <calculatedColumnFormula>IF(ISNUMBER(A17),YEAR(A17)+IF(MONTH(A17)&gt;=10,1,0),"")</calculatedColumnFormula>
    </tableColumn>
    <tableColumn id="20" name="Quarter">
      <calculatedColumnFormula>IF(ISNUMBER(A17),INT(MOD(MONTH(A17)-10,12)/3)+1,"")</calculatedColumnFormula>
    </tableColumn>
    <tableColumn id="21" name="Input check">
      <calculatedColumnFormula>IF(AND(I17&lt;&gt;"",D17&lt;&gt;"",OR(COUNTIFS(TransactionsData[Vendor ID],K17,TransactionsData[UEI],"&lt;&gt;"&amp;D17,TransactionsData[UEI],"?*")&gt;0,COUNTIFS(VendorGroups[Record ID],K17,VendorGroups[Source UEI],"&lt;&gt;"&amp;D17,VendorGroups[Source UEI],"?*")&gt;0)),"Conflicting vendor UEIs",IF(I17="",IF(COUNTA(A17,D17,F17:R17)&gt;0,"Missing transaction ID",""),IF(COUNTIFS(TransactionsData[Transaction ID],I17)&lt;&gt;1,"Duplicate transaction ID",IF(OR(NOT(ISNUMBER(A17)),A17&lt;1,A17&gt;DATE(2099,1,1)),"Use a valid date",IF(OR(A17&lt;$B$4,A17&gt;$D$4),"Outside coverage",IF(NOT(ISNUMBER(F17)),"Missing or invalid amount",IF(OR(K17="",L17="",N17=""),"Add vendor and office identities",IF(G17="Exclude",IF(OR(F17&lt;&gt;0,H17=""),"Review nonzero or unexplained exclusion",""),IF(G17&lt;&gt;"Include","Choose Include or Exclude",IF(COUNTIFS(AwardsData[Award ID],J17)&lt;&gt;1,"Award link needs review",IF(INDEX(AwardsData[Input check],MATCH(J17,AwardsData[Award ID],0))&lt;&gt;"","Check award inputs","")))))))))))</calculatedColumnFormula>
    </tableColumn>
    <tableColumn id="22" name="Eligible">
      <calculatedColumnFormula>IF(AND(I17&lt;&gt;"",U17="",G17="Include"),1,0)</calculatedColumnFormula>
    </tableColumn>
    <tableColumn id="23" name="Current award type">
      <calculatedColumnFormula>IF(I17="","",IF(COUNTIFS(AwardsData[Award ID],J17)=1,INDEX(AwardsData[Current award type],MATCH(J17,AwardsData[Award ID],0)),"Unlinked"))</calculatedColumnFormula>
    </tableColumn>
    <tableColumn id="24" name="Current set-aside">
      <calculatedColumnFormula>IF(I17="","",IF(COUNTIFS(AwardsData[Award ID],J17)=1,INDEX(AwardsData[Current set-aside],MATCH(J17,AwardsData[Award ID],0)),"Unlinked"))</calculatedColumnFormula>
    </tableColumn>
    <tableColumn id="25" name="Performance state">
      <calculatedColumnFormula>IF(I17="","",IF(COUNTIFS(AwardsData[Award ID],J17)=1,INDEX(AwardsData[Performance state],MATCH(J17,AwardsData[Award ID],0)),"Unlinked"))</calculatedColumnFormula>
    </tableColumn>
    <tableColumn id="26" name="Dimension match">
      <calculatedColumnFormula>IF(AND(V17=1,OR('Dashboard'!$AB$2="All",K17='Dashboard'!$AB$2),OR('Dashboard'!$AB$3="All",L17='Dashboard'!$AB$3),OR('Dashboard'!$N$10="All",W17='Dashboard'!$N$10)),1,0)</calculatedColumnFormula>
    </tableColumn>
    <tableColumn id="27" name="Selected">
      <calculatedColumnFormula>IF(AND(Z17=1,OR('Dashboard'!$B$7="All",S17='Dashboard'!$B$7)),1,0)</calculatedColumnFormula>
    </tableColumn>
    <tableColumn id="28" name="Nonzero">
      <calculatedColumnFormula>IF(AND(V17=1,F17&lt;&gt;0),1,0)</calculatedColumnFormula>
    </tableColumn>
    <tableColumn id="29" name="First selected award">
      <calculatedColumnFormula>IF(AND(AA17=1,AB17=1),IF(COUNTIFS($J$17:J17,J17,$AA$17:AA17,1,$AB$17:AB17,1)=1,1,0),0)</calculatedColumnFormula>
    </tableColumn>
    <tableColumn id="30" name="First selected vendor">
      <calculatedColumnFormula>IF(AND(AA17=1,AB17=1),IF(COUNTIFS($K$17:K17,K17,$AA$17:AA17,1,$AB$17:AB17,1)=1,1,0),0)</calculatedColumnFormula>
    </tableColumn>
    <tableColumn id="31" name="First annual award">
      <calculatedColumnFormula>IF(AND(Z17=1,AB17=1),IF(COUNTIFS($J$17:J17,J17,$S$17:S17,S17,$Z$17:Z17,1,$AB$17:AB17,1)=1,1,0),0)</calculatedColumnFormula>
    </tableColumn>
    <tableColumn id="32" name="First annual vendor">
      <calculatedColumnFormula>IF(AND(Z17=1,AB17=1),IF(COUNTIFS($K$17:K17,K17,$S$17:S17,S17,$Z$17:Z17,1,$AB$17:AB17,1)=1,1,0),0)</calculatedColumnFormula>
    </tableColumn>
    <tableColumn id="33" name="First office award">
      <calculatedColumnFormula>IF(AND(AA17=1,AB17=1),IF(COUNTIFS($J$17:J17,J17,$L$17:L17,L17,$AA$17:AA17,1,$AB$17:AB17,1)=1,1,0),0)</calculatedColumnFormula>
    </tableColumn>
    <tableColumn id="34" name="First vendor award">
      <calculatedColumnFormula>IF(AND(AA17=1,AB17=1),IF(COUNTIFS($J$17:J17,J17,$K$17:K17,K17,$AA$17:AA17,1,$AB$17:AB17,1)=1,1,0),0)</calculatedColumnFormula>
    </tableColumn>
    <tableColumn id="35" name="Positive">
      <calculatedColumnFormula>IF(V17=1,MAX(F17,0),0)</calculatedColumnFormula>
    </tableColumn>
    <tableColumn id="36" name="Deobligations">
      <calculatedColumnFormula>IF(V17=1,MIN(F17,0),0)</calculatedColumnFormula>
    </tableColumn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id="4" name="VendorGroups" displayName="VendorGroups" ref="A7:R19" headerRowCount="1" totalsRowCount="0" totalsRowShown="0">
  <autoFilter ref="A7:R19"/>
  <tableColumns count="18">
    <tableColumn id="1" name="Rank">
      <calculatedColumnFormula>IF('Trends'!$B$6&lt;&gt;"","",IF(COUNTIFS(VendorGroups[Source rank],1)=1,1,""))</calculatedColumnFormula>
    </tableColumn>
    <tableColumn id="2" name="Vendor">
      <calculatedColumnFormula>IF('Trends'!$B$6&lt;&gt;"","",IF(COUNTIFS(VendorGroups[Source rank],1)=1,IF(INDEX(VendorGroups[Source URL],MATCH(1,VendorGroups[Source rank],0))="",INDEX(VendorGroups[Source name],MATCH(1,VendorGroups[Source rank],0)),HYPERLINK(INDEX(VendorGroups[Source URL],MATCH(1,VendorGroups[Source rank],0)),INDEX(VendorGroups[Source name],MATCH(1,VendorGroups[Source rank],0)))),""))</calculatedColumnFormula>
    </tableColumn>
    <tableColumn id="3" name="UEI">
      <calculatedColumnFormula>IF('Trends'!$B$6&lt;&gt;"","",IF(COUNTIFS(VendorGroups[Source rank],1)=1,IF(INDEX(VendorGroups[Source UEI],MATCH(1,VendorGroups[Source rank],0))="","Not supplied",INDEX(VendorGroups[Source UEI],MATCH(1,VendorGroups[Source rank],0))),""))</calculatedColumnFormula>
    </tableColumn>
    <tableColumn id="4" name="Net obligations">
      <calculatedColumnFormula>IF('Trends'!$B$6&lt;&gt;"","",IF(COUNTIFS(VendorGroups[Source rank],1)=1,INDEX(VendorGroups[Source net],MATCH(1,VendorGroups[Source rank],0)),""))</calculatedColumnFormula>
    </tableColumn>
    <tableColumn id="5" name="Deobligations">
      <calculatedColumnFormula>IF('Trends'!$B$6&lt;&gt;"","",IF(COUNTIFS(VendorGroups[Source rank],1)=1,INDEX(VendorGroups[Source deobligations],MATCH(1,VendorGroups[Source rank],0)),""))</calculatedColumnFormula>
    </tableColumn>
    <tableColumn id="6" name="Awards with obligations">
      <calculatedColumnFormula>IF('Trends'!$B$6&lt;&gt;"","",IF(COUNTIFS(VendorGroups[Source rank],1)=1,INDEX(VendorGroups[Source awards],MATCH(1,VendorGroups[Source rank],0)),""))</calculatedColumnFormula>
    </tableColumn>
    <tableColumn id="7" name="Transactions">
      <calculatedColumnFormula>IF('Trends'!$B$6&lt;&gt;"","",IF(COUNTIFS(VendorGroups[Source rank],1)=1,INDEX(VendorGroups[Source actions],MATCH(1,VendorGroups[Source rank],0)),""))</calculatedColumnFormula>
    </tableColumn>
    <tableColumn id="8" name="Record ID"/>
    <tableColumn id="9" name="Source name"/>
    <tableColumn id="10" name="Source UEI"/>
    <tableColumn id="11" name="Source URL"/>
    <tableColumn id="12" name="Filter label">
      <calculatedColumnFormula>IF(H8="","",I8&amp;IF(J8="",""," ["&amp;J8&amp;"]"))</calculatedColumnFormula>
    </tableColumn>
    <tableColumn id="13" name="Source net">
      <calculatedColumnFormula>IF(H8="","",SUMIFS(TransactionsData[Obligations],TransactionsData[Vendor ID],H8,TransactionsData[Selected],1))</calculatedColumnFormula>
    </tableColumn>
    <tableColumn id="14" name="Source deobligations">
      <calculatedColumnFormula>IF(H8="","",SUMIFS(TransactionsData[Deobligations],TransactionsData[Vendor ID],H8,TransactionsData[Selected],1))</calculatedColumnFormula>
    </tableColumn>
    <tableColumn id="15" name="Source awards">
      <calculatedColumnFormula>IF(H8="","",SUMIFS(TransactionsData[First vendor award],TransactionsData[Vendor ID],H8))</calculatedColumnFormula>
    </tableColumn>
    <tableColumn id="16" name="Source actions">
      <calculatedColumnFormula>IF(H8="","",COUNTIFS(TransactionsData[Vendor ID],H8,TransactionsData[Selected],1))</calculatedColumnFormula>
    </tableColumn>
    <tableColumn id="17" name="Source rank">
      <calculatedColumnFormula>IF(OR(H8="",P8=0),"",COUNTIFS(VendorGroups[Source net],"&gt;"&amp;M8,VendorGroups[Source actions],"&gt;0")+COUNTIFS(VendorGroups[Source net],M8,VendorGroups[Record ID],"&lt;"&amp;H8,VendorGroups[Source actions],"&gt;0")+1)</calculatedColumnFormula>
    </tableColumn>
    <tableColumn id="18" name="Input check">
      <calculatedColumnFormula>IF(H8="",IF(COUNTA(I8:K8)&gt;0,"Missing record ID",""),IF(COUNTIFS(VendorGroups[Record ID],H8)&lt;&gt;1,"Duplicate record ID",IF(I8="","Add name","")))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2.xml"/><Relationship Id="rId2" Type="http://schemas.openxmlformats.org/officeDocument/2006/relationships/table" Target="../tables/table4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tabColor rgb="FF1B283F"/>
    <outlinePr summaryRight="0"/>
    <pageSetUpPr fitToPage="1"/>
  </sheetPr>
  <dimension ref="A1:AR78"/>
  <sheetViews>
    <sheetView showFormulas="false" showGridLines="0" showRowColHeaders="true" showZeros="true" rightToLeft="false" tabSelected="1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1"/>
  <cols>
    <col customWidth="true" max="1" min="1" style="0" width="1.78"/>
    <col customWidth="true" max="2" min="2" style="0" width="5.11"/>
    <col customWidth="true" max="3" min="3" style="0" width="5.11"/>
    <col customWidth="true" max="4" min="4" style="0" width="5.11"/>
    <col customWidth="true" max="5" min="5" style="0" width="5.11"/>
    <col customWidth="true" max="6" min="6" style="0" width="5.11"/>
    <col customWidth="true" max="7" min="7" style="0" width="1.56"/>
    <col customWidth="true" max="8" min="8" style="0" width="5.11"/>
    <col customWidth="true" max="9" min="9" style="0" width="5.11"/>
    <col customWidth="true" max="10" min="10" style="0" width="5.11"/>
    <col customWidth="true" max="11" min="11" style="0" width="5.11"/>
    <col customWidth="true" max="12" min="12" style="0" width="5.11"/>
    <col customWidth="true" max="13" min="13" style="0" width="1.56"/>
    <col customWidth="true" max="14" min="14" style="0" width="5.11"/>
    <col customWidth="true" max="15" min="15" style="0" width="5.11"/>
    <col customWidth="true" max="16" min="16" style="0" width="5.11"/>
    <col customWidth="true" max="17" min="17" style="0" width="5.11"/>
    <col customWidth="true" max="18" min="18" style="0" width="5.11"/>
    <col customWidth="true" max="19" min="19" style="0" width="1.56"/>
    <col customWidth="true" max="20" min="20" style="0" width="5.11"/>
    <col customWidth="true" max="21" min="21" style="0" width="5.11"/>
    <col customWidth="true" max="22" min="22" style="0" width="5.11"/>
    <col customWidth="true" max="23" min="23" style="0" width="5.11"/>
    <col customWidth="true" max="24" min="24" style="0" width="5.11"/>
    <col customWidth="true" max="25" min="25" style="0" width="1.78"/>
    <col customWidth="true" max="27" min="27" style="0" width="12" hidden="1" outlineLevel="1"/>
    <col customWidth="true" max="28" min="28" style="0" width="12" hidden="1" outlineLevel="1"/>
    <col customWidth="true" max="29" min="29" style="0" width="12" hidden="1" outlineLevel="1"/>
    <col customWidth="true" max="30" min="30" style="0" width="12" hidden="1" outlineLevel="1"/>
    <col customWidth="true" max="31" min="31" style="0" width="12" hidden="1" outlineLevel="1"/>
    <col customWidth="true" max="32" min="32" style="0" width="12" hidden="1" outlineLevel="1"/>
    <col customWidth="true" max="33" min="33" style="0" width="12" hidden="1" outlineLevel="1"/>
    <col customWidth="true" max="34" min="34" style="0" width="12" hidden="1" outlineLevel="1"/>
    <col customWidth="true" max="35" min="35" style="0" width="12" hidden="1" outlineLevel="1"/>
    <col customWidth="true" max="36" min="36" style="0" width="12" hidden="1" outlineLevel="1"/>
    <col customWidth="true" max="37" min="37" style="0" width="12" hidden="1" outlineLevel="1"/>
    <col customWidth="true" max="38" min="38" style="0" width="12" hidden="1" outlineLevel="1"/>
    <col customWidth="true" max="39" min="39" style="0" width="12" hidden="1" outlineLevel="1"/>
    <col customWidth="true" max="40" min="40" style="0" width="12" hidden="1" outlineLevel="1"/>
    <col customWidth="true" max="41" min="41" style="0" width="12" hidden="1" outlineLevel="1"/>
    <col customWidth="true" max="42" min="42" style="0" width="12" hidden="1" outlineLevel="1"/>
    <col customWidth="true" max="43" min="43" style="0" width="12" hidden="1" outlineLevel="1"/>
    <col customWidth="true" max="44" min="44" style="0" width="12" hidden="1" outlineLevel="1"/>
  </cols>
  <sheetData>
    <row r="1" customFormat="false" ht="7.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 t="s">
        <v>0</v>
      </c>
      <c r="AN1" s="2" t="s">
        <v>0</v>
      </c>
      <c r="AO1" s="2" t="s">
        <v>0</v>
      </c>
      <c r="AP1" s="2"/>
      <c r="AQ1" s="2"/>
      <c r="AR1" s="2"/>
    </row>
    <row r="2" customFormat="false" ht="28.5" hidden="false" customHeight="true" outlineLevel="0" collapsed="false">
      <c r="A2" s="1"/>
      <c r="B2" s="3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1"/>
      <c r="T2" s="4" t="s">
        <v>2</v>
      </c>
      <c r="U2" s="4"/>
      <c r="V2" s="4"/>
      <c r="W2" s="4"/>
      <c r="X2" s="4"/>
      <c r="Y2" s="1"/>
      <c r="Z2" s="2"/>
      <c r="AA2" s="2" t="s">
        <v>3</v>
      </c>
      <c r="AB2" s="2" t="str">
        <f aca="false">IF(H7="All","All",IF(COUNTIFS(VendorGroups[Filter label],H7)=1,INDEX(VendorGroups[Record ID],MATCH(H7,VendorGroups[Filter label],0)),"Invalid"))</f>
        <v>All</v>
      </c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</row>
    <row r="3" customFormat="false" ht="16.5" hidden="false" customHeight="true" outlineLevel="0" collapsed="false">
      <c r="A3" s="1"/>
      <c r="B3" s="5" t="str">
        <f aca="false">IF(Transactions!B3="","Buyer / market",Transactions!B3)</f>
        <v>Buyer / market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1"/>
      <c r="Q3" s="6" t="str">
        <f aca="false">IF(Transactions!G4="","Retrieved: not supplied","Retrieved "&amp;TEXT(Transactions!G4,"mmm d, yyyy"))</f>
        <v>Retrieved: not supplied</v>
      </c>
      <c r="R3" s="6"/>
      <c r="S3" s="6"/>
      <c r="T3" s="6"/>
      <c r="U3" s="6"/>
      <c r="V3" s="6"/>
      <c r="W3" s="6"/>
      <c r="X3" s="6"/>
      <c r="Y3" s="1"/>
      <c r="Z3" s="2"/>
      <c r="AA3" s="2" t="s">
        <v>4</v>
      </c>
      <c r="AB3" s="2" t="str">
        <f aca="false">IF(B10="All","All",IF(COUNTIFS(OfficeGroups[Filter label],B10)=1,INDEX(OfficeGroups[Record ID],MATCH(B10,OfficeGroups[Filter label],0)),"Invalid"))</f>
        <v>All</v>
      </c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</row>
    <row r="4" customFormat="false" ht="16.5" hidden="false" customHeight="true" outlineLevel="0" collapsed="false">
      <c r="A4" s="1"/>
      <c r="B4" s="7" t="str">
        <f aca="false">IF(Transactions!G3="","Add reviewed records and reporting dates to populate this workbook.",Transactions!G3)</f>
        <v>Add reviewed records and reporting dates to populate this workbook.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1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</row>
    <row r="5" customFormat="false" ht="16.5" hidden="false" customHeight="tru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</row>
    <row r="6" customFormat="false" ht="16.5" hidden="false" customHeight="true" outlineLevel="0" collapsed="false">
      <c r="A6" s="1"/>
      <c r="B6" s="6" t="s">
        <v>5</v>
      </c>
      <c r="C6" s="6"/>
      <c r="D6" s="6"/>
      <c r="E6" s="6"/>
      <c r="F6" s="6"/>
      <c r="G6" s="1"/>
      <c r="H6" s="6" t="s">
        <v>6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1"/>
      <c r="Z6" s="2"/>
      <c r="AA6" s="2" t="s">
        <v>7</v>
      </c>
      <c r="AB6" s="2" t="str">
        <f aca="false">IF(Trends!$B$6&lt;&gt;"","",SUMIFS(TransactionsData[Obligations],TransactionsData[Selected],1))</f>
        <v/>
      </c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</row>
    <row r="7" customFormat="false" ht="16.5" hidden="false" customHeight="true" outlineLevel="0" collapsed="false">
      <c r="A7" s="1"/>
      <c r="B7" s="8"/>
      <c r="C7" s="8"/>
      <c r="D7" s="8"/>
      <c r="E7" s="8"/>
      <c r="F7" s="8"/>
      <c r="G7" s="1"/>
      <c r="H7" s="9" t="s">
        <v>0</v>
      </c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1"/>
      <c r="Z7" s="2"/>
      <c r="AA7" s="2" t="s">
        <v>8</v>
      </c>
      <c r="AB7" s="2" t="str">
        <f aca="false">IF(Trends!$B$6&lt;&gt;"","",SUM(TransactionsData[First selected award]))</f>
        <v/>
      </c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</row>
    <row r="8" customFormat="false" ht="16.5" hidden="false" customHeight="true" outlineLevel="0" collapsed="false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2"/>
      <c r="AA8" s="2" t="s">
        <v>9</v>
      </c>
      <c r="AB8" s="2" t="str">
        <f aca="false">IF(Trends!$B$6&lt;&gt;"","",SUM(TransactionsData[First selected vendor]))</f>
        <v/>
      </c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</row>
    <row r="9" customFormat="false" ht="16.5" hidden="false" customHeight="true" outlineLevel="0" collapsed="false">
      <c r="A9" s="1"/>
      <c r="B9" s="6" t="s">
        <v>10</v>
      </c>
      <c r="C9" s="6"/>
      <c r="D9" s="6"/>
      <c r="E9" s="6"/>
      <c r="F9" s="6"/>
      <c r="G9" s="6"/>
      <c r="H9" s="6"/>
      <c r="I9" s="6"/>
      <c r="J9" s="6"/>
      <c r="K9" s="6"/>
      <c r="L9" s="6"/>
      <c r="M9" s="1"/>
      <c r="N9" s="6" t="s">
        <v>11</v>
      </c>
      <c r="O9" s="6"/>
      <c r="P9" s="6"/>
      <c r="Q9" s="6"/>
      <c r="R9" s="6"/>
      <c r="S9" s="6"/>
      <c r="T9" s="6"/>
      <c r="U9" s="6"/>
      <c r="V9" s="6"/>
      <c r="W9" s="6"/>
      <c r="X9" s="6"/>
      <c r="Y9" s="1"/>
      <c r="Z9" s="2"/>
      <c r="AA9" s="2" t="s">
        <v>12</v>
      </c>
      <c r="AB9" s="2" t="str">
        <f aca="false">IF(Trends!$B$6&lt;&gt;"","",SUM(TransactionsData[Selected]))</f>
        <v/>
      </c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</row>
    <row r="10" customFormat="false" ht="16.5" hidden="false" customHeight="true" outlineLevel="0" collapsed="false">
      <c r="A10" s="1"/>
      <c r="B10" s="9" t="s">
        <v>0</v>
      </c>
      <c r="C10" s="9"/>
      <c r="D10" s="9"/>
      <c r="E10" s="9"/>
      <c r="F10" s="9"/>
      <c r="G10" s="9"/>
      <c r="H10" s="9"/>
      <c r="I10" s="9"/>
      <c r="J10" s="9"/>
      <c r="K10" s="9"/>
      <c r="L10" s="9"/>
      <c r="M10" s="1"/>
      <c r="N10" s="9" t="s">
        <v>0</v>
      </c>
      <c r="O10" s="9"/>
      <c r="P10" s="9"/>
      <c r="Q10" s="9"/>
      <c r="R10" s="9"/>
      <c r="S10" s="9"/>
      <c r="T10" s="9"/>
      <c r="U10" s="9"/>
      <c r="V10" s="9"/>
      <c r="W10" s="9"/>
      <c r="X10" s="9"/>
      <c r="Y10" s="1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</row>
    <row r="11" customFormat="false" ht="16.5" hidden="false" customHeight="true" outlineLevel="0" collapsed="false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2"/>
      <c r="AA11" s="2"/>
      <c r="AB11" s="2" t="n">
        <f aca="false">IF(OR(Dashboard!$B$7="All",NOT(ISNUMBER(Dashboard!$B$7))),0,IF(AND(COUNTIFS(Trends!$I$26,Dashboard!$B$7)=1,COUNTIFS(Trends!$I$26,Dashboard!$B$7-1)=1),IF(AND(INDEX(Trends!$J$26,MATCH(Dashboard!$B$7,Trends!$I$26,0))=1,INDEX(Trends!$J$26,MATCH(Dashboard!$B$7-1,Trends!$I$26,0))=1),1,0),0))</f>
        <v>0</v>
      </c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</row>
    <row r="12" customFormat="false" ht="16.5" hidden="false" customHeight="true" outlineLevel="0" collapsed="false">
      <c r="A12" s="1"/>
      <c r="B12" s="10" t="str">
        <f aca="false">Trends!$B$6</f>
        <v>Awaiting source data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</row>
    <row r="13" customFormat="false" ht="16.5" hidden="false" customHeight="tru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2"/>
      <c r="AA13" s="2"/>
      <c r="AB13" s="2" t="str">
        <f aca="false">IF(AB11=1,INDEX(Trends!$D$26,MATCH(Dashboard!$B$7-1,Trends!$I$26,0)),"")</f>
        <v/>
      </c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</row>
    <row r="14" customFormat="false" ht="16.5" hidden="false" customHeight="true" outlineLevel="0" collapsed="false">
      <c r="A14" s="1"/>
      <c r="B14" s="11" t="s">
        <v>7</v>
      </c>
      <c r="C14" s="11"/>
      <c r="D14" s="11"/>
      <c r="E14" s="11"/>
      <c r="F14" s="11"/>
      <c r="G14" s="1"/>
      <c r="H14" s="12" t="s">
        <v>8</v>
      </c>
      <c r="I14" s="12"/>
      <c r="J14" s="12"/>
      <c r="K14" s="12"/>
      <c r="L14" s="12"/>
      <c r="M14" s="1"/>
      <c r="N14" s="13" t="s">
        <v>9</v>
      </c>
      <c r="O14" s="13"/>
      <c r="P14" s="13"/>
      <c r="Q14" s="13"/>
      <c r="R14" s="13"/>
      <c r="S14" s="1"/>
      <c r="T14" s="14" t="s">
        <v>12</v>
      </c>
      <c r="U14" s="14"/>
      <c r="V14" s="14"/>
      <c r="W14" s="14"/>
      <c r="X14" s="14"/>
      <c r="Y14" s="1"/>
      <c r="Z14" s="2"/>
      <c r="AA14" s="2"/>
      <c r="AB14" s="2" t="str">
        <f aca="false">IF(AB11=1,INDEX(Trends!$E$26,MATCH(Dashboard!$B$7-1,Trends!$I$26,0)),"")</f>
        <v/>
      </c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</row>
    <row r="15" customFormat="false" ht="16.5" hidden="false" customHeight="true" outlineLevel="0" collapsed="false">
      <c r="A15" s="1"/>
      <c r="B15" s="15" t="str">
        <f aca="false">IF(Trends!$B$6&lt;&gt;"","—",TEXT(AB6/1000000,"$0.00")&amp;"M")</f>
        <v>—</v>
      </c>
      <c r="C15" s="15"/>
      <c r="D15" s="15"/>
      <c r="E15" s="15"/>
      <c r="F15" s="15"/>
      <c r="G15" s="1"/>
      <c r="H15" s="16" t="str">
        <f aca="false">IF(Trends!$B$6&lt;&gt;"","—",AB7)</f>
        <v>—</v>
      </c>
      <c r="I15" s="16"/>
      <c r="J15" s="16"/>
      <c r="K15" s="16"/>
      <c r="L15" s="16"/>
      <c r="M15" s="1"/>
      <c r="N15" s="17" t="str">
        <f aca="false">IF(Trends!$B$6&lt;&gt;"","—",AB8)</f>
        <v>—</v>
      </c>
      <c r="O15" s="17"/>
      <c r="P15" s="17"/>
      <c r="Q15" s="17"/>
      <c r="R15" s="17"/>
      <c r="S15" s="1"/>
      <c r="T15" s="18" t="str">
        <f aca="false">IF(Trends!$B$6&lt;&gt;"","—",AB9)</f>
        <v>—</v>
      </c>
      <c r="U15" s="18"/>
      <c r="V15" s="18"/>
      <c r="W15" s="18"/>
      <c r="X15" s="18"/>
      <c r="Y15" s="1"/>
      <c r="Z15" s="2"/>
      <c r="AA15" s="2"/>
      <c r="AB15" s="2" t="str">
        <f aca="false">IF(AB11=1,INDEX(Trends!$F$26,MATCH(Dashboard!$B$7-1,Trends!$I$26,0)),"")</f>
        <v/>
      </c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</row>
    <row r="16" customFormat="false" ht="16.5" hidden="false" customHeight="true" outlineLevel="0" collapsed="false">
      <c r="A16" s="1"/>
      <c r="B16" s="15"/>
      <c r="C16" s="15"/>
      <c r="D16" s="15"/>
      <c r="E16" s="15"/>
      <c r="F16" s="15"/>
      <c r="G16" s="1"/>
      <c r="H16" s="16"/>
      <c r="I16" s="16"/>
      <c r="J16" s="16"/>
      <c r="K16" s="16"/>
      <c r="L16" s="16"/>
      <c r="M16" s="1"/>
      <c r="N16" s="17"/>
      <c r="O16" s="17"/>
      <c r="P16" s="17"/>
      <c r="Q16" s="17"/>
      <c r="R16" s="17"/>
      <c r="S16" s="1"/>
      <c r="T16" s="18"/>
      <c r="U16" s="18"/>
      <c r="V16" s="18"/>
      <c r="W16" s="18"/>
      <c r="X16" s="18"/>
      <c r="Y16" s="1"/>
      <c r="Z16" s="2"/>
      <c r="AA16" s="2"/>
      <c r="AB16" s="2" t="str">
        <f aca="false">IF(AB11=1,INDEX(Trends!$G$26,MATCH(Dashboard!$B$7-1,Trends!$I$26,0)),"")</f>
        <v/>
      </c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</row>
    <row r="17" customFormat="false" ht="16.5" hidden="false" customHeight="true" outlineLevel="0" collapsed="false">
      <c r="A17" s="1"/>
      <c r="B17" s="19" t="str">
        <f aca="false">IF(OR(Trends!$B$6&lt;&gt;"",AB11&lt;&gt;1),"",IF(AB13&gt;0,TEXT((AB6-AB13)/AB13,"+0.0%;-0.0%;+0.0%")&amp;" vs FY"&amp;(Dashboard!$B$7-1),""))</f>
        <v/>
      </c>
      <c r="C17" s="19"/>
      <c r="D17" s="19"/>
      <c r="E17" s="19"/>
      <c r="F17" s="19"/>
      <c r="G17" s="1"/>
      <c r="H17" s="20" t="str">
        <f aca="false">IF(OR(Trends!$B$6&lt;&gt;"",AB11&lt;&gt;1),"",IF(AB7=AB14,"No change vs FY"&amp;(Dashboard!$B$7-1),TEXT(AB7-AB14,"+#,##0;-#,##0;0")&amp;" vs FY"&amp;(Dashboard!$B$7-1)))</f>
        <v/>
      </c>
      <c r="I17" s="20"/>
      <c r="J17" s="20"/>
      <c r="K17" s="20"/>
      <c r="L17" s="20"/>
      <c r="M17" s="1"/>
      <c r="N17" s="21" t="str">
        <f aca="false">IF(OR(Trends!$B$6&lt;&gt;"",AB11&lt;&gt;1),"",IF(AB8=AB15,"No change vs FY"&amp;(Dashboard!$B$7-1),TEXT(AB8-AB15,"+#,##0;-#,##0;0")&amp;" vs FY"&amp;(Dashboard!$B$7-1)))</f>
        <v/>
      </c>
      <c r="O17" s="21"/>
      <c r="P17" s="21"/>
      <c r="Q17" s="21"/>
      <c r="R17" s="21"/>
      <c r="S17" s="1"/>
      <c r="T17" s="22" t="str">
        <f aca="false">IF(OR(Trends!$B$6&lt;&gt;"",AB11&lt;&gt;1),"",IF(AB9=AB16,"No change vs FY"&amp;(Dashboard!$B$7-1),TEXT(AB9-AB16,"+#,##0;-#,##0;0")&amp;" vs FY"&amp;(Dashboard!$B$7-1)))</f>
        <v/>
      </c>
      <c r="U17" s="22"/>
      <c r="V17" s="22"/>
      <c r="W17" s="22"/>
      <c r="X17" s="22"/>
      <c r="Y17" s="1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</row>
    <row r="18" customFormat="false" ht="16.5" hidden="false" customHeight="true" outlineLevel="0" collapsed="false">
      <c r="A18" s="1"/>
      <c r="B18" s="23"/>
      <c r="C18" s="24"/>
      <c r="D18" s="24"/>
      <c r="E18" s="24"/>
      <c r="F18" s="25"/>
      <c r="G18" s="1"/>
      <c r="H18" s="26"/>
      <c r="I18" s="27"/>
      <c r="J18" s="27"/>
      <c r="K18" s="27"/>
      <c r="L18" s="28"/>
      <c r="M18" s="1"/>
      <c r="N18" s="29"/>
      <c r="O18" s="30"/>
      <c r="P18" s="30"/>
      <c r="Q18" s="30"/>
      <c r="R18" s="31"/>
      <c r="S18" s="1"/>
      <c r="T18" s="32"/>
      <c r="U18" s="33"/>
      <c r="V18" s="33"/>
      <c r="W18" s="33"/>
      <c r="X18" s="34"/>
      <c r="Y18" s="1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</row>
    <row r="19" customFormat="false" ht="16.5" hidden="false" customHeight="true" outlineLevel="0" collapsed="false">
      <c r="A19" s="1"/>
      <c r="B19" s="35" t="str">
        <f aca="false">IF(Dashboard!$B$7="All","All covered years",IF(Dashboard!$B$7="","No reporting period","FY"&amp;Dashboard!$B$7))</f>
        <v>No reporting period</v>
      </c>
      <c r="C19" s="35"/>
      <c r="D19" s="35"/>
      <c r="E19" s="35"/>
      <c r="F19" s="35"/>
      <c r="G19" s="1"/>
      <c r="H19" s="36" t="str">
        <f aca="false">IF(Dashboard!$B$7="All","All covered years",IF(Dashboard!$B$7="","No reporting period","FY"&amp;Dashboard!$B$7))</f>
        <v>No reporting period</v>
      </c>
      <c r="I19" s="36"/>
      <c r="J19" s="36"/>
      <c r="K19" s="36"/>
      <c r="L19" s="36"/>
      <c r="M19" s="1"/>
      <c r="N19" s="37" t="str">
        <f aca="false">IF(Dashboard!$B$7="All","All covered years",IF(Dashboard!$B$7="","No reporting period","FY"&amp;Dashboard!$B$7))</f>
        <v>No reporting period</v>
      </c>
      <c r="O19" s="37"/>
      <c r="P19" s="37"/>
      <c r="Q19" s="37"/>
      <c r="R19" s="37"/>
      <c r="S19" s="1"/>
      <c r="T19" s="38" t="str">
        <f aca="false">IF(Dashboard!$B$7="All","All covered years",IF(Dashboard!$B$7="","No reporting period","FY"&amp;Dashboard!$B$7))</f>
        <v>No reporting period</v>
      </c>
      <c r="U19" s="38"/>
      <c r="V19" s="38"/>
      <c r="W19" s="38"/>
      <c r="X19" s="38"/>
      <c r="Y19" s="1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</row>
    <row r="20" customFormat="false" ht="16.5" hidden="false" customHeight="true" outlineLevel="0" collapsed="false">
      <c r="A20" s="1"/>
      <c r="B20" s="39" t="s">
        <v>13</v>
      </c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1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</row>
    <row r="21" customFormat="false" ht="16.5" hidden="false" customHeight="true" outlineLevel="0" collapsed="false">
      <c r="A21" s="1"/>
      <c r="B21" s="40" t="s">
        <v>14</v>
      </c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1"/>
      <c r="N21" s="40" t="s">
        <v>15</v>
      </c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1"/>
      <c r="Z21" s="2"/>
      <c r="AA21" s="2" t="s">
        <v>16</v>
      </c>
      <c r="AB21" s="2" t="s">
        <v>7</v>
      </c>
      <c r="AC21" s="2"/>
      <c r="AD21" s="2" t="s">
        <v>16</v>
      </c>
      <c r="AE21" s="2" t="s">
        <v>7</v>
      </c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</row>
    <row r="22" customFormat="false" ht="16.5" hidden="false" customHeight="tru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2"/>
      <c r="AA22" s="2" t="str">
        <f aca="false">IF(Trends!A26="","",Trends!A26)</f>
        <v/>
      </c>
      <c r="AB22" s="2" t="str">
        <f aca="false">IF((IF(Trends!$B$6&lt;&gt;"","",Trends!D26))="","",(IF(Trends!$B$6&lt;&gt;"","",Trends!D26))/1000000)</f>
        <v/>
      </c>
      <c r="AC22" s="2"/>
      <c r="AD22" s="2" t="str">
        <f aca="false">IF(Trends!$B$6&lt;&gt;"","",IF(COUNTIFS(VendorGroups[Source actions],"&gt;0")&gt;5,"Other vendors",""))</f>
        <v/>
      </c>
      <c r="AE22" s="2" t="str">
        <f aca="false">IF((IF(Trends!$B$6&lt;&gt;"","",IF(AD22="","",SUMIFS(VendorGroups[Source net],VendorGroups[Source rank],"&gt;5"))))="","",(IF(Trends!$B$6&lt;&gt;"","",IF(AD22="","",SUMIFS(VendorGroups[Source net],VendorGroups[Source rank],"&gt;5"))))/1000000)</f>
        <v/>
      </c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</row>
    <row r="23" customFormat="false" ht="16.5" hidden="false" customHeight="tru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2"/>
      <c r="AA23" s="2"/>
      <c r="AB23" s="2"/>
      <c r="AC23" s="2"/>
      <c r="AD23" s="2" t="str">
        <f aca="false">IF('Vendors &amp; Buyers'!B12="","",'Vendors &amp; Buyers'!B12)</f>
        <v/>
      </c>
      <c r="AE23" s="2" t="str">
        <f aca="false">IF((IF(AD23="","",'Vendors &amp; Buyers'!D12))="","",(IF(AD23="","",'Vendors &amp; Buyers'!D12))/1000000)</f>
        <v/>
      </c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</row>
    <row r="24" customFormat="false" ht="16.5" hidden="false" customHeight="tru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2"/>
      <c r="AA24" s="2"/>
      <c r="AB24" s="2"/>
      <c r="AC24" s="2"/>
      <c r="AD24" s="2" t="str">
        <f aca="false">IF('Vendors &amp; Buyers'!B11="","",'Vendors &amp; Buyers'!B11)</f>
        <v/>
      </c>
      <c r="AE24" s="2" t="str">
        <f aca="false">IF((IF(AD24="","",'Vendors &amp; Buyers'!D11))="","",(IF(AD24="","",'Vendors &amp; Buyers'!D11))/1000000)</f>
        <v/>
      </c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</row>
    <row r="25" customFormat="false" ht="16.5" hidden="false" customHeight="tru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2"/>
      <c r="AA25" s="2"/>
      <c r="AB25" s="2"/>
      <c r="AC25" s="2"/>
      <c r="AD25" s="2" t="str">
        <f aca="false">IF('Vendors &amp; Buyers'!B10="","",'Vendors &amp; Buyers'!B10)</f>
        <v/>
      </c>
      <c r="AE25" s="2" t="str">
        <f aca="false">IF((IF(AD25="","",'Vendors &amp; Buyers'!D10))="","",(IF(AD25="","",'Vendors &amp; Buyers'!D10))/1000000)</f>
        <v/>
      </c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</row>
    <row r="26" customFormat="false" ht="16.5" hidden="false" customHeight="tru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2"/>
      <c r="AA26" s="2"/>
      <c r="AB26" s="2"/>
      <c r="AC26" s="2"/>
      <c r="AD26" s="2" t="str">
        <f aca="false">IF('Vendors &amp; Buyers'!B9="","",'Vendors &amp; Buyers'!B9)</f>
        <v/>
      </c>
      <c r="AE26" s="2" t="str">
        <f aca="false">IF((IF(AD26="","",'Vendors &amp; Buyers'!D9))="","",(IF(AD26="","",'Vendors &amp; Buyers'!D9))/1000000)</f>
        <v/>
      </c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</row>
    <row r="27" customFormat="false" ht="16.5" hidden="false" customHeight="tru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2"/>
      <c r="AA27" s="2"/>
      <c r="AB27" s="2"/>
      <c r="AC27" s="2"/>
      <c r="AD27" s="2" t="str">
        <f aca="false">IF('Vendors &amp; Buyers'!B8="","",'Vendors &amp; Buyers'!B8)</f>
        <v/>
      </c>
      <c r="AE27" s="2" t="str">
        <f aca="false">IF((IF(AD27="","",'Vendors &amp; Buyers'!D8))="","",(IF(AD27="","",'Vendors &amp; Buyers'!D8))/1000000)</f>
        <v/>
      </c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</row>
    <row r="28" customFormat="false" ht="16.5" hidden="false" customHeight="tru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</row>
    <row r="29" customFormat="false" ht="16.5" hidden="false" customHeight="tru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</row>
    <row r="30" customFormat="false" ht="16.5" hidden="false" customHeight="tru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</row>
    <row r="31" customFormat="false" ht="16.5" hidden="false" customHeight="tru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</row>
    <row r="32" customFormat="false" ht="16.5" hidden="false" customHeight="tru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</row>
    <row r="33" customFormat="false" ht="16.5" hidden="false" customHeight="tru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</row>
    <row r="34" customFormat="false" ht="16.5" hidden="false" customHeight="tru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</row>
    <row r="35" customFormat="false" ht="16.5" hidden="false" customHeight="tru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</row>
    <row r="36" customFormat="false" ht="16.5" hidden="false" customHeight="true" outlineLevel="0" collapsed="false">
      <c r="A36" s="1"/>
      <c r="B36" s="6" t="s">
        <v>17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1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</row>
    <row r="37" customFormat="false" ht="16.5" hidden="false" customHeight="tru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</row>
    <row r="38" customFormat="false" ht="16.5" hidden="false" customHeight="true" outlineLevel="0" collapsed="false">
      <c r="A38" s="1"/>
      <c r="B38" s="41" t="s">
        <v>18</v>
      </c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1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</row>
    <row r="39" customFormat="false" ht="48" hidden="false" customHeight="true" outlineLevel="0" collapsed="false">
      <c r="A39" s="1"/>
      <c r="B39" s="6" t="str">
        <f aca="false">"USD millions  |  Period: "&amp;IF(B7="All","All covered years",IF(B7="","Not supplied","FY"&amp;B7))&amp;"  |  Award type: "&amp;N10&amp;CHAR(10)&amp;"Vendor: "&amp;H7&amp;"  |  Funding office: "&amp;B10</f>
        <v>USD millions  |  Period: Not supplied  |  Award type: All
Vendor: All  |  Funding office: All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1"/>
      <c r="Z39" s="2"/>
      <c r="AA39" s="2"/>
      <c r="AB39" s="2" t="n">
        <f aca="false">MAX(1,COUNTIFS(Trends!$K$32:$K$35,"&gt;0"))</f>
        <v>1</v>
      </c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</row>
    <row r="40" customFormat="false" ht="16.5" hidden="false" customHeight="true" outlineLevel="0" collapsed="false">
      <c r="A40" s="1"/>
      <c r="B40" s="40" t="s">
        <v>19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1"/>
      <c r="N40" s="40" t="s">
        <v>20</v>
      </c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1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</row>
    <row r="41" customFormat="false" ht="16.5" hidden="false" customHeight="tru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2"/>
      <c r="AA41" s="2" t="s">
        <v>16</v>
      </c>
      <c r="AB41" s="2" t="s">
        <v>7</v>
      </c>
      <c r="AC41" s="2"/>
      <c r="AD41" s="2" t="s">
        <v>16</v>
      </c>
      <c r="AE41" s="2" t="s">
        <v>7</v>
      </c>
      <c r="AF41" s="2"/>
      <c r="AG41" s="2" t="s">
        <v>16</v>
      </c>
      <c r="AH41" s="2" t="s">
        <v>7</v>
      </c>
      <c r="AI41" s="2"/>
      <c r="AJ41" s="2" t="s">
        <v>16</v>
      </c>
      <c r="AK41" s="2" t="s">
        <v>7</v>
      </c>
      <c r="AL41" s="2"/>
      <c r="AM41" s="2"/>
      <c r="AN41" s="2"/>
      <c r="AO41" s="2"/>
      <c r="AP41" s="2"/>
      <c r="AQ41" s="2"/>
      <c r="AR41" s="2"/>
    </row>
    <row r="42" customFormat="false" ht="16.5" hidden="false" customHeight="tru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2"/>
      <c r="AA42" s="2" t="str">
        <f aca="false">IF(Trends!A32="","",Trends!A32)</f>
        <v/>
      </c>
      <c r="AB42" s="2" t="str">
        <f aca="false">IF((IF(OR(Trends!$B$6&lt;&gt;"",AA42=""),"",Trends!D32))="","",(IF(OR(Trends!$B$6&lt;&gt;"",AA42=""),"",Trends!D32))/1000000)</f>
        <v/>
      </c>
      <c r="AC42" s="2"/>
      <c r="AD42" s="2"/>
      <c r="AE42" s="2" t="str">
        <f aca="false">IF((IF(AD42="","",IF(Trends!$B$6&lt;&gt;"","",SUMIFS(TransactionsData[Obligations],TransactionsData[Current award type],AD42,TransactionsData[Selected],1))))="","",(IF(AD42="","",IF(Trends!$B$6&lt;&gt;"","",SUMIFS(TransactionsData[Obligations],TransactionsData[Current award type],AD42,TransactionsData[Selected],1))))/1000000)</f>
        <v/>
      </c>
      <c r="AF42" s="2"/>
      <c r="AG42" s="2"/>
      <c r="AH42" s="2" t="str">
        <f aca="false">IF((IF(AG42="","",IF(Trends!$B$6&lt;&gt;"","",SUMIFS(TransactionsData[Obligations],TransactionsData[Current set-aside],AG42,TransactionsData[Selected],1))))="","",(IF(AG42="","",IF(Trends!$B$6&lt;&gt;"","",SUMIFS(TransactionsData[Obligations],TransactionsData[Current set-aside],AG42,TransactionsData[Selected],1))))/1000000)</f>
        <v/>
      </c>
      <c r="AI42" s="2"/>
      <c r="AJ42" s="2"/>
      <c r="AK42" s="2" t="str">
        <f aca="false">IF((IF(AJ42="","",IF(Trends!$B$6&lt;&gt;"","",SUMIFS(TransactionsData[Obligations],TransactionsData[Performance state],AJ42,TransactionsData[Selected],1))))="","",(IF(AJ42="","",IF(Trends!$B$6&lt;&gt;"","",SUMIFS(TransactionsData[Obligations],TransactionsData[Performance state],AJ42,TransactionsData[Selected],1))))/1000000)</f>
        <v/>
      </c>
      <c r="AL42" s="2"/>
      <c r="AM42" s="2"/>
      <c r="AN42" s="2"/>
      <c r="AO42" s="2"/>
      <c r="AP42" s="2"/>
      <c r="AQ42" s="2"/>
      <c r="AR42" s="2"/>
    </row>
    <row r="43" customFormat="false" ht="16.5" hidden="false" customHeight="tru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2"/>
      <c r="AA43" s="2" t="str">
        <f aca="false">IF(Trends!A33="","",Trends!A33)</f>
        <v/>
      </c>
      <c r="AB43" s="2" t="str">
        <f aca="false">IF((IF(OR(Trends!$B$6&lt;&gt;"",AA43=""),"",Trends!D33))="","",(IF(OR(Trends!$B$6&lt;&gt;"",AA43=""),"",Trends!D33))/1000000)</f>
        <v/>
      </c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</row>
    <row r="44" customFormat="false" ht="16.5" hidden="false" customHeight="tru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2"/>
      <c r="AA44" s="2" t="str">
        <f aca="false">IF(Trends!A34="","",Trends!A34)</f>
        <v/>
      </c>
      <c r="AB44" s="2" t="str">
        <f aca="false">IF((IF(OR(Trends!$B$6&lt;&gt;"",AA44=""),"",Trends!D34))="","",(IF(OR(Trends!$B$6&lt;&gt;"",AA44=""),"",Trends!D34))/1000000)</f>
        <v/>
      </c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</row>
    <row r="45" customFormat="false" ht="16.5" hidden="false" customHeight="tru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2"/>
      <c r="AA45" s="2" t="str">
        <f aca="false">IF(Trends!A35="","",Trends!A35)</f>
        <v/>
      </c>
      <c r="AB45" s="2" t="str">
        <f aca="false">IF((IF(OR(Trends!$B$6&lt;&gt;"",AA45=""),"",Trends!D35))="","",(IF(OR(Trends!$B$6&lt;&gt;"",AA45=""),"",Trends!D35))/1000000)</f>
        <v/>
      </c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</row>
    <row r="46" customFormat="false" ht="16.5" hidden="false" customHeight="tru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</row>
    <row r="47" customFormat="false" ht="16.5" hidden="false" customHeight="tru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</row>
    <row r="48" customFormat="false" ht="16.5" hidden="false" customHeight="tru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</row>
    <row r="49" customFormat="false" ht="16.5" hidden="false" customHeight="tru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</row>
    <row r="50" customFormat="false" ht="16.5" hidden="false" customHeight="tru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</row>
    <row r="51" customFormat="false" ht="16.5" hidden="false" customHeight="tru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</row>
    <row r="52" customFormat="false" ht="16.5" hidden="false" customHeight="tru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</row>
    <row r="53" customFormat="false" ht="16.5" hidden="false" customHeight="tru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</row>
    <row r="54" customFormat="false" ht="16.5" hidden="false" customHeight="tru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</row>
    <row r="55" customFormat="false" ht="16.5" hidden="false" customHeight="tru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</row>
    <row r="56" customFormat="false" ht="16.5" hidden="false" customHeight="tru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</row>
    <row r="57" customFormat="false" ht="16.5" hidden="false" customHeight="tru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</row>
    <row r="58" customFormat="false" ht="16.5" hidden="false" customHeight="true" outlineLevel="0" collapsed="false">
      <c r="A58" s="1"/>
      <c r="B58" s="40" t="s">
        <v>21</v>
      </c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1"/>
      <c r="N58" s="40" t="s">
        <v>22</v>
      </c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1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</row>
    <row r="59" customFormat="false" ht="16.5" hidden="false" customHeight="tru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</row>
    <row r="60" customFormat="false" ht="16.5" hidden="false" customHeight="tru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</row>
    <row r="61" customFormat="false" ht="16.5" hidden="false" customHeight="tru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</row>
    <row r="62" customFormat="false" ht="16.5" hidden="false" customHeight="tru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</row>
    <row r="63" customFormat="false" ht="16.5" hidden="false" customHeight="tru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</row>
    <row r="64" customFormat="false" ht="16.5" hidden="false" customHeight="tru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</row>
    <row r="65" customFormat="false" ht="16.5" hidden="false" customHeight="tru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</row>
    <row r="66" customFormat="false" ht="16.5" hidden="false" customHeight="tru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</row>
    <row r="67" customFormat="false" ht="16.5" hidden="false" customHeight="tru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</row>
    <row r="68" customFormat="false" ht="16.5" hidden="false" customHeight="tru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</row>
    <row r="69" customFormat="false" ht="16.5" hidden="false" customHeight="tru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</row>
    <row r="70" customFormat="false" ht="16.5" hidden="false" customHeight="tru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</row>
    <row r="71" customFormat="false" ht="16.5" hidden="false" customHeight="tru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</row>
    <row r="72" customFormat="false" ht="16.5" hidden="false" customHeight="tru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</row>
    <row r="73" customFormat="false" ht="16.5" hidden="false" customHeight="tru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</row>
    <row r="74" customFormat="false" ht="16.5" hidden="false" customHeight="tru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</row>
    <row r="75" customFormat="false" ht="16.5" hidden="false" customHeight="tru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</row>
    <row r="76" customFormat="false" ht="27" hidden="false" customHeight="true" outlineLevel="0" collapsed="false">
      <c r="A76" s="1"/>
      <c r="B76" s="39" t="s">
        <v>23</v>
      </c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1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</row>
    <row r="77" customFormat="false" ht="16.5" hidden="false" customHeight="tru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</row>
    <row r="78" customFormat="false" ht="16.5" hidden="false" customHeight="tru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</row>
  </sheetData>
  <mergeCells count="41">
    <mergeCell ref="B2:R2"/>
    <mergeCell ref="T2:X2"/>
    <mergeCell ref="B3:O3"/>
    <mergeCell ref="Q3:X3"/>
    <mergeCell ref="B4:X4"/>
    <mergeCell ref="B6:F6"/>
    <mergeCell ref="H6:X6"/>
    <mergeCell ref="B7:F7"/>
    <mergeCell ref="H7:X7"/>
    <mergeCell ref="B9:L9"/>
    <mergeCell ref="N9:X9"/>
    <mergeCell ref="B10:L10"/>
    <mergeCell ref="N10:X10"/>
    <mergeCell ref="B12:X12"/>
    <mergeCell ref="B14:F14"/>
    <mergeCell ref="H14:L14"/>
    <mergeCell ref="N14:R14"/>
    <mergeCell ref="T14:X14"/>
    <mergeCell ref="B15:F16"/>
    <mergeCell ref="H15:L16"/>
    <mergeCell ref="N15:R16"/>
    <mergeCell ref="T15:X16"/>
    <mergeCell ref="B17:F17"/>
    <mergeCell ref="H17:L17"/>
    <mergeCell ref="N17:R17"/>
    <mergeCell ref="T17:X17"/>
    <mergeCell ref="B19:F19"/>
    <mergeCell ref="H19:L19"/>
    <mergeCell ref="N19:R19"/>
    <mergeCell ref="T19:X19"/>
    <mergeCell ref="B20:X20"/>
    <mergeCell ref="B21:L21"/>
    <mergeCell ref="N21:X21"/>
    <mergeCell ref="B36:X36"/>
    <mergeCell ref="B38:X38"/>
    <mergeCell ref="B39:X39"/>
    <mergeCell ref="B40:L40"/>
    <mergeCell ref="N40:X40"/>
    <mergeCell ref="B58:L58"/>
    <mergeCell ref="N58:X58"/>
    <mergeCell ref="B76:X76"/>
  </mergeCells>
  <dataValidations count="4">
    <dataValidation type="list" allowBlank="1" showErrorMessage="1" errorStyle="stop" errorTitle="Check this input" error="Choose a value from this list." sqref="B7">
      <formula1>"All"</formula1>
    </dataValidation>
    <dataValidation type="list" allowBlank="1" showErrorMessage="1" errorStyle="stop" errorTitle="Check this input" error="Choose a value from this list." sqref="H7">
      <formula1>VendorChoices</formula1>
    </dataValidation>
    <dataValidation type="list" allowBlank="1" showErrorMessage="1" errorStyle="stop" errorTitle="Check this input" error="Choose a value from this list." sqref="B10">
      <formula1>OfficeChoices</formula1>
    </dataValidation>
    <dataValidation type="list" allowBlank="1" showErrorMessage="1" errorStyle="stop" errorTitle="Check this input" error="Choose a value from this list." sqref="N10">
      <formula1>TypeChoices</formula1>
    </dataValidation>
  </dataValidations>
  <printOptions horizontalCentered="1" gridLines="0" headings="0"/>
  <pageMargins left="0.25" right="0.25" top="0.3" bottom="0.35" header="0.1" footer="0.12"/>
  <pageSetup paperSize="1" orientation="landscape" fitToWidth="1" fitToHeight="1" pageOrder="downThenOver"/>
  <headerFooter>
    <oddFooter>&amp;LDashboard&amp;RPage &amp;P of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tabColor rgb="FF268CA1"/>
    <outlinePr summaryRight="0"/>
    <pageSetUpPr fitToPage="1"/>
  </sheetPr>
  <dimension ref="A1:M65"/>
  <sheetViews>
    <sheetView showFormulas="false" showGridLines="0" showRowColHeaders="true" showZeros="true" rightToLeft="false" tabSelected="0" showOutlineSymbols="true" defaultGridColor="true" view="normal" topLeftCell="A1" colorId="64" zoomScale="90" zoomScaleNormal="9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1"/>
  <cols>
    <col customWidth="true" max="1" min="1" style="0" width="16.67"/>
    <col customWidth="true" max="2" min="2" style="0" width="17.22"/>
    <col customWidth="true" max="3" min="3" style="0" width="17.22"/>
    <col customWidth="true" max="4" min="4" style="0" width="20"/>
    <col customWidth="true" max="5" min="5" style="0" width="18.89"/>
    <col customWidth="true" max="6" min="6" style="0" width="13.89"/>
    <col customWidth="true" max="7" min="7" style="0" width="21.67"/>
    <col customWidth="true" max="8" min="8" style="0" width="18.89"/>
    <col customWidth="true" max="9" min="9" style="0" width="11.11" hidden="1" outlineLevel="1"/>
    <col customWidth="true" max="10" min="10" style="0" width="11.11" hidden="1" outlineLevel="1"/>
    <col customWidth="true" max="11" min="11" style="0" width="11.11" hidden="1" outlineLevel="1"/>
    <col customWidth="true" max="12" min="12" style="0" width="12" hidden="1" outlineLevel="1"/>
    <col customWidth="true" max="13" min="13" style="0" width="12" hidden="1" outlineLevel="1"/>
  </cols>
  <sheetData>
    <row r="1" customFormat="false" ht="10" hidden="false" customHeight="true" outlineLevel="0" collapsed="false">
      <c r="A1" s="42"/>
      <c r="B1" s="42"/>
      <c r="C1" s="42"/>
      <c r="D1" s="42"/>
      <c r="E1" s="42"/>
      <c r="F1" s="42"/>
      <c r="G1" s="42"/>
      <c r="H1" s="42"/>
      <c r="I1" s="42"/>
      <c r="J1" s="42"/>
      <c r="K1" s="42"/>
    </row>
    <row r="2" customFormat="false" ht="32" hidden="false" customHeight="true" outlineLevel="0" collapsed="false">
      <c r="A2" s="43" t="s">
        <v>24</v>
      </c>
      <c r="B2" s="43"/>
      <c r="C2" s="43"/>
      <c r="D2" s="43"/>
      <c r="E2" s="43"/>
      <c r="F2" s="42"/>
      <c r="G2" s="42"/>
      <c r="H2" s="42"/>
      <c r="I2" s="42"/>
      <c r="J2" s="42"/>
      <c r="K2" s="42"/>
    </row>
    <row r="3" customFormat="false" ht="38" hidden="false" customHeight="true" outlineLevel="0" collapsed="false">
      <c r="A3" s="44" t="str">
        <f aca="false">"Buyer: "&amp;IF(Transactions!B3="","Not supplied",Transactions!B3)&amp;"  |  History: "&amp;IF(Transactions!B4="","Not supplied",TEXT(Transactions!B4,"mmm d, yyyy"))&amp;" through "&amp;IF(Transactions!D4="","Not supplied",TEXT(Transactions!D4,"mmm d, yyyy"))&amp;"  |  Award type: "&amp;Dashboard!$N$10</f>
        <v>Buyer: Not supplied  |  History: Not supplied through Not supplied  |  Award type: All</v>
      </c>
      <c r="B3" s="44"/>
      <c r="C3" s="44"/>
      <c r="D3" s="44"/>
      <c r="E3" s="44"/>
      <c r="F3" s="44"/>
      <c r="G3" s="44"/>
      <c r="H3" s="44"/>
      <c r="I3" s="42"/>
      <c r="J3" s="42"/>
      <c r="K3" s="42"/>
    </row>
    <row r="4" customFormat="false" ht="38" hidden="false" customHeight="true" outlineLevel="0" collapsed="false">
      <c r="A4" s="44" t="str">
        <f aca="false">"Vendor: "&amp;Dashboard!H7&amp;CHAR(10)&amp;"Funding office: "&amp;Dashboard!B10</f>
        <v>Vendor: All
Funding office: All</v>
      </c>
      <c r="B4" s="44"/>
      <c r="C4" s="44"/>
      <c r="D4" s="44"/>
      <c r="E4" s="44"/>
      <c r="F4" s="44"/>
      <c r="G4" s="44"/>
      <c r="H4" s="44"/>
      <c r="I4" s="42"/>
      <c r="J4" s="42"/>
      <c r="K4" s="42"/>
    </row>
    <row r="5" customFormat="false" ht="25" hidden="false" customHeight="true" outlineLevel="0" collapsed="false">
      <c r="A5" s="44" t="s">
        <v>25</v>
      </c>
      <c r="B5" s="44"/>
      <c r="C5" s="44"/>
      <c r="D5" s="44"/>
      <c r="E5" s="44"/>
      <c r="F5" s="44"/>
      <c r="G5" s="44"/>
      <c r="H5" s="44"/>
      <c r="I5" s="42"/>
      <c r="J5" s="42"/>
      <c r="K5" s="42"/>
    </row>
    <row r="6" customFormat="false" ht="25" hidden="false" customHeight="true" outlineLevel="0" collapsed="false">
      <c r="A6" s="42" t="s">
        <v>26</v>
      </c>
      <c r="B6" s="45" t="str">
        <f aca="false">IF(COUNTIF(AwardsData[Input check],"New category: refresh report")&gt;0,"Refresh report for new classifications",IF(COUNTA(TransactionsData[Transaction ID])=0,"Awaiting source data",IF(OR(NOT(ISNUMBER(Transactions!B4)),NOT(ISNUMBER(Transactions!D4)),Transactions!B4&gt;Transactions!D4,NOT(ISNUMBER(Transactions!G4))),"Enter valid coverage and retrieval dates",IF(COUNTIFS(TransactionsData[Input check],"?*")+COUNTIFS(AwardsData[Input check],"?*")+COUNTIFS(VendorGroups[Input check],"?*")+COUNTIFS(OfficeGroups[Input check],"?*")&gt;0,"Review source input checks",IF(OR(Dashboard!$AB$2="Invalid",Dashboard!$AB$3="Invalid",AND(Dashboard!$N$10&lt;&gt;"All",COUNTIFS(TypeChoices,Dashboard!$N$10)&lt;&gt;1)),"Choose valid Dashboard filters",IF(NOT(OR(Dashboard!$B$7="All",COUNTIFS($I$26,Dashboard!$B$7)=1)),"Choose a reporting year",IF(SUMPRODUCT((TransactionsData[Eligible]=1)*(COUNTIFS(VendorGroups[Record ID],TransactionsData[Vendor ID])&lt;&gt;1))+SUMPRODUCT((TransactionsData[Eligible]=1)*(COUNTIFS(OfficeGroups[Record ID],TransactionsData[Funding office ID])&lt;&gt;1))&gt;0,"Add missing vendor or office registry IDs","")))))))</f>
        <v>Awaiting source data</v>
      </c>
      <c r="C6" s="45"/>
      <c r="D6" s="45"/>
      <c r="E6" s="45"/>
      <c r="F6" s="45"/>
      <c r="G6" s="45"/>
      <c r="H6" s="45"/>
      <c r="I6" s="42"/>
      <c r="J6" s="42"/>
      <c r="K6" s="42"/>
    </row>
    <row r="7" customFormat="false" ht="25" hidden="false" customHeight="true" outlineLevel="0" collapsed="false">
      <c r="A7" s="42"/>
      <c r="B7" s="42"/>
      <c r="C7" s="42"/>
      <c r="D7" s="42"/>
      <c r="E7" s="42"/>
      <c r="F7" s="42"/>
      <c r="G7" s="42"/>
      <c r="H7" s="42"/>
      <c r="I7" s="42"/>
      <c r="J7" s="42"/>
      <c r="K7" s="42"/>
    </row>
    <row r="8" customFormat="false" ht="25" hidden="false" customHeight="true" outlineLevel="0" collapsed="false">
      <c r="A8" s="42"/>
      <c r="B8" s="42"/>
      <c r="C8" s="42"/>
      <c r="D8" s="42"/>
      <c r="E8" s="42"/>
      <c r="F8" s="42"/>
      <c r="G8" s="42"/>
      <c r="H8" s="42"/>
      <c r="I8" s="42"/>
      <c r="J8" s="42"/>
      <c r="K8" s="42"/>
    </row>
    <row r="9" customFormat="false" ht="25" hidden="false" customHeight="true" outlineLevel="0" collapsed="false">
      <c r="A9" s="42"/>
      <c r="B9" s="42"/>
      <c r="C9" s="42"/>
      <c r="D9" s="42"/>
      <c r="E9" s="42"/>
      <c r="F9" s="42"/>
      <c r="G9" s="42"/>
      <c r="H9" s="42"/>
      <c r="I9" s="42"/>
      <c r="J9" s="42"/>
      <c r="K9" s="42"/>
    </row>
    <row r="10" customFormat="false" ht="25" hidden="false" customHeight="true" outlineLevel="0" collapsed="false">
      <c r="A10" s="42"/>
      <c r="B10" s="42"/>
      <c r="C10" s="42"/>
      <c r="D10" s="42"/>
      <c r="E10" s="42"/>
      <c r="F10" s="42"/>
      <c r="G10" s="42"/>
      <c r="H10" s="42"/>
      <c r="I10" s="42"/>
      <c r="J10" s="42"/>
      <c r="K10" s="42"/>
    </row>
    <row r="11" customFormat="false" ht="25" hidden="false" customHeight="true" outlineLevel="0" collapsed="false">
      <c r="A11" s="42"/>
      <c r="B11" s="42"/>
      <c r="C11" s="42"/>
      <c r="D11" s="42"/>
      <c r="E11" s="42"/>
      <c r="F11" s="42"/>
      <c r="G11" s="42"/>
      <c r="H11" s="42"/>
      <c r="I11" s="42"/>
      <c r="J11" s="42"/>
      <c r="K11" s="42"/>
    </row>
    <row r="12" customFormat="false" ht="25" hidden="false" customHeight="true" outlineLevel="0" collapsed="false">
      <c r="A12" s="42"/>
      <c r="B12" s="42"/>
      <c r="C12" s="42"/>
      <c r="D12" s="42"/>
      <c r="E12" s="42"/>
      <c r="F12" s="42"/>
      <c r="G12" s="42"/>
      <c r="H12" s="42"/>
      <c r="I12" s="42"/>
      <c r="J12" s="42"/>
      <c r="K12" s="42"/>
    </row>
    <row r="13" customFormat="false" ht="25" hidden="false" customHeight="true" outlineLevel="0" collapsed="false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</row>
    <row r="14" customFormat="false" ht="25" hidden="false" customHeight="true" outlineLevel="0" collapsed="false">
      <c r="A14" s="42"/>
      <c r="B14" s="42"/>
      <c r="C14" s="42"/>
      <c r="D14" s="42"/>
      <c r="E14" s="42"/>
      <c r="F14" s="42"/>
      <c r="G14" s="42"/>
      <c r="H14" s="42"/>
      <c r="I14" s="42"/>
      <c r="J14" s="42"/>
      <c r="K14" s="42"/>
    </row>
    <row r="15" customFormat="false" ht="25" hidden="false" customHeight="true" outlineLevel="0" collapsed="false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</row>
    <row r="16" customFormat="false" ht="25" hidden="false" customHeight="true" outlineLevel="0" collapsed="false">
      <c r="A16" s="42"/>
      <c r="B16" s="42"/>
      <c r="C16" s="42"/>
      <c r="D16" s="42"/>
      <c r="E16" s="42"/>
      <c r="F16" s="42"/>
      <c r="G16" s="42"/>
      <c r="H16" s="42"/>
      <c r="I16" s="42"/>
      <c r="J16" s="42"/>
      <c r="K16" s="42"/>
    </row>
    <row r="17" customFormat="false" ht="25" hidden="false" customHeight="true" outlineLevel="0" collapsed="false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</row>
    <row r="18" customFormat="false" ht="25" hidden="false" customHeight="true" outlineLevel="0" collapsed="false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</row>
    <row r="19" customFormat="false" ht="25" hidden="false" customHeight="true" outlineLevel="0" collapsed="false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</row>
    <row r="20" customFormat="false" ht="25" hidden="false" customHeight="true" outlineLevel="0" collapsed="false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</row>
    <row r="21" customFormat="false" ht="25" hidden="false" customHeight="true" outlineLevel="0" collapsed="false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</row>
    <row r="22" customFormat="false" ht="25" hidden="false" customHeight="true" outlineLevel="0" collapsed="false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</row>
    <row r="23" customFormat="false" ht="25" hidden="false" customHeight="true" outlineLevel="0" collapsed="false">
      <c r="A23" s="44" t="s">
        <v>27</v>
      </c>
      <c r="B23" s="44"/>
      <c r="C23" s="44"/>
      <c r="D23" s="44"/>
      <c r="E23" s="44"/>
      <c r="F23" s="44"/>
      <c r="G23" s="44"/>
      <c r="H23" s="44"/>
      <c r="I23" s="42"/>
      <c r="J23" s="42"/>
      <c r="K23" s="42"/>
    </row>
    <row r="24" customFormat="false" ht="25" hidden="false" customHeight="true" outlineLevel="0" collapsed="false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</row>
    <row r="25" customFormat="false" ht="36" hidden="false" customHeight="true" outlineLevel="0" collapsed="false">
      <c r="A25" s="46" t="s">
        <v>5</v>
      </c>
      <c r="B25" s="46" t="s">
        <v>28</v>
      </c>
      <c r="C25" s="46" t="s">
        <v>29</v>
      </c>
      <c r="D25" s="46" t="s">
        <v>7</v>
      </c>
      <c r="E25" s="46" t="s">
        <v>8</v>
      </c>
      <c r="F25" s="46" t="s">
        <v>9</v>
      </c>
      <c r="G25" s="46" t="s">
        <v>12</v>
      </c>
      <c r="H25" s="46" t="s">
        <v>30</v>
      </c>
      <c r="I25" s="46" t="s">
        <v>31</v>
      </c>
      <c r="J25" s="46" t="s">
        <v>32</v>
      </c>
      <c r="K25" s="42"/>
    </row>
    <row r="26" customFormat="false" ht="28" hidden="false" customHeight="true" outlineLevel="0" collapsed="false">
      <c r="A26" s="42" t="str">
        <f aca="false">IF(I26="","","FY"&amp;I26)</f>
        <v/>
      </c>
      <c r="B26" s="47" t="str">
        <f aca="false">IF(I26="","",IF(Trends!$B$6&lt;&gt;"","",SUMIFS(TransactionsData[Positive],TransactionsData[FY],I26,TransactionsData[Dimension match],1)))</f>
        <v/>
      </c>
      <c r="C26" s="47" t="str">
        <f aca="false">IF(I26="","",IF(Trends!$B$6&lt;&gt;"","",SUMIFS(TransactionsData[Deobligations],TransactionsData[FY],I26,TransactionsData[Dimension match],1)))</f>
        <v/>
      </c>
      <c r="D26" s="47" t="str">
        <f aca="false">IF(I26="","",IF(Trends!$B$6&lt;&gt;"","",SUMIFS(TransactionsData[Obligations],TransactionsData[FY],I26,TransactionsData[Dimension match],1)))</f>
        <v/>
      </c>
      <c r="E26" s="42" t="str">
        <f aca="false">IF(I26="","",IF(Trends!$B$6&lt;&gt;"","",SUMIFS(TransactionsData[First annual award],TransactionsData[FY],I26,TransactionsData[Dimension match],1)))</f>
        <v/>
      </c>
      <c r="F26" s="42" t="str">
        <f aca="false">IF(I26="","",IF(Trends!$B$6&lt;&gt;"","",SUMIFS(TransactionsData[First annual vendor],TransactionsData[FY],I26,TransactionsData[Dimension match],1)))</f>
        <v/>
      </c>
      <c r="G26" s="42" t="str">
        <f aca="false">IF(I26="","",IF(Trends!$B$6&lt;&gt;"","",COUNTIFS(TransactionsData[FY],I26,TransactionsData[Dimension match],1)))</f>
        <v/>
      </c>
      <c r="H26" s="48" t="str">
        <f aca="false">""</f>
        <v/>
      </c>
      <c r="I26" s="42"/>
      <c r="J26" s="42" t="str">
        <f aca="false">IF(I26="","",IF(AND(Transactions!$B$4&lt;=DATE(I26-1,10,1),Transactions!$D$4&gt;=DATE(I26,9,30)),1,0))</f>
        <v/>
      </c>
      <c r="K26" s="42"/>
    </row>
    <row r="27" customFormat="false" ht="25" hidden="false" customHeight="true" outlineLevel="0" collapsed="false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</row>
    <row r="28" customFormat="false" ht="25" hidden="false" customHeight="true" outlineLevel="0" collapsed="false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</row>
    <row r="29" customFormat="false" ht="25" hidden="false" customHeight="true" outlineLevel="0" collapsed="false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</row>
    <row r="30" customFormat="false" ht="25" hidden="false" customHeight="true" outlineLevel="0" collapsed="false">
      <c r="A30" s="42"/>
      <c r="B30" s="42"/>
      <c r="C30" s="42"/>
      <c r="D30" s="42"/>
      <c r="E30" s="42"/>
      <c r="F30" s="42"/>
      <c r="G30" s="42"/>
      <c r="H30" s="42"/>
      <c r="I30" s="42"/>
      <c r="J30" s="42"/>
      <c r="K30" s="42"/>
    </row>
    <row r="31" customFormat="false" ht="36" hidden="false" customHeight="true" outlineLevel="0" collapsed="false">
      <c r="A31" s="46" t="s">
        <v>33</v>
      </c>
      <c r="B31" s="46" t="s">
        <v>34</v>
      </c>
      <c r="C31" s="46" t="s">
        <v>35</v>
      </c>
      <c r="D31" s="46" t="s">
        <v>7</v>
      </c>
      <c r="E31" s="46" t="s">
        <v>29</v>
      </c>
      <c r="F31" s="46" t="s">
        <v>12</v>
      </c>
      <c r="G31" s="46" t="s">
        <v>36</v>
      </c>
      <c r="H31" s="46" t="s">
        <v>37</v>
      </c>
      <c r="I31" s="46" t="s">
        <v>31</v>
      </c>
      <c r="J31" s="46" t="s">
        <v>38</v>
      </c>
      <c r="K31" s="46" t="s">
        <v>39</v>
      </c>
      <c r="L31" s="0" t="s">
        <v>7</v>
      </c>
      <c r="M31" s="0" t="s">
        <v>36</v>
      </c>
    </row>
    <row r="32" customFormat="false" ht="26" hidden="false" customHeight="true" outlineLevel="0" collapsed="false">
      <c r="A32" s="42" t="str">
        <f aca="false">IF(I32="","","FY"&amp;I32&amp;" Q"&amp;J32)</f>
        <v/>
      </c>
      <c r="B32" s="49" t="str">
        <f aca="false">IF(I32="","",DATE(I32-IF(J32=1,1,0),CHOOSE(J32,10,1,4,7),1))</f>
        <v/>
      </c>
      <c r="C32" s="49" t="str">
        <f aca="false">IF(B32="","",EDATE(B32,3)-1)</f>
        <v/>
      </c>
      <c r="D32" s="47" t="str">
        <f aca="false">IF(I32="","",IF(Trends!$B$6&lt;&gt;"","",SUMIFS(TransactionsData[Obligations],TransactionsData[FY],I32,TransactionsData[Quarter],J32,TransactionsData[Dimension match],1)))</f>
        <v/>
      </c>
      <c r="E32" s="47" t="str">
        <f aca="false">IF(I32="","",IF(Trends!$B$6&lt;&gt;"","",SUMIFS(TransactionsData[Deobligations],TransactionsData[FY],I32,TransactionsData[Quarter],J32,TransactionsData[Dimension match],1)))</f>
        <v/>
      </c>
      <c r="F32" s="42" t="str">
        <f aca="false">IF(I32="","",IF(Trends!$B$6&lt;&gt;"","",COUNTIFS(TransactionsData[FY],I32,TransactionsData[Quarter],J32,TransactionsData[Dimension match],1)))</f>
        <v/>
      </c>
      <c r="G32" s="47"/>
      <c r="H32" s="50" t="str">
        <f aca="false">IF(I32="","",IF(AND(B32&gt;=Transactions!$B$4,C32&lt;=Transactions!$D$4),"Complete","Partial"))</f>
        <v/>
      </c>
      <c r="I32" s="42"/>
      <c r="J32" s="42"/>
      <c r="K32" s="42" t="n">
        <f aca="false">IF(OR(I32="",AND(Dashboard!$B$7&lt;&gt;"All",I32&lt;&gt;Dashboard!$B$7)),0,IF(Dashboard!$B$7="All",ROW()-31,J32))</f>
        <v>0</v>
      </c>
      <c r="L32" s="0" t="str">
        <f aca="false">IF(OR(Trends!$B$6&lt;&gt;"",I32=""),"",D32/1000000)</f>
        <v/>
      </c>
    </row>
    <row r="33" customFormat="false" ht="26" hidden="false" customHeight="true" outlineLevel="0" collapsed="false">
      <c r="A33" s="42" t="str">
        <f aca="false">IF(I33="","","FY"&amp;I33&amp;" Q"&amp;J33)</f>
        <v/>
      </c>
      <c r="B33" s="49" t="str">
        <f aca="false">IF(I33="","",DATE(I33-IF(J33=1,1,0),CHOOSE(J33,10,1,4,7),1))</f>
        <v/>
      </c>
      <c r="C33" s="49" t="str">
        <f aca="false">IF(B33="","",EDATE(B33,3)-1)</f>
        <v/>
      </c>
      <c r="D33" s="47" t="str">
        <f aca="false">IF(I33="","",IF(Trends!$B$6&lt;&gt;"","",SUMIFS(TransactionsData[Obligations],TransactionsData[FY],I33,TransactionsData[Quarter],J33,TransactionsData[Dimension match],1)))</f>
        <v/>
      </c>
      <c r="E33" s="47" t="str">
        <f aca="false">IF(I33="","",IF(Trends!$B$6&lt;&gt;"","",SUMIFS(TransactionsData[Deobligations],TransactionsData[FY],I33,TransactionsData[Quarter],J33,TransactionsData[Dimension match],1)))</f>
        <v/>
      </c>
      <c r="F33" s="42" t="str">
        <f aca="false">IF(I33="","",IF(Trends!$B$6&lt;&gt;"","",COUNTIFS(TransactionsData[FY],I33,TransactionsData[Quarter],J33,TransactionsData[Dimension match],1)))</f>
        <v/>
      </c>
      <c r="G33" s="47"/>
      <c r="H33" s="50" t="str">
        <f aca="false">IF(I33="","",IF(AND(B33&gt;=Transactions!$B$4,C33&lt;=Transactions!$D$4),"Complete","Partial"))</f>
        <v/>
      </c>
      <c r="I33" s="42"/>
      <c r="J33" s="42"/>
      <c r="K33" s="42" t="n">
        <f aca="false">IF(OR(I33="",AND(Dashboard!$B$7&lt;&gt;"All",I33&lt;&gt;Dashboard!$B$7)),0,IF(Dashboard!$B$7="All",ROW()-31,J33))</f>
        <v>0</v>
      </c>
      <c r="L33" s="0" t="str">
        <f aca="false">IF(OR(Trends!$B$6&lt;&gt;"",I33=""),"",D33/1000000)</f>
        <v/>
      </c>
    </row>
    <row r="34" customFormat="false" ht="26" hidden="false" customHeight="true" outlineLevel="0" collapsed="false">
      <c r="A34" s="42" t="str">
        <f aca="false">IF(I34="","","FY"&amp;I34&amp;" Q"&amp;J34)</f>
        <v/>
      </c>
      <c r="B34" s="49" t="str">
        <f aca="false">IF(I34="","",DATE(I34-IF(J34=1,1,0),CHOOSE(J34,10,1,4,7),1))</f>
        <v/>
      </c>
      <c r="C34" s="49" t="str">
        <f aca="false">IF(B34="","",EDATE(B34,3)-1)</f>
        <v/>
      </c>
      <c r="D34" s="47" t="str">
        <f aca="false">IF(I34="","",IF(Trends!$B$6&lt;&gt;"","",SUMIFS(TransactionsData[Obligations],TransactionsData[FY],I34,TransactionsData[Quarter],J34,TransactionsData[Dimension match],1)))</f>
        <v/>
      </c>
      <c r="E34" s="47" t="str">
        <f aca="false">IF(I34="","",IF(Trends!$B$6&lt;&gt;"","",SUMIFS(TransactionsData[Deobligations],TransactionsData[FY],I34,TransactionsData[Quarter],J34,TransactionsData[Dimension match],1)))</f>
        <v/>
      </c>
      <c r="F34" s="42" t="str">
        <f aca="false">IF(I34="","",IF(Trends!$B$6&lt;&gt;"","",COUNTIFS(TransactionsData[FY],I34,TransactionsData[Quarter],J34,TransactionsData[Dimension match],1)))</f>
        <v/>
      </c>
      <c r="G34" s="47"/>
      <c r="H34" s="50" t="str">
        <f aca="false">IF(I34="","",IF(AND(B34&gt;=Transactions!$B$4,C34&lt;=Transactions!$D$4),"Complete","Partial"))</f>
        <v/>
      </c>
      <c r="I34" s="42"/>
      <c r="J34" s="42"/>
      <c r="K34" s="42" t="n">
        <f aca="false">IF(OR(I34="",AND(Dashboard!$B$7&lt;&gt;"All",I34&lt;&gt;Dashboard!$B$7)),0,IF(Dashboard!$B$7="All",ROW()-31,J34))</f>
        <v>0</v>
      </c>
      <c r="L34" s="0" t="str">
        <f aca="false">IF(OR(Trends!$B$6&lt;&gt;"",I34=""),"",D34/1000000)</f>
        <v/>
      </c>
    </row>
    <row r="35" customFormat="false" ht="26" hidden="false" customHeight="true" outlineLevel="0" collapsed="false">
      <c r="A35" s="42" t="str">
        <f aca="false">IF(I35="","","FY"&amp;I35&amp;" Q"&amp;J35)</f>
        <v/>
      </c>
      <c r="B35" s="49" t="str">
        <f aca="false">IF(I35="","",DATE(I35-IF(J35=1,1,0),CHOOSE(J35,10,1,4,7),1))</f>
        <v/>
      </c>
      <c r="C35" s="49" t="str">
        <f aca="false">IF(B35="","",EDATE(B35,3)-1)</f>
        <v/>
      </c>
      <c r="D35" s="47" t="str">
        <f aca="false">IF(I35="","",IF(Trends!$B$6&lt;&gt;"","",SUMIFS(TransactionsData[Obligations],TransactionsData[FY],I35,TransactionsData[Quarter],J35,TransactionsData[Dimension match],1)))</f>
        <v/>
      </c>
      <c r="E35" s="47" t="str">
        <f aca="false">IF(I35="","",IF(Trends!$B$6&lt;&gt;"","",SUMIFS(TransactionsData[Deobligations],TransactionsData[FY],I35,TransactionsData[Quarter],J35,TransactionsData[Dimension match],1)))</f>
        <v/>
      </c>
      <c r="F35" s="42" t="str">
        <f aca="false">IF(I35="","",IF(Trends!$B$6&lt;&gt;"","",COUNTIFS(TransactionsData[FY],I35,TransactionsData[Quarter],J35,TransactionsData[Dimension match],1)))</f>
        <v/>
      </c>
      <c r="G35" s="47" t="str">
        <f aca="false">IF(AND(Trends!$B$6="",COUNTIFS(H32:H35,"Complete")=4),SUM(D32:D35)/4,"")</f>
        <v/>
      </c>
      <c r="H35" s="50" t="str">
        <f aca="false">IF(I35="","",IF(AND(B35&gt;=Transactions!$B$4,C35&lt;=Transactions!$D$4),"Complete","Partial"))</f>
        <v/>
      </c>
      <c r="I35" s="42"/>
      <c r="J35" s="42"/>
      <c r="K35" s="42" t="n">
        <f aca="false">IF(OR(I35="",AND(Dashboard!$B$7&lt;&gt;"All",I35&lt;&gt;Dashboard!$B$7)),0,IF(Dashboard!$B$7="All",ROW()-31,J35))</f>
        <v>0</v>
      </c>
      <c r="L35" s="0" t="str">
        <f aca="false">IF(OR(Trends!$B$6&lt;&gt;"",I35=""),"",D35/1000000)</f>
        <v/>
      </c>
      <c r="M35" s="0" t="str">
        <f aca="false">IF(G35="","",G35/1000000)</f>
        <v/>
      </c>
    </row>
    <row r="36" customFormat="false" ht="25" hidden="false" customHeight="true" outlineLevel="0" collapsed="false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</row>
    <row r="37" customFormat="false" ht="25" hidden="false" customHeight="true" outlineLevel="0" collapsed="false">
      <c r="A37" s="42"/>
      <c r="B37" s="42"/>
      <c r="C37" s="42"/>
      <c r="D37" s="42"/>
      <c r="E37" s="42"/>
      <c r="F37" s="42"/>
      <c r="G37" s="42"/>
      <c r="H37" s="42"/>
      <c r="I37" s="42"/>
      <c r="J37" s="42"/>
      <c r="K37" s="42"/>
    </row>
    <row r="38" customFormat="false" ht="25" hidden="false" customHeight="true" outlineLevel="0" collapsed="false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</row>
    <row r="39" customFormat="false" ht="25" hidden="false" customHeight="true" outlineLevel="0" collapsed="false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</row>
    <row r="40" customFormat="false" ht="25" hidden="false" customHeight="true" outlineLevel="0" collapsed="false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</row>
    <row r="41" customFormat="false" ht="25" hidden="false" customHeight="true" outlineLevel="0" collapsed="false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</row>
    <row r="42" customFormat="false" ht="25" hidden="false" customHeight="true" outlineLevel="0" collapsed="false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</row>
    <row r="43" customFormat="false" ht="25" hidden="false" customHeight="true" outlineLevel="0" collapsed="false">
      <c r="A43" s="42"/>
      <c r="B43" s="42"/>
      <c r="C43" s="42"/>
      <c r="D43" s="42"/>
      <c r="E43" s="42"/>
      <c r="F43" s="42"/>
      <c r="G43" s="42"/>
      <c r="H43" s="42"/>
      <c r="I43" s="42"/>
      <c r="J43" s="42"/>
      <c r="K43" s="42"/>
    </row>
    <row r="44" customFormat="false" ht="25" hidden="false" customHeight="true" outlineLevel="0" collapsed="false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</row>
    <row r="45" customFormat="false" ht="25" hidden="false" customHeight="true" outlineLevel="0" collapsed="false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</row>
    <row r="46" customFormat="false" ht="25" hidden="false" customHeight="true" outlineLevel="0" collapsed="false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</row>
    <row r="47" customFormat="false" ht="25" hidden="false" customHeight="true" outlineLevel="0" collapsed="false">
      <c r="A47" s="42"/>
      <c r="B47" s="42"/>
      <c r="C47" s="42"/>
      <c r="D47" s="42"/>
      <c r="E47" s="42"/>
      <c r="F47" s="42"/>
      <c r="G47" s="42"/>
      <c r="H47" s="42"/>
      <c r="I47" s="42"/>
      <c r="J47" s="42"/>
      <c r="K47" s="42"/>
    </row>
    <row r="48" customFormat="false" ht="25" hidden="false" customHeight="true" outlineLevel="0" collapsed="false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</row>
    <row r="49" customFormat="false" ht="25" hidden="false" customHeight="true" outlineLevel="0" collapsed="false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</row>
    <row r="50" customFormat="false" ht="25" hidden="false" customHeight="true" outlineLevel="0" collapsed="false">
      <c r="A50" s="42"/>
      <c r="B50" s="42"/>
      <c r="C50" s="42"/>
      <c r="D50" s="42"/>
      <c r="E50" s="42"/>
      <c r="F50" s="42"/>
      <c r="G50" s="42"/>
      <c r="H50" s="42"/>
      <c r="I50" s="42"/>
      <c r="J50" s="42"/>
      <c r="K50" s="42"/>
    </row>
    <row r="51" customFormat="false" ht="25" hidden="false" customHeight="true" outlineLevel="0" collapsed="false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</row>
    <row r="52" customFormat="false" ht="25" hidden="false" customHeight="true" outlineLevel="0" collapsed="false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</row>
    <row r="53" customFormat="false" ht="25" hidden="false" customHeight="true" outlineLevel="0" collapsed="false">
      <c r="A53" s="42"/>
      <c r="B53" s="42"/>
      <c r="C53" s="42"/>
      <c r="D53" s="42"/>
      <c r="E53" s="42"/>
      <c r="F53" s="42"/>
      <c r="G53" s="42"/>
      <c r="H53" s="42"/>
      <c r="I53" s="42"/>
      <c r="J53" s="42"/>
      <c r="K53" s="42"/>
    </row>
    <row r="54" customFormat="false" ht="25" hidden="false" customHeight="true" outlineLevel="0" collapsed="false">
      <c r="A54" s="42"/>
      <c r="B54" s="42"/>
      <c r="C54" s="42"/>
      <c r="D54" s="42"/>
      <c r="E54" s="42"/>
      <c r="F54" s="42"/>
      <c r="G54" s="42"/>
      <c r="H54" s="42"/>
      <c r="I54" s="42"/>
      <c r="J54" s="42"/>
      <c r="K54" s="42"/>
    </row>
    <row r="55" customFormat="false" ht="25" hidden="false" customHeight="true" outlineLevel="0" collapsed="false">
      <c r="A55" s="42"/>
      <c r="B55" s="42"/>
      <c r="C55" s="42"/>
      <c r="D55" s="42"/>
      <c r="E55" s="42"/>
      <c r="F55" s="42"/>
      <c r="G55" s="42"/>
      <c r="H55" s="42"/>
      <c r="I55" s="42"/>
      <c r="J55" s="42"/>
      <c r="K55" s="42"/>
    </row>
    <row r="56" customFormat="false" ht="25" hidden="false" customHeight="true" outlineLevel="0" collapsed="false">
      <c r="A56" s="42"/>
      <c r="B56" s="42"/>
      <c r="C56" s="42"/>
      <c r="D56" s="42"/>
      <c r="E56" s="42"/>
      <c r="F56" s="42"/>
      <c r="G56" s="42"/>
      <c r="H56" s="42"/>
      <c r="I56" s="42"/>
      <c r="J56" s="42"/>
      <c r="K56" s="42"/>
    </row>
    <row r="57" customFormat="false" ht="25" hidden="false" customHeight="true" outlineLevel="0" collapsed="false">
      <c r="A57" s="42"/>
      <c r="B57" s="42"/>
      <c r="C57" s="42"/>
      <c r="D57" s="42"/>
      <c r="E57" s="42"/>
      <c r="F57" s="42"/>
      <c r="G57" s="42"/>
      <c r="H57" s="42"/>
      <c r="I57" s="42"/>
      <c r="J57" s="42"/>
      <c r="K57" s="42"/>
    </row>
    <row r="58" customFormat="false" ht="25" hidden="false" customHeight="true" outlineLevel="0" collapsed="false">
      <c r="A58" s="42"/>
      <c r="B58" s="42"/>
      <c r="C58" s="42"/>
      <c r="D58" s="42"/>
      <c r="E58" s="42"/>
      <c r="F58" s="42"/>
      <c r="G58" s="42"/>
      <c r="H58" s="42"/>
      <c r="I58" s="42"/>
      <c r="J58" s="42"/>
      <c r="K58" s="42"/>
    </row>
    <row r="59" customFormat="false" ht="25" hidden="false" customHeight="true" outlineLevel="0" collapsed="false">
      <c r="A59" s="42"/>
      <c r="B59" s="42"/>
      <c r="C59" s="42"/>
      <c r="D59" s="42"/>
      <c r="E59" s="42"/>
      <c r="F59" s="42"/>
      <c r="G59" s="42"/>
      <c r="H59" s="42"/>
      <c r="I59" s="42"/>
      <c r="J59" s="42"/>
      <c r="K59" s="42"/>
    </row>
    <row r="60" customFormat="false" ht="25" hidden="false" customHeight="true" outlineLevel="0" collapsed="false">
      <c r="A60" s="42"/>
      <c r="B60" s="42"/>
      <c r="C60" s="42"/>
      <c r="D60" s="42"/>
      <c r="E60" s="42"/>
      <c r="F60" s="42"/>
      <c r="G60" s="42"/>
      <c r="H60" s="42"/>
      <c r="I60" s="42"/>
      <c r="J60" s="42"/>
      <c r="K60" s="42"/>
    </row>
    <row r="61" customFormat="false" ht="25" hidden="false" customHeight="true" outlineLevel="0" collapsed="false">
      <c r="A61" s="42"/>
      <c r="B61" s="42"/>
      <c r="C61" s="42"/>
      <c r="D61" s="42"/>
      <c r="E61" s="42"/>
      <c r="F61" s="42"/>
      <c r="G61" s="42"/>
      <c r="H61" s="42"/>
      <c r="I61" s="42"/>
      <c r="J61" s="42"/>
      <c r="K61" s="42"/>
    </row>
    <row r="62" customFormat="false" ht="25" hidden="false" customHeight="true" outlineLevel="0" collapsed="false">
      <c r="A62" s="42"/>
      <c r="B62" s="42"/>
      <c r="C62" s="42"/>
      <c r="D62" s="42"/>
      <c r="E62" s="42"/>
      <c r="F62" s="42"/>
      <c r="G62" s="42"/>
      <c r="H62" s="42"/>
      <c r="I62" s="42"/>
      <c r="J62" s="42"/>
      <c r="K62" s="42"/>
    </row>
    <row r="63" customFormat="false" ht="25" hidden="false" customHeight="true" outlineLevel="0" collapsed="false">
      <c r="A63" s="42"/>
      <c r="B63" s="42"/>
      <c r="C63" s="42"/>
      <c r="D63" s="42"/>
      <c r="E63" s="42"/>
      <c r="F63" s="42"/>
      <c r="G63" s="42"/>
      <c r="H63" s="42"/>
      <c r="I63" s="42"/>
      <c r="J63" s="42"/>
      <c r="K63" s="42"/>
    </row>
    <row r="64" customFormat="false" ht="25" hidden="false" customHeight="true" outlineLevel="0" collapsed="false">
      <c r="A64" s="42"/>
      <c r="B64" s="42"/>
      <c r="C64" s="42"/>
      <c r="D64" s="42"/>
      <c r="E64" s="42"/>
      <c r="F64" s="42"/>
      <c r="G64" s="42"/>
      <c r="H64" s="42"/>
      <c r="I64" s="42"/>
      <c r="J64" s="42"/>
      <c r="K64" s="42"/>
    </row>
    <row r="65" customFormat="false" ht="25" hidden="false" customHeight="true" outlineLevel="0" collapsed="false">
      <c r="A65" s="42"/>
      <c r="B65" s="42"/>
      <c r="C65" s="42"/>
      <c r="D65" s="42"/>
      <c r="E65" s="42"/>
      <c r="F65" s="42"/>
      <c r="G65" s="42"/>
      <c r="H65" s="42"/>
      <c r="I65" s="42"/>
      <c r="J65" s="42"/>
      <c r="K65" s="42"/>
    </row>
  </sheetData>
  <mergeCells count="6">
    <mergeCell ref="A2:E2"/>
    <mergeCell ref="A3:H3"/>
    <mergeCell ref="A4:H4"/>
    <mergeCell ref="A5:H5"/>
    <mergeCell ref="B6:H6"/>
    <mergeCell ref="A23:H23"/>
  </mergeCells>
  <printOptions horizontalCentered="1" gridLines="0" headings="0"/>
  <pageMargins left="0.25" right="0.25" top="0.3" bottom="0.35" header="0.1" footer="0.12"/>
  <pageSetup paperSize="1" orientation="landscape" fitToWidth="1" fitToHeight="1" pageOrder="downThenOver"/>
  <headerFooter>
    <oddHeader>&amp;L&amp;"Arial,Bold"&amp;11Trends</oddHeader>
    <oddFooter>&amp;LTrends&amp;RPage &amp;P of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outlinePr summaryRight="0"/>
    <pageSetUpPr fitToPage="1"/>
  </sheetPr>
  <dimension ref="A1:R34"/>
  <sheetViews>
    <sheetView showFormulas="false" showGridLines="0" showRowColHeaders="true" showZeros="true" rightToLeft="false" tabSelected="0" showOutlineSymbols="true" defaultGridColor="true" view="normal" topLeftCell="A1" colorId="64" zoomScale="90" zoomScaleNormal="9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false" zeroHeight="false" outlineLevelRow="0" outlineLevelCol="1"/>
  <cols>
    <col customWidth="true" max="1" min="1" style="0" width="7.22"/>
    <col customWidth="true" max="2" min="2" style="0" width="33.33"/>
    <col customWidth="true" max="3" min="3" style="0" width="20"/>
    <col customWidth="true" max="4" min="4" style="0" width="17.22"/>
    <col customWidth="true" max="5" min="5" style="0" width="17.22"/>
    <col customWidth="true" max="6" min="6" style="0" width="12.78"/>
    <col customWidth="true" max="7" min="7" style="0" width="12.78"/>
    <col customWidth="true" max="8" min="8" style="0" width="31.67" hidden="1" outlineLevel="1"/>
    <col customWidth="true" max="9" min="9" style="0" width="31.11" hidden="1" outlineLevel="1"/>
    <col customWidth="true" max="10" min="10" style="0" width="13.89" hidden="1" outlineLevel="1"/>
    <col customWidth="true" max="11" min="11" style="0" width="47.22" hidden="1" outlineLevel="1"/>
    <col customWidth="true" max="12" min="12" style="0" width="50" hidden="1" outlineLevel="1"/>
    <col customWidth="true" max="13" min="13" style="0" width="17.78" hidden="1" outlineLevel="1"/>
    <col customWidth="true" max="14" min="14" style="0" width="17.78" hidden="1" outlineLevel="1"/>
    <col customWidth="true" max="15" min="15" style="0" width="12.22" hidden="1" outlineLevel="1"/>
    <col customWidth="true" max="16" min="16" style="0" width="12.22" hidden="1" outlineLevel="1"/>
    <col customWidth="true" max="17" min="17" style="0" width="10.56" hidden="1" outlineLevel="1"/>
    <col customWidth="true" max="18" min="18" style="0" width="26.11" hidden="1" outlineLevel="1"/>
  </cols>
  <sheetData>
    <row r="1" customFormat="false" ht="10" hidden="false" customHeight="true" outlineLevel="0" collapsed="false">
      <c r="A1" s="42"/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</row>
    <row r="2" customFormat="false" ht="32" hidden="false" customHeight="true" outlineLevel="0" collapsed="false">
      <c r="A2" s="43" t="s">
        <v>40</v>
      </c>
      <c r="B2" s="43"/>
      <c r="C2" s="43"/>
      <c r="D2" s="43"/>
      <c r="E2" s="43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</row>
    <row r="3" customFormat="false" ht="34" hidden="false" customHeight="true" outlineLevel="0" collapsed="false">
      <c r="A3" s="44" t="str">
        <f aca="false">"Buyer: "&amp;IF(Transactions!B3="","Not supplied",Transactions!B3)&amp;"  |  Period: "&amp;IF(Dashboard!$B$7="All","All covered years",IF(Dashboard!$B$7="","Not supplied","FY"&amp;Dashboard!$B$7))&amp;"  |  Award type: "&amp;Dashboard!$N$10</f>
        <v>Buyer: Not supplied  |  Period: Not supplied  |  Award type: All</v>
      </c>
      <c r="B3" s="44"/>
      <c r="C3" s="44"/>
      <c r="D3" s="44"/>
      <c r="E3" s="44"/>
      <c r="F3" s="44"/>
      <c r="G3" s="44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</row>
    <row r="4" customFormat="false" ht="28" hidden="false" customHeight="true" outlineLevel="0" collapsed="false">
      <c r="A4" s="44" t="str">
        <f aca="false">"Vendor: "&amp;Dashboard!H7</f>
        <v>Vendor: All</v>
      </c>
      <c r="B4" s="44"/>
      <c r="C4" s="44"/>
      <c r="D4" s="44"/>
      <c r="E4" s="44"/>
      <c r="F4" s="44"/>
      <c r="G4" s="44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</row>
    <row r="5" customFormat="false" ht="28" hidden="false" customHeight="true" outlineLevel="0" collapsed="false">
      <c r="A5" s="44" t="str">
        <f aca="false">"Funding office: "&amp;Dashboard!B10</f>
        <v>Funding office: All</v>
      </c>
      <c r="B5" s="44"/>
      <c r="C5" s="44"/>
      <c r="D5" s="44"/>
      <c r="E5" s="44"/>
      <c r="F5" s="44"/>
      <c r="G5" s="44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</row>
    <row r="6" customFormat="false" ht="25" hidden="false" customHeight="true" outlineLevel="0" collapsed="false">
      <c r="A6" s="44" t="s">
        <v>41</v>
      </c>
      <c r="B6" s="44"/>
      <c r="C6" s="44"/>
      <c r="D6" s="44"/>
      <c r="E6" s="44"/>
      <c r="F6" s="44"/>
      <c r="G6" s="44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</row>
    <row r="7" customFormat="false" ht="36" hidden="false" customHeight="true" outlineLevel="0" collapsed="false">
      <c r="A7" s="46" t="s">
        <v>42</v>
      </c>
      <c r="B7" s="46" t="s">
        <v>6</v>
      </c>
      <c r="C7" s="46" t="s">
        <v>43</v>
      </c>
      <c r="D7" s="46" t="s">
        <v>7</v>
      </c>
      <c r="E7" s="46" t="s">
        <v>29</v>
      </c>
      <c r="F7" s="46" t="s">
        <v>8</v>
      </c>
      <c r="G7" s="46" t="s">
        <v>12</v>
      </c>
      <c r="H7" s="46" t="s">
        <v>44</v>
      </c>
      <c r="I7" s="46" t="s">
        <v>45</v>
      </c>
      <c r="J7" s="46" t="s">
        <v>46</v>
      </c>
      <c r="K7" s="46" t="s">
        <v>47</v>
      </c>
      <c r="L7" s="46" t="s">
        <v>48</v>
      </c>
      <c r="M7" s="46" t="s">
        <v>49</v>
      </c>
      <c r="N7" s="46" t="s">
        <v>50</v>
      </c>
      <c r="O7" s="46" t="s">
        <v>51</v>
      </c>
      <c r="P7" s="46" t="s">
        <v>52</v>
      </c>
      <c r="Q7" s="46" t="s">
        <v>53</v>
      </c>
      <c r="R7" s="46" t="s">
        <v>54</v>
      </c>
    </row>
    <row r="8" customFormat="false" ht="32" hidden="false" customHeight="true" outlineLevel="0" collapsed="false">
      <c r="A8" s="51" t="str">
        <f aca="false">IF(Trends!$B$6&lt;&gt;"","",IF(COUNTIFS(VendorGroups[Source rank],1)=1,1,""))</f>
        <v/>
      </c>
      <c r="B8" s="52" t="str">
        <f aca="false">IF(Trends!$B$6&lt;&gt;"","",IF(COUNTIFS(VendorGroups[Source rank],1)=1,IF(INDEX(VendorGroups[Source URL],MATCH(1,VendorGroups[Source rank],0))="",INDEX(VendorGroups[Source name],MATCH(1,VendorGroups[Source rank],0)),HYPERLINK(INDEX(VendorGroups[Source URL],MATCH(1,VendorGroups[Source rank],0)),INDEX(VendorGroups[Source name],MATCH(1,VendorGroups[Source rank],0)))),""))</f>
        <v/>
      </c>
      <c r="C8" s="53" t="str">
        <f aca="false">IF(Trends!$B$6&lt;&gt;"","",IF(COUNTIFS(VendorGroups[Source rank],1)=1,IF(INDEX(VendorGroups[Source UEI],MATCH(1,VendorGroups[Source rank],0))="","Not supplied",INDEX(VendorGroups[Source UEI],MATCH(1,VendorGroups[Source rank],0))),""))</f>
        <v/>
      </c>
      <c r="D8" s="54" t="str">
        <f aca="false">IF(Trends!$B$6&lt;&gt;"","",IF(COUNTIFS(VendorGroups[Source rank],1)=1,INDEX(VendorGroups[Source net],MATCH(1,VendorGroups[Source rank],0)),""))</f>
        <v/>
      </c>
      <c r="E8" s="54" t="str">
        <f aca="false">IF(Trends!$B$6&lt;&gt;"","",IF(COUNTIFS(VendorGroups[Source rank],1)=1,INDEX(VendorGroups[Source deobligations],MATCH(1,VendorGroups[Source rank],0)),""))</f>
        <v/>
      </c>
      <c r="F8" s="55" t="str">
        <f aca="false">IF(Trends!$B$6&lt;&gt;"","",IF(COUNTIFS(VendorGroups[Source rank],1)=1,INDEX(VendorGroups[Source awards],MATCH(1,VendorGroups[Source rank],0)),""))</f>
        <v/>
      </c>
      <c r="G8" s="55" t="str">
        <f aca="false">IF(Trends!$B$6&lt;&gt;"","",IF(COUNTIFS(VendorGroups[Source rank],1)=1,INDEX(VendorGroups[Source actions],MATCH(1,VendorGroups[Source rank],0)),""))</f>
        <v/>
      </c>
      <c r="H8" s="56"/>
      <c r="I8" s="56"/>
      <c r="J8" s="56"/>
      <c r="K8" s="56"/>
      <c r="L8" s="55" t="str">
        <f aca="false">IF(H8="","",I8&amp;IF(J8="",""," ["&amp;J8&amp;"]"))</f>
        <v/>
      </c>
      <c r="M8" s="54" t="str">
        <f aca="false">IF(H8="","",SUMIFS(TransactionsData[Obligations],TransactionsData[Vendor ID],H8,TransactionsData[Selected],1))</f>
        <v/>
      </c>
      <c r="N8" s="54" t="str">
        <f aca="false">IF(H8="","",SUMIFS(TransactionsData[Deobligations],TransactionsData[Vendor ID],H8,TransactionsData[Selected],1))</f>
        <v/>
      </c>
      <c r="O8" s="55" t="str">
        <f aca="false">IF(H8="","",SUMIFS(TransactionsData[First vendor award],TransactionsData[Vendor ID],H8))</f>
        <v/>
      </c>
      <c r="P8" s="55" t="str">
        <f aca="false">IF(H8="","",COUNTIFS(TransactionsData[Vendor ID],H8,TransactionsData[Selected],1))</f>
        <v/>
      </c>
      <c r="Q8" s="55" t="str">
        <f aca="false">IF(OR(H8="",P8=0),"",COUNTIFS(VendorGroups[Source net],"&gt;"&amp;M8,VendorGroups[Source actions],"&gt;0")+COUNTIFS(VendorGroups[Source net],M8,VendorGroups[Record ID],"&lt;"&amp;H8,VendorGroups[Source actions],"&gt;0")+1)</f>
        <v/>
      </c>
      <c r="R8" s="55" t="str">
        <f aca="false">IF(H8="",IF(COUNTA(I8:K8)&gt;0,"Missing record ID",""),IF(COUNTIFS(VendorGroups[Record ID],H8)&lt;&gt;1,"Duplicate record ID",IF(I8="","Add name","")))</f>
        <v/>
      </c>
    </row>
    <row r="9" customFormat="false" ht="32" hidden="false" customHeight="true" outlineLevel="0" collapsed="false">
      <c r="A9" s="51" t="str">
        <f aca="false">IF(Trends!$B$6&lt;&gt;"","",IF(COUNTIFS(VendorGroups[Source rank],2)=1,2,""))</f>
        <v/>
      </c>
      <c r="B9" s="52" t="str">
        <f aca="false">IF(Trends!$B$6&lt;&gt;"","",IF(COUNTIFS(VendorGroups[Source rank],2)=1,IF(INDEX(VendorGroups[Source URL],MATCH(2,VendorGroups[Source rank],0))="",INDEX(VendorGroups[Source name],MATCH(2,VendorGroups[Source rank],0)),HYPERLINK(INDEX(VendorGroups[Source URL],MATCH(2,VendorGroups[Source rank],0)),INDEX(VendorGroups[Source name],MATCH(2,VendorGroups[Source rank],0)))),""))</f>
        <v/>
      </c>
      <c r="C9" s="53" t="str">
        <f aca="false">IF(Trends!$B$6&lt;&gt;"","",IF(COUNTIFS(VendorGroups[Source rank],2)=1,IF(INDEX(VendorGroups[Source UEI],MATCH(2,VendorGroups[Source rank],0))="","Not supplied",INDEX(VendorGroups[Source UEI],MATCH(2,VendorGroups[Source rank],0))),""))</f>
        <v/>
      </c>
      <c r="D9" s="54" t="str">
        <f aca="false">IF(Trends!$B$6&lt;&gt;"","",IF(COUNTIFS(VendorGroups[Source rank],2)=1,INDEX(VendorGroups[Source net],MATCH(2,VendorGroups[Source rank],0)),""))</f>
        <v/>
      </c>
      <c r="E9" s="54" t="str">
        <f aca="false">IF(Trends!$B$6&lt;&gt;"","",IF(COUNTIFS(VendorGroups[Source rank],2)=1,INDEX(VendorGroups[Source deobligations],MATCH(2,VendorGroups[Source rank],0)),""))</f>
        <v/>
      </c>
      <c r="F9" s="55" t="str">
        <f aca="false">IF(Trends!$B$6&lt;&gt;"","",IF(COUNTIFS(VendorGroups[Source rank],2)=1,INDEX(VendorGroups[Source awards],MATCH(2,VendorGroups[Source rank],0)),""))</f>
        <v/>
      </c>
      <c r="G9" s="55" t="str">
        <f aca="false">IF(Trends!$B$6&lt;&gt;"","",IF(COUNTIFS(VendorGroups[Source rank],2)=1,INDEX(VendorGroups[Source actions],MATCH(2,VendorGroups[Source rank],0)),""))</f>
        <v/>
      </c>
      <c r="H9" s="56"/>
      <c r="I9" s="56"/>
      <c r="J9" s="56"/>
      <c r="K9" s="56"/>
      <c r="L9" s="55" t="str">
        <f aca="false">IF(H9="","",I9&amp;IF(J9="",""," ["&amp;J9&amp;"]"))</f>
        <v/>
      </c>
      <c r="M9" s="54" t="str">
        <f aca="false">IF(H9="","",SUMIFS(TransactionsData[Obligations],TransactionsData[Vendor ID],H9,TransactionsData[Selected],1))</f>
        <v/>
      </c>
      <c r="N9" s="54" t="str">
        <f aca="false">IF(H9="","",SUMIFS(TransactionsData[Deobligations],TransactionsData[Vendor ID],H9,TransactionsData[Selected],1))</f>
        <v/>
      </c>
      <c r="O9" s="55" t="str">
        <f aca="false">IF(H9="","",SUMIFS(TransactionsData[First vendor award],TransactionsData[Vendor ID],H9))</f>
        <v/>
      </c>
      <c r="P9" s="55" t="str">
        <f aca="false">IF(H9="","",COUNTIFS(TransactionsData[Vendor ID],H9,TransactionsData[Selected],1))</f>
        <v/>
      </c>
      <c r="Q9" s="55" t="str">
        <f aca="false">IF(OR(H9="",P9=0),"",COUNTIFS(VendorGroups[Source net],"&gt;"&amp;M9,VendorGroups[Source actions],"&gt;0")+COUNTIFS(VendorGroups[Source net],M9,VendorGroups[Record ID],"&lt;"&amp;H9,VendorGroups[Source actions],"&gt;0")+1)</f>
        <v/>
      </c>
      <c r="R9" s="55" t="str">
        <f aca="false">IF(H9="",IF(COUNTA(I9:K9)&gt;0,"Missing record ID",""),IF(COUNTIFS(VendorGroups[Record ID],H9)&lt;&gt;1,"Duplicate record ID",IF(I9="","Add name","")))</f>
        <v/>
      </c>
    </row>
    <row r="10" customFormat="false" ht="32" hidden="false" customHeight="true" outlineLevel="0" collapsed="false">
      <c r="A10" s="51" t="str">
        <f aca="false">IF(Trends!$B$6&lt;&gt;"","",IF(COUNTIFS(VendorGroups[Source rank],3)=1,3,""))</f>
        <v/>
      </c>
      <c r="B10" s="52" t="str">
        <f aca="false">IF(Trends!$B$6&lt;&gt;"","",IF(COUNTIFS(VendorGroups[Source rank],3)=1,IF(INDEX(VendorGroups[Source URL],MATCH(3,VendorGroups[Source rank],0))="",INDEX(VendorGroups[Source name],MATCH(3,VendorGroups[Source rank],0)),HYPERLINK(INDEX(VendorGroups[Source URL],MATCH(3,VendorGroups[Source rank],0)),INDEX(VendorGroups[Source name],MATCH(3,VendorGroups[Source rank],0)))),""))</f>
        <v/>
      </c>
      <c r="C10" s="53" t="str">
        <f aca="false">IF(Trends!$B$6&lt;&gt;"","",IF(COUNTIFS(VendorGroups[Source rank],3)=1,IF(INDEX(VendorGroups[Source UEI],MATCH(3,VendorGroups[Source rank],0))="","Not supplied",INDEX(VendorGroups[Source UEI],MATCH(3,VendorGroups[Source rank],0))),""))</f>
        <v/>
      </c>
      <c r="D10" s="54" t="str">
        <f aca="false">IF(Trends!$B$6&lt;&gt;"","",IF(COUNTIFS(VendorGroups[Source rank],3)=1,INDEX(VendorGroups[Source net],MATCH(3,VendorGroups[Source rank],0)),""))</f>
        <v/>
      </c>
      <c r="E10" s="54" t="str">
        <f aca="false">IF(Trends!$B$6&lt;&gt;"","",IF(COUNTIFS(VendorGroups[Source rank],3)=1,INDEX(VendorGroups[Source deobligations],MATCH(3,VendorGroups[Source rank],0)),""))</f>
        <v/>
      </c>
      <c r="F10" s="55" t="str">
        <f aca="false">IF(Trends!$B$6&lt;&gt;"","",IF(COUNTIFS(VendorGroups[Source rank],3)=1,INDEX(VendorGroups[Source awards],MATCH(3,VendorGroups[Source rank],0)),""))</f>
        <v/>
      </c>
      <c r="G10" s="55" t="str">
        <f aca="false">IF(Trends!$B$6&lt;&gt;"","",IF(COUNTIFS(VendorGroups[Source rank],3)=1,INDEX(VendorGroups[Source actions],MATCH(3,VendorGroups[Source rank],0)),""))</f>
        <v/>
      </c>
      <c r="H10" s="56"/>
      <c r="I10" s="56"/>
      <c r="J10" s="56"/>
      <c r="K10" s="56"/>
      <c r="L10" s="55" t="str">
        <f aca="false">IF(H10="","",I10&amp;IF(J10="",""," ["&amp;J10&amp;"]"))</f>
        <v/>
      </c>
      <c r="M10" s="54" t="str">
        <f aca="false">IF(H10="","",SUMIFS(TransactionsData[Obligations],TransactionsData[Vendor ID],H10,TransactionsData[Selected],1))</f>
        <v/>
      </c>
      <c r="N10" s="54" t="str">
        <f aca="false">IF(H10="","",SUMIFS(TransactionsData[Deobligations],TransactionsData[Vendor ID],H10,TransactionsData[Selected],1))</f>
        <v/>
      </c>
      <c r="O10" s="55" t="str">
        <f aca="false">IF(H10="","",SUMIFS(TransactionsData[First vendor award],TransactionsData[Vendor ID],H10))</f>
        <v/>
      </c>
      <c r="P10" s="55" t="str">
        <f aca="false">IF(H10="","",COUNTIFS(TransactionsData[Vendor ID],H10,TransactionsData[Selected],1))</f>
        <v/>
      </c>
      <c r="Q10" s="55" t="str">
        <f aca="false">IF(OR(H10="",P10=0),"",COUNTIFS(VendorGroups[Source net],"&gt;"&amp;M10,VendorGroups[Source actions],"&gt;0")+COUNTIFS(VendorGroups[Source net],M10,VendorGroups[Record ID],"&lt;"&amp;H10,VendorGroups[Source actions],"&gt;0")+1)</f>
        <v/>
      </c>
      <c r="R10" s="55" t="str">
        <f aca="false">IF(H10="",IF(COUNTA(I10:K10)&gt;0,"Missing record ID",""),IF(COUNTIFS(VendorGroups[Record ID],H10)&lt;&gt;1,"Duplicate record ID",IF(I10="","Add name","")))</f>
        <v/>
      </c>
    </row>
    <row r="11" customFormat="false" ht="32" hidden="false" customHeight="true" outlineLevel="0" collapsed="false">
      <c r="A11" s="51" t="str">
        <f aca="false">IF(Trends!$B$6&lt;&gt;"","",IF(COUNTIFS(VendorGroups[Source rank],4)=1,4,""))</f>
        <v/>
      </c>
      <c r="B11" s="52" t="str">
        <f aca="false">IF(Trends!$B$6&lt;&gt;"","",IF(COUNTIFS(VendorGroups[Source rank],4)=1,IF(INDEX(VendorGroups[Source URL],MATCH(4,VendorGroups[Source rank],0))="",INDEX(VendorGroups[Source name],MATCH(4,VendorGroups[Source rank],0)),HYPERLINK(INDEX(VendorGroups[Source URL],MATCH(4,VendorGroups[Source rank],0)),INDEX(VendorGroups[Source name],MATCH(4,VendorGroups[Source rank],0)))),""))</f>
        <v/>
      </c>
      <c r="C11" s="53" t="str">
        <f aca="false">IF(Trends!$B$6&lt;&gt;"","",IF(COUNTIFS(VendorGroups[Source rank],4)=1,IF(INDEX(VendorGroups[Source UEI],MATCH(4,VendorGroups[Source rank],0))="","Not supplied",INDEX(VendorGroups[Source UEI],MATCH(4,VendorGroups[Source rank],0))),""))</f>
        <v/>
      </c>
      <c r="D11" s="54" t="str">
        <f aca="false">IF(Trends!$B$6&lt;&gt;"","",IF(COUNTIFS(VendorGroups[Source rank],4)=1,INDEX(VendorGroups[Source net],MATCH(4,VendorGroups[Source rank],0)),""))</f>
        <v/>
      </c>
      <c r="E11" s="54" t="str">
        <f aca="false">IF(Trends!$B$6&lt;&gt;"","",IF(COUNTIFS(VendorGroups[Source rank],4)=1,INDEX(VendorGroups[Source deobligations],MATCH(4,VendorGroups[Source rank],0)),""))</f>
        <v/>
      </c>
      <c r="F11" s="55" t="str">
        <f aca="false">IF(Trends!$B$6&lt;&gt;"","",IF(COUNTIFS(VendorGroups[Source rank],4)=1,INDEX(VendorGroups[Source awards],MATCH(4,VendorGroups[Source rank],0)),""))</f>
        <v/>
      </c>
      <c r="G11" s="55" t="str">
        <f aca="false">IF(Trends!$B$6&lt;&gt;"","",IF(COUNTIFS(VendorGroups[Source rank],4)=1,INDEX(VendorGroups[Source actions],MATCH(4,VendorGroups[Source rank],0)),""))</f>
        <v/>
      </c>
      <c r="H11" s="56"/>
      <c r="I11" s="56"/>
      <c r="J11" s="56"/>
      <c r="K11" s="56"/>
      <c r="L11" s="55" t="str">
        <f aca="false">IF(H11="","",I11&amp;IF(J11="",""," ["&amp;J11&amp;"]"))</f>
        <v/>
      </c>
      <c r="M11" s="54" t="str">
        <f aca="false">IF(H11="","",SUMIFS(TransactionsData[Obligations],TransactionsData[Vendor ID],H11,TransactionsData[Selected],1))</f>
        <v/>
      </c>
      <c r="N11" s="54" t="str">
        <f aca="false">IF(H11="","",SUMIFS(TransactionsData[Deobligations],TransactionsData[Vendor ID],H11,TransactionsData[Selected],1))</f>
        <v/>
      </c>
      <c r="O11" s="55" t="str">
        <f aca="false">IF(H11="","",SUMIFS(TransactionsData[First vendor award],TransactionsData[Vendor ID],H11))</f>
        <v/>
      </c>
      <c r="P11" s="55" t="str">
        <f aca="false">IF(H11="","",COUNTIFS(TransactionsData[Vendor ID],H11,TransactionsData[Selected],1))</f>
        <v/>
      </c>
      <c r="Q11" s="55" t="str">
        <f aca="false">IF(OR(H11="",P11=0),"",COUNTIFS(VendorGroups[Source net],"&gt;"&amp;M11,VendorGroups[Source actions],"&gt;0")+COUNTIFS(VendorGroups[Source net],M11,VendorGroups[Record ID],"&lt;"&amp;H11,VendorGroups[Source actions],"&gt;0")+1)</f>
        <v/>
      </c>
      <c r="R11" s="55" t="str">
        <f aca="false">IF(H11="",IF(COUNTA(I11:K11)&gt;0,"Missing record ID",""),IF(COUNTIFS(VendorGroups[Record ID],H11)&lt;&gt;1,"Duplicate record ID",IF(I11="","Add name","")))</f>
        <v/>
      </c>
    </row>
    <row r="12" customFormat="false" ht="32" hidden="false" customHeight="true" outlineLevel="0" collapsed="false">
      <c r="A12" s="51" t="str">
        <f aca="false">IF(Trends!$B$6&lt;&gt;"","",IF(COUNTIFS(VendorGroups[Source rank],5)=1,5,""))</f>
        <v/>
      </c>
      <c r="B12" s="52" t="str">
        <f aca="false">IF(Trends!$B$6&lt;&gt;"","",IF(COUNTIFS(VendorGroups[Source rank],5)=1,IF(INDEX(VendorGroups[Source URL],MATCH(5,VendorGroups[Source rank],0))="",INDEX(VendorGroups[Source name],MATCH(5,VendorGroups[Source rank],0)),HYPERLINK(INDEX(VendorGroups[Source URL],MATCH(5,VendorGroups[Source rank],0)),INDEX(VendorGroups[Source name],MATCH(5,VendorGroups[Source rank],0)))),""))</f>
        <v/>
      </c>
      <c r="C12" s="53" t="str">
        <f aca="false">IF(Trends!$B$6&lt;&gt;"","",IF(COUNTIFS(VendorGroups[Source rank],5)=1,IF(INDEX(VendorGroups[Source UEI],MATCH(5,VendorGroups[Source rank],0))="","Not supplied",INDEX(VendorGroups[Source UEI],MATCH(5,VendorGroups[Source rank],0))),""))</f>
        <v/>
      </c>
      <c r="D12" s="54" t="str">
        <f aca="false">IF(Trends!$B$6&lt;&gt;"","",IF(COUNTIFS(VendorGroups[Source rank],5)=1,INDEX(VendorGroups[Source net],MATCH(5,VendorGroups[Source rank],0)),""))</f>
        <v/>
      </c>
      <c r="E12" s="54" t="str">
        <f aca="false">IF(Trends!$B$6&lt;&gt;"","",IF(COUNTIFS(VendorGroups[Source rank],5)=1,INDEX(VendorGroups[Source deobligations],MATCH(5,VendorGroups[Source rank],0)),""))</f>
        <v/>
      </c>
      <c r="F12" s="55" t="str">
        <f aca="false">IF(Trends!$B$6&lt;&gt;"","",IF(COUNTIFS(VendorGroups[Source rank],5)=1,INDEX(VendorGroups[Source awards],MATCH(5,VendorGroups[Source rank],0)),""))</f>
        <v/>
      </c>
      <c r="G12" s="55" t="str">
        <f aca="false">IF(Trends!$B$6&lt;&gt;"","",IF(COUNTIFS(VendorGroups[Source rank],5)=1,INDEX(VendorGroups[Source actions],MATCH(5,VendorGroups[Source rank],0)),""))</f>
        <v/>
      </c>
      <c r="H12" s="56"/>
      <c r="I12" s="56"/>
      <c r="J12" s="56"/>
      <c r="K12" s="56"/>
      <c r="L12" s="55" t="str">
        <f aca="false">IF(H12="","",I12&amp;IF(J12="",""," ["&amp;J12&amp;"]"))</f>
        <v/>
      </c>
      <c r="M12" s="54" t="str">
        <f aca="false">IF(H12="","",SUMIFS(TransactionsData[Obligations],TransactionsData[Vendor ID],H12,TransactionsData[Selected],1))</f>
        <v/>
      </c>
      <c r="N12" s="54" t="str">
        <f aca="false">IF(H12="","",SUMIFS(TransactionsData[Deobligations],TransactionsData[Vendor ID],H12,TransactionsData[Selected],1))</f>
        <v/>
      </c>
      <c r="O12" s="55" t="str">
        <f aca="false">IF(H12="","",SUMIFS(TransactionsData[First vendor award],TransactionsData[Vendor ID],H12))</f>
        <v/>
      </c>
      <c r="P12" s="55" t="str">
        <f aca="false">IF(H12="","",COUNTIFS(TransactionsData[Vendor ID],H12,TransactionsData[Selected],1))</f>
        <v/>
      </c>
      <c r="Q12" s="55" t="str">
        <f aca="false">IF(OR(H12="",P12=0),"",COUNTIFS(VendorGroups[Source net],"&gt;"&amp;M12,VendorGroups[Source actions],"&gt;0")+COUNTIFS(VendorGroups[Source net],M12,VendorGroups[Record ID],"&lt;"&amp;H12,VendorGroups[Source actions],"&gt;0")+1)</f>
        <v/>
      </c>
      <c r="R12" s="55" t="str">
        <f aca="false">IF(H12="",IF(COUNTA(I12:K12)&gt;0,"Missing record ID",""),IF(COUNTIFS(VendorGroups[Record ID],H12)&lt;&gt;1,"Duplicate record ID",IF(I12="","Add name","")))</f>
        <v/>
      </c>
    </row>
    <row r="13" customFormat="false" ht="32" hidden="false" customHeight="true" outlineLevel="0" collapsed="false">
      <c r="A13" s="51" t="str">
        <f aca="false">IF(Trends!$B$6&lt;&gt;"","",IF(COUNTIFS(VendorGroups[Source rank],6)=1,6,""))</f>
        <v/>
      </c>
      <c r="B13" s="52" t="str">
        <f aca="false">IF(Trends!$B$6&lt;&gt;"","",IF(COUNTIFS(VendorGroups[Source rank],6)=1,IF(INDEX(VendorGroups[Source URL],MATCH(6,VendorGroups[Source rank],0))="",INDEX(VendorGroups[Source name],MATCH(6,VendorGroups[Source rank],0)),HYPERLINK(INDEX(VendorGroups[Source URL],MATCH(6,VendorGroups[Source rank],0)),INDEX(VendorGroups[Source name],MATCH(6,VendorGroups[Source rank],0)))),""))</f>
        <v/>
      </c>
      <c r="C13" s="53" t="str">
        <f aca="false">IF(Trends!$B$6&lt;&gt;"","",IF(COUNTIFS(VendorGroups[Source rank],6)=1,IF(INDEX(VendorGroups[Source UEI],MATCH(6,VendorGroups[Source rank],0))="","Not supplied",INDEX(VendorGroups[Source UEI],MATCH(6,VendorGroups[Source rank],0))),""))</f>
        <v/>
      </c>
      <c r="D13" s="54" t="str">
        <f aca="false">IF(Trends!$B$6&lt;&gt;"","",IF(COUNTIFS(VendorGroups[Source rank],6)=1,INDEX(VendorGroups[Source net],MATCH(6,VendorGroups[Source rank],0)),""))</f>
        <v/>
      </c>
      <c r="E13" s="54" t="str">
        <f aca="false">IF(Trends!$B$6&lt;&gt;"","",IF(COUNTIFS(VendorGroups[Source rank],6)=1,INDEX(VendorGroups[Source deobligations],MATCH(6,VendorGroups[Source rank],0)),""))</f>
        <v/>
      </c>
      <c r="F13" s="55" t="str">
        <f aca="false">IF(Trends!$B$6&lt;&gt;"","",IF(COUNTIFS(VendorGroups[Source rank],6)=1,INDEX(VendorGroups[Source awards],MATCH(6,VendorGroups[Source rank],0)),""))</f>
        <v/>
      </c>
      <c r="G13" s="55" t="str">
        <f aca="false">IF(Trends!$B$6&lt;&gt;"","",IF(COUNTIFS(VendorGroups[Source rank],6)=1,INDEX(VendorGroups[Source actions],MATCH(6,VendorGroups[Source rank],0)),""))</f>
        <v/>
      </c>
      <c r="H13" s="56"/>
      <c r="I13" s="56"/>
      <c r="J13" s="56"/>
      <c r="K13" s="56"/>
      <c r="L13" s="55" t="str">
        <f aca="false">IF(H13="","",I13&amp;IF(J13="",""," ["&amp;J13&amp;"]"))</f>
        <v/>
      </c>
      <c r="M13" s="54" t="str">
        <f aca="false">IF(H13="","",SUMIFS(TransactionsData[Obligations],TransactionsData[Vendor ID],H13,TransactionsData[Selected],1))</f>
        <v/>
      </c>
      <c r="N13" s="54" t="str">
        <f aca="false">IF(H13="","",SUMIFS(TransactionsData[Deobligations],TransactionsData[Vendor ID],H13,TransactionsData[Selected],1))</f>
        <v/>
      </c>
      <c r="O13" s="55" t="str">
        <f aca="false">IF(H13="","",SUMIFS(TransactionsData[First vendor award],TransactionsData[Vendor ID],H13))</f>
        <v/>
      </c>
      <c r="P13" s="55" t="str">
        <f aca="false">IF(H13="","",COUNTIFS(TransactionsData[Vendor ID],H13,TransactionsData[Selected],1))</f>
        <v/>
      </c>
      <c r="Q13" s="55" t="str">
        <f aca="false">IF(OR(H13="",P13=0),"",COUNTIFS(VendorGroups[Source net],"&gt;"&amp;M13,VendorGroups[Source actions],"&gt;0")+COUNTIFS(VendorGroups[Source net],M13,VendorGroups[Record ID],"&lt;"&amp;H13,VendorGroups[Source actions],"&gt;0")+1)</f>
        <v/>
      </c>
      <c r="R13" s="55" t="str">
        <f aca="false">IF(H13="",IF(COUNTA(I13:K13)&gt;0,"Missing record ID",""),IF(COUNTIFS(VendorGroups[Record ID],H13)&lt;&gt;1,"Duplicate record ID",IF(I13="","Add name","")))</f>
        <v/>
      </c>
    </row>
    <row r="14" customFormat="false" ht="32" hidden="false" customHeight="true" outlineLevel="0" collapsed="false">
      <c r="A14" s="51" t="str">
        <f aca="false">IF(Trends!$B$6&lt;&gt;"","",IF(COUNTIFS(VendorGroups[Source rank],7)=1,7,""))</f>
        <v/>
      </c>
      <c r="B14" s="52" t="str">
        <f aca="false">IF(Trends!$B$6&lt;&gt;"","",IF(COUNTIFS(VendorGroups[Source rank],7)=1,IF(INDEX(VendorGroups[Source URL],MATCH(7,VendorGroups[Source rank],0))="",INDEX(VendorGroups[Source name],MATCH(7,VendorGroups[Source rank],0)),HYPERLINK(INDEX(VendorGroups[Source URL],MATCH(7,VendorGroups[Source rank],0)),INDEX(VendorGroups[Source name],MATCH(7,VendorGroups[Source rank],0)))),""))</f>
        <v/>
      </c>
      <c r="C14" s="53" t="str">
        <f aca="false">IF(Trends!$B$6&lt;&gt;"","",IF(COUNTIFS(VendorGroups[Source rank],7)=1,IF(INDEX(VendorGroups[Source UEI],MATCH(7,VendorGroups[Source rank],0))="","Not supplied",INDEX(VendorGroups[Source UEI],MATCH(7,VendorGroups[Source rank],0))),""))</f>
        <v/>
      </c>
      <c r="D14" s="54" t="str">
        <f aca="false">IF(Trends!$B$6&lt;&gt;"","",IF(COUNTIFS(VendorGroups[Source rank],7)=1,INDEX(VendorGroups[Source net],MATCH(7,VendorGroups[Source rank],0)),""))</f>
        <v/>
      </c>
      <c r="E14" s="54" t="str">
        <f aca="false">IF(Trends!$B$6&lt;&gt;"","",IF(COUNTIFS(VendorGroups[Source rank],7)=1,INDEX(VendorGroups[Source deobligations],MATCH(7,VendorGroups[Source rank],0)),""))</f>
        <v/>
      </c>
      <c r="F14" s="55" t="str">
        <f aca="false">IF(Trends!$B$6&lt;&gt;"","",IF(COUNTIFS(VendorGroups[Source rank],7)=1,INDEX(VendorGroups[Source awards],MATCH(7,VendorGroups[Source rank],0)),""))</f>
        <v/>
      </c>
      <c r="G14" s="55" t="str">
        <f aca="false">IF(Trends!$B$6&lt;&gt;"","",IF(COUNTIFS(VendorGroups[Source rank],7)=1,INDEX(VendorGroups[Source actions],MATCH(7,VendorGroups[Source rank],0)),""))</f>
        <v/>
      </c>
      <c r="H14" s="56"/>
      <c r="I14" s="56"/>
      <c r="J14" s="56"/>
      <c r="K14" s="56"/>
      <c r="L14" s="55" t="str">
        <f aca="false">IF(H14="","",I14&amp;IF(J14="",""," ["&amp;J14&amp;"]"))</f>
        <v/>
      </c>
      <c r="M14" s="54" t="str">
        <f aca="false">IF(H14="","",SUMIFS(TransactionsData[Obligations],TransactionsData[Vendor ID],H14,TransactionsData[Selected],1))</f>
        <v/>
      </c>
      <c r="N14" s="54" t="str">
        <f aca="false">IF(H14="","",SUMIFS(TransactionsData[Deobligations],TransactionsData[Vendor ID],H14,TransactionsData[Selected],1))</f>
        <v/>
      </c>
      <c r="O14" s="55" t="str">
        <f aca="false">IF(H14="","",SUMIFS(TransactionsData[First vendor award],TransactionsData[Vendor ID],H14))</f>
        <v/>
      </c>
      <c r="P14" s="55" t="str">
        <f aca="false">IF(H14="","",COUNTIFS(TransactionsData[Vendor ID],H14,TransactionsData[Selected],1))</f>
        <v/>
      </c>
      <c r="Q14" s="55" t="str">
        <f aca="false">IF(OR(H14="",P14=0),"",COUNTIFS(VendorGroups[Source net],"&gt;"&amp;M14,VendorGroups[Source actions],"&gt;0")+COUNTIFS(VendorGroups[Source net],M14,VendorGroups[Record ID],"&lt;"&amp;H14,VendorGroups[Source actions],"&gt;0")+1)</f>
        <v/>
      </c>
      <c r="R14" s="55" t="str">
        <f aca="false">IF(H14="",IF(COUNTA(I14:K14)&gt;0,"Missing record ID",""),IF(COUNTIFS(VendorGroups[Record ID],H14)&lt;&gt;1,"Duplicate record ID",IF(I14="","Add name","")))</f>
        <v/>
      </c>
    </row>
    <row r="15" customFormat="false" ht="32" hidden="false" customHeight="true" outlineLevel="0" collapsed="false">
      <c r="A15" s="51" t="str">
        <f aca="false">IF(Trends!$B$6&lt;&gt;"","",IF(COUNTIFS(VendorGroups[Source rank],8)=1,8,""))</f>
        <v/>
      </c>
      <c r="B15" s="52" t="str">
        <f aca="false">IF(Trends!$B$6&lt;&gt;"","",IF(COUNTIFS(VendorGroups[Source rank],8)=1,IF(INDEX(VendorGroups[Source URL],MATCH(8,VendorGroups[Source rank],0))="",INDEX(VendorGroups[Source name],MATCH(8,VendorGroups[Source rank],0)),HYPERLINK(INDEX(VendorGroups[Source URL],MATCH(8,VendorGroups[Source rank],0)),INDEX(VendorGroups[Source name],MATCH(8,VendorGroups[Source rank],0)))),""))</f>
        <v/>
      </c>
      <c r="C15" s="53" t="str">
        <f aca="false">IF(Trends!$B$6&lt;&gt;"","",IF(COUNTIFS(VendorGroups[Source rank],8)=1,IF(INDEX(VendorGroups[Source UEI],MATCH(8,VendorGroups[Source rank],0))="","Not supplied",INDEX(VendorGroups[Source UEI],MATCH(8,VendorGroups[Source rank],0))),""))</f>
        <v/>
      </c>
      <c r="D15" s="54" t="str">
        <f aca="false">IF(Trends!$B$6&lt;&gt;"","",IF(COUNTIFS(VendorGroups[Source rank],8)=1,INDEX(VendorGroups[Source net],MATCH(8,VendorGroups[Source rank],0)),""))</f>
        <v/>
      </c>
      <c r="E15" s="54" t="str">
        <f aca="false">IF(Trends!$B$6&lt;&gt;"","",IF(COUNTIFS(VendorGroups[Source rank],8)=1,INDEX(VendorGroups[Source deobligations],MATCH(8,VendorGroups[Source rank],0)),""))</f>
        <v/>
      </c>
      <c r="F15" s="55" t="str">
        <f aca="false">IF(Trends!$B$6&lt;&gt;"","",IF(COUNTIFS(VendorGroups[Source rank],8)=1,INDEX(VendorGroups[Source awards],MATCH(8,VendorGroups[Source rank],0)),""))</f>
        <v/>
      </c>
      <c r="G15" s="55" t="str">
        <f aca="false">IF(Trends!$B$6&lt;&gt;"","",IF(COUNTIFS(VendorGroups[Source rank],8)=1,INDEX(VendorGroups[Source actions],MATCH(8,VendorGroups[Source rank],0)),""))</f>
        <v/>
      </c>
      <c r="H15" s="56"/>
      <c r="I15" s="56"/>
      <c r="J15" s="56"/>
      <c r="K15" s="56"/>
      <c r="L15" s="55" t="str">
        <f aca="false">IF(H15="","",I15&amp;IF(J15="",""," ["&amp;J15&amp;"]"))</f>
        <v/>
      </c>
      <c r="M15" s="54" t="str">
        <f aca="false">IF(H15="","",SUMIFS(TransactionsData[Obligations],TransactionsData[Vendor ID],H15,TransactionsData[Selected],1))</f>
        <v/>
      </c>
      <c r="N15" s="54" t="str">
        <f aca="false">IF(H15="","",SUMIFS(TransactionsData[Deobligations],TransactionsData[Vendor ID],H15,TransactionsData[Selected],1))</f>
        <v/>
      </c>
      <c r="O15" s="55" t="str">
        <f aca="false">IF(H15="","",SUMIFS(TransactionsData[First vendor award],TransactionsData[Vendor ID],H15))</f>
        <v/>
      </c>
      <c r="P15" s="55" t="str">
        <f aca="false">IF(H15="","",COUNTIFS(TransactionsData[Vendor ID],H15,TransactionsData[Selected],1))</f>
        <v/>
      </c>
      <c r="Q15" s="55" t="str">
        <f aca="false">IF(OR(H15="",P15=0),"",COUNTIFS(VendorGroups[Source net],"&gt;"&amp;M15,VendorGroups[Source actions],"&gt;0")+COUNTIFS(VendorGroups[Source net],M15,VendorGroups[Record ID],"&lt;"&amp;H15,VendorGroups[Source actions],"&gt;0")+1)</f>
        <v/>
      </c>
      <c r="R15" s="55" t="str">
        <f aca="false">IF(H15="",IF(COUNTA(I15:K15)&gt;0,"Missing record ID",""),IF(COUNTIFS(VendorGroups[Record ID],H15)&lt;&gt;1,"Duplicate record ID",IF(I15="","Add name","")))</f>
        <v/>
      </c>
    </row>
    <row r="16" customFormat="false" ht="32" hidden="false" customHeight="true" outlineLevel="0" collapsed="false">
      <c r="A16" s="51" t="str">
        <f aca="false">IF(Trends!$B$6&lt;&gt;"","",IF(COUNTIFS(VendorGroups[Source rank],9)=1,9,""))</f>
        <v/>
      </c>
      <c r="B16" s="52" t="str">
        <f aca="false">IF(Trends!$B$6&lt;&gt;"","",IF(COUNTIFS(VendorGroups[Source rank],9)=1,IF(INDEX(VendorGroups[Source URL],MATCH(9,VendorGroups[Source rank],0))="",INDEX(VendorGroups[Source name],MATCH(9,VendorGroups[Source rank],0)),HYPERLINK(INDEX(VendorGroups[Source URL],MATCH(9,VendorGroups[Source rank],0)),INDEX(VendorGroups[Source name],MATCH(9,VendorGroups[Source rank],0)))),""))</f>
        <v/>
      </c>
      <c r="C16" s="53" t="str">
        <f aca="false">IF(Trends!$B$6&lt;&gt;"","",IF(COUNTIFS(VendorGroups[Source rank],9)=1,IF(INDEX(VendorGroups[Source UEI],MATCH(9,VendorGroups[Source rank],0))="","Not supplied",INDEX(VendorGroups[Source UEI],MATCH(9,VendorGroups[Source rank],0))),""))</f>
        <v/>
      </c>
      <c r="D16" s="54" t="str">
        <f aca="false">IF(Trends!$B$6&lt;&gt;"","",IF(COUNTIFS(VendorGroups[Source rank],9)=1,INDEX(VendorGroups[Source net],MATCH(9,VendorGroups[Source rank],0)),""))</f>
        <v/>
      </c>
      <c r="E16" s="54" t="str">
        <f aca="false">IF(Trends!$B$6&lt;&gt;"","",IF(COUNTIFS(VendorGroups[Source rank],9)=1,INDEX(VendorGroups[Source deobligations],MATCH(9,VendorGroups[Source rank],0)),""))</f>
        <v/>
      </c>
      <c r="F16" s="55" t="str">
        <f aca="false">IF(Trends!$B$6&lt;&gt;"","",IF(COUNTIFS(VendorGroups[Source rank],9)=1,INDEX(VendorGroups[Source awards],MATCH(9,VendorGroups[Source rank],0)),""))</f>
        <v/>
      </c>
      <c r="G16" s="55" t="str">
        <f aca="false">IF(Trends!$B$6&lt;&gt;"","",IF(COUNTIFS(VendorGroups[Source rank],9)=1,INDEX(VendorGroups[Source actions],MATCH(9,VendorGroups[Source rank],0)),""))</f>
        <v/>
      </c>
      <c r="H16" s="56"/>
      <c r="I16" s="56"/>
      <c r="J16" s="56"/>
      <c r="K16" s="56"/>
      <c r="L16" s="55" t="str">
        <f aca="false">IF(H16="","",I16&amp;IF(J16="",""," ["&amp;J16&amp;"]"))</f>
        <v/>
      </c>
      <c r="M16" s="54" t="str">
        <f aca="false">IF(H16="","",SUMIFS(TransactionsData[Obligations],TransactionsData[Vendor ID],H16,TransactionsData[Selected],1))</f>
        <v/>
      </c>
      <c r="N16" s="54" t="str">
        <f aca="false">IF(H16="","",SUMIFS(TransactionsData[Deobligations],TransactionsData[Vendor ID],H16,TransactionsData[Selected],1))</f>
        <v/>
      </c>
      <c r="O16" s="55" t="str">
        <f aca="false">IF(H16="","",SUMIFS(TransactionsData[First vendor award],TransactionsData[Vendor ID],H16))</f>
        <v/>
      </c>
      <c r="P16" s="55" t="str">
        <f aca="false">IF(H16="","",COUNTIFS(TransactionsData[Vendor ID],H16,TransactionsData[Selected],1))</f>
        <v/>
      </c>
      <c r="Q16" s="55" t="str">
        <f aca="false">IF(OR(H16="",P16=0),"",COUNTIFS(VendorGroups[Source net],"&gt;"&amp;M16,VendorGroups[Source actions],"&gt;0")+COUNTIFS(VendorGroups[Source net],M16,VendorGroups[Record ID],"&lt;"&amp;H16,VendorGroups[Source actions],"&gt;0")+1)</f>
        <v/>
      </c>
      <c r="R16" s="55" t="str">
        <f aca="false">IF(H16="",IF(COUNTA(I16:K16)&gt;0,"Missing record ID",""),IF(COUNTIFS(VendorGroups[Record ID],H16)&lt;&gt;1,"Duplicate record ID",IF(I16="","Add name","")))</f>
        <v/>
      </c>
    </row>
    <row r="17" customFormat="false" ht="32" hidden="false" customHeight="true" outlineLevel="0" collapsed="false">
      <c r="A17" s="51" t="str">
        <f aca="false">IF(Trends!$B$6&lt;&gt;"","",IF(COUNTIFS(VendorGroups[Source rank],10)=1,10,""))</f>
        <v/>
      </c>
      <c r="B17" s="52" t="str">
        <f aca="false">IF(Trends!$B$6&lt;&gt;"","",IF(COUNTIFS(VendorGroups[Source rank],10)=1,IF(INDEX(VendorGroups[Source URL],MATCH(10,VendorGroups[Source rank],0))="",INDEX(VendorGroups[Source name],MATCH(10,VendorGroups[Source rank],0)),HYPERLINK(INDEX(VendorGroups[Source URL],MATCH(10,VendorGroups[Source rank],0)),INDEX(VendorGroups[Source name],MATCH(10,VendorGroups[Source rank],0)))),""))</f>
        <v/>
      </c>
      <c r="C17" s="53" t="str">
        <f aca="false">IF(Trends!$B$6&lt;&gt;"","",IF(COUNTIFS(VendorGroups[Source rank],10)=1,IF(INDEX(VendorGroups[Source UEI],MATCH(10,VendorGroups[Source rank],0))="","Not supplied",INDEX(VendorGroups[Source UEI],MATCH(10,VendorGroups[Source rank],0))),""))</f>
        <v/>
      </c>
      <c r="D17" s="54" t="str">
        <f aca="false">IF(Trends!$B$6&lt;&gt;"","",IF(COUNTIFS(VendorGroups[Source rank],10)=1,INDEX(VendorGroups[Source net],MATCH(10,VendorGroups[Source rank],0)),""))</f>
        <v/>
      </c>
      <c r="E17" s="54" t="str">
        <f aca="false">IF(Trends!$B$6&lt;&gt;"","",IF(COUNTIFS(VendorGroups[Source rank],10)=1,INDEX(VendorGroups[Source deobligations],MATCH(10,VendorGroups[Source rank],0)),""))</f>
        <v/>
      </c>
      <c r="F17" s="55" t="str">
        <f aca="false">IF(Trends!$B$6&lt;&gt;"","",IF(COUNTIFS(VendorGroups[Source rank],10)=1,INDEX(VendorGroups[Source awards],MATCH(10,VendorGroups[Source rank],0)),""))</f>
        <v/>
      </c>
      <c r="G17" s="55" t="str">
        <f aca="false">IF(Trends!$B$6&lt;&gt;"","",IF(COUNTIFS(VendorGroups[Source rank],10)=1,INDEX(VendorGroups[Source actions],MATCH(10,VendorGroups[Source rank],0)),""))</f>
        <v/>
      </c>
      <c r="H17" s="56"/>
      <c r="I17" s="56"/>
      <c r="J17" s="56"/>
      <c r="K17" s="56"/>
      <c r="L17" s="55" t="str">
        <f aca="false">IF(H17="","",I17&amp;IF(J17="",""," ["&amp;J17&amp;"]"))</f>
        <v/>
      </c>
      <c r="M17" s="54" t="str">
        <f aca="false">IF(H17="","",SUMIFS(TransactionsData[Obligations],TransactionsData[Vendor ID],H17,TransactionsData[Selected],1))</f>
        <v/>
      </c>
      <c r="N17" s="54" t="str">
        <f aca="false">IF(H17="","",SUMIFS(TransactionsData[Deobligations],TransactionsData[Vendor ID],H17,TransactionsData[Selected],1))</f>
        <v/>
      </c>
      <c r="O17" s="55" t="str">
        <f aca="false">IF(H17="","",SUMIFS(TransactionsData[First vendor award],TransactionsData[Vendor ID],H17))</f>
        <v/>
      </c>
      <c r="P17" s="55" t="str">
        <f aca="false">IF(H17="","",COUNTIFS(TransactionsData[Vendor ID],H17,TransactionsData[Selected],1))</f>
        <v/>
      </c>
      <c r="Q17" s="55" t="str">
        <f aca="false">IF(OR(H17="",P17=0),"",COUNTIFS(VendorGroups[Source net],"&gt;"&amp;M17,VendorGroups[Source actions],"&gt;0")+COUNTIFS(VendorGroups[Source net],M17,VendorGroups[Record ID],"&lt;"&amp;H17,VendorGroups[Source actions],"&gt;0")+1)</f>
        <v/>
      </c>
      <c r="R17" s="55" t="str">
        <f aca="false">IF(H17="",IF(COUNTA(I17:K17)&gt;0,"Missing record ID",""),IF(COUNTIFS(VendorGroups[Record ID],H17)&lt;&gt;1,"Duplicate record ID",IF(I17="","Add name","")))</f>
        <v/>
      </c>
    </row>
    <row r="18" customFormat="false" ht="32" hidden="false" customHeight="true" outlineLevel="0" collapsed="false">
      <c r="A18" s="51" t="str">
        <f aca="false">IF(Trends!$B$6&lt;&gt;"","",IF(COUNTIFS(VendorGroups[Source rank],11)=1,11,""))</f>
        <v/>
      </c>
      <c r="B18" s="52" t="str">
        <f aca="false">IF(Trends!$B$6&lt;&gt;"","",IF(COUNTIFS(VendorGroups[Source rank],11)=1,IF(INDEX(VendorGroups[Source URL],MATCH(11,VendorGroups[Source rank],0))="",INDEX(VendorGroups[Source name],MATCH(11,VendorGroups[Source rank],0)),HYPERLINK(INDEX(VendorGroups[Source URL],MATCH(11,VendorGroups[Source rank],0)),INDEX(VendorGroups[Source name],MATCH(11,VendorGroups[Source rank],0)))),""))</f>
        <v/>
      </c>
      <c r="C18" s="53" t="str">
        <f aca="false">IF(Trends!$B$6&lt;&gt;"","",IF(COUNTIFS(VendorGroups[Source rank],11)=1,IF(INDEX(VendorGroups[Source UEI],MATCH(11,VendorGroups[Source rank],0))="","Not supplied",INDEX(VendorGroups[Source UEI],MATCH(11,VendorGroups[Source rank],0))),""))</f>
        <v/>
      </c>
      <c r="D18" s="54" t="str">
        <f aca="false">IF(Trends!$B$6&lt;&gt;"","",IF(COUNTIFS(VendorGroups[Source rank],11)=1,INDEX(VendorGroups[Source net],MATCH(11,VendorGroups[Source rank],0)),""))</f>
        <v/>
      </c>
      <c r="E18" s="54" t="str">
        <f aca="false">IF(Trends!$B$6&lt;&gt;"","",IF(COUNTIFS(VendorGroups[Source rank],11)=1,INDEX(VendorGroups[Source deobligations],MATCH(11,VendorGroups[Source rank],0)),""))</f>
        <v/>
      </c>
      <c r="F18" s="55" t="str">
        <f aca="false">IF(Trends!$B$6&lt;&gt;"","",IF(COUNTIFS(VendorGroups[Source rank],11)=1,INDEX(VendorGroups[Source awards],MATCH(11,VendorGroups[Source rank],0)),""))</f>
        <v/>
      </c>
      <c r="G18" s="55" t="str">
        <f aca="false">IF(Trends!$B$6&lt;&gt;"","",IF(COUNTIFS(VendorGroups[Source rank],11)=1,INDEX(VendorGroups[Source actions],MATCH(11,VendorGroups[Source rank],0)),""))</f>
        <v/>
      </c>
      <c r="H18" s="56"/>
      <c r="I18" s="56"/>
      <c r="J18" s="56"/>
      <c r="K18" s="56"/>
      <c r="L18" s="55" t="str">
        <f aca="false">IF(H18="","",I18&amp;IF(J18="",""," ["&amp;J18&amp;"]"))</f>
        <v/>
      </c>
      <c r="M18" s="54" t="str">
        <f aca="false">IF(H18="","",SUMIFS(TransactionsData[Obligations],TransactionsData[Vendor ID],H18,TransactionsData[Selected],1))</f>
        <v/>
      </c>
      <c r="N18" s="54" t="str">
        <f aca="false">IF(H18="","",SUMIFS(TransactionsData[Deobligations],TransactionsData[Vendor ID],H18,TransactionsData[Selected],1))</f>
        <v/>
      </c>
      <c r="O18" s="55" t="str">
        <f aca="false">IF(H18="","",SUMIFS(TransactionsData[First vendor award],TransactionsData[Vendor ID],H18))</f>
        <v/>
      </c>
      <c r="P18" s="55" t="str">
        <f aca="false">IF(H18="","",COUNTIFS(TransactionsData[Vendor ID],H18,TransactionsData[Selected],1))</f>
        <v/>
      </c>
      <c r="Q18" s="55" t="str">
        <f aca="false">IF(OR(H18="",P18=0),"",COUNTIFS(VendorGroups[Source net],"&gt;"&amp;M18,VendorGroups[Source actions],"&gt;0")+COUNTIFS(VendorGroups[Source net],M18,VendorGroups[Record ID],"&lt;"&amp;H18,VendorGroups[Source actions],"&gt;0")+1)</f>
        <v/>
      </c>
      <c r="R18" s="55" t="str">
        <f aca="false">IF(H18="",IF(COUNTA(I18:K18)&gt;0,"Missing record ID",""),IF(COUNTIFS(VendorGroups[Record ID],H18)&lt;&gt;1,"Duplicate record ID",IF(I18="","Add name","")))</f>
        <v/>
      </c>
    </row>
    <row r="19" customFormat="false" ht="32" hidden="false" customHeight="true" outlineLevel="0" collapsed="false">
      <c r="A19" s="51" t="str">
        <f aca="false">IF(Trends!$B$6&lt;&gt;"","",IF(COUNTIFS(VendorGroups[Source rank],12)=1,12,""))</f>
        <v/>
      </c>
      <c r="B19" s="52" t="str">
        <f aca="false">IF(Trends!$B$6&lt;&gt;"","",IF(COUNTIFS(VendorGroups[Source rank],12)=1,IF(INDEX(VendorGroups[Source URL],MATCH(12,VendorGroups[Source rank],0))="",INDEX(VendorGroups[Source name],MATCH(12,VendorGroups[Source rank],0)),HYPERLINK(INDEX(VendorGroups[Source URL],MATCH(12,VendorGroups[Source rank],0)),INDEX(VendorGroups[Source name],MATCH(12,VendorGroups[Source rank],0)))),""))</f>
        <v/>
      </c>
      <c r="C19" s="53" t="str">
        <f aca="false">IF(Trends!$B$6&lt;&gt;"","",IF(COUNTIFS(VendorGroups[Source rank],12)=1,IF(INDEX(VendorGroups[Source UEI],MATCH(12,VendorGroups[Source rank],0))="","Not supplied",INDEX(VendorGroups[Source UEI],MATCH(12,VendorGroups[Source rank],0))),""))</f>
        <v/>
      </c>
      <c r="D19" s="54" t="str">
        <f aca="false">IF(Trends!$B$6&lt;&gt;"","",IF(COUNTIFS(VendorGroups[Source rank],12)=1,INDEX(VendorGroups[Source net],MATCH(12,VendorGroups[Source rank],0)),""))</f>
        <v/>
      </c>
      <c r="E19" s="54" t="str">
        <f aca="false">IF(Trends!$B$6&lt;&gt;"","",IF(COUNTIFS(VendorGroups[Source rank],12)=1,INDEX(VendorGroups[Source deobligations],MATCH(12,VendorGroups[Source rank],0)),""))</f>
        <v/>
      </c>
      <c r="F19" s="55" t="str">
        <f aca="false">IF(Trends!$B$6&lt;&gt;"","",IF(COUNTIFS(VendorGroups[Source rank],12)=1,INDEX(VendorGroups[Source awards],MATCH(12,VendorGroups[Source rank],0)),""))</f>
        <v/>
      </c>
      <c r="G19" s="55" t="str">
        <f aca="false">IF(Trends!$B$6&lt;&gt;"","",IF(COUNTIFS(VendorGroups[Source rank],12)=1,INDEX(VendorGroups[Source actions],MATCH(12,VendorGroups[Source rank],0)),""))</f>
        <v/>
      </c>
      <c r="H19" s="56"/>
      <c r="I19" s="56"/>
      <c r="J19" s="56"/>
      <c r="K19" s="56"/>
      <c r="L19" s="55" t="str">
        <f aca="false">IF(H19="","",I19&amp;IF(J19="",""," ["&amp;J19&amp;"]"))</f>
        <v/>
      </c>
      <c r="M19" s="54" t="str">
        <f aca="false">IF(H19="","",SUMIFS(TransactionsData[Obligations],TransactionsData[Vendor ID],H19,TransactionsData[Selected],1))</f>
        <v/>
      </c>
      <c r="N19" s="54" t="str">
        <f aca="false">IF(H19="","",SUMIFS(TransactionsData[Deobligations],TransactionsData[Vendor ID],H19,TransactionsData[Selected],1))</f>
        <v/>
      </c>
      <c r="O19" s="55" t="str">
        <f aca="false">IF(H19="","",SUMIFS(TransactionsData[First vendor award],TransactionsData[Vendor ID],H19))</f>
        <v/>
      </c>
      <c r="P19" s="55" t="str">
        <f aca="false">IF(H19="","",COUNTIFS(TransactionsData[Vendor ID],H19,TransactionsData[Selected],1))</f>
        <v/>
      </c>
      <c r="Q19" s="55" t="str">
        <f aca="false">IF(OR(H19="",P19=0),"",COUNTIFS(VendorGroups[Source net],"&gt;"&amp;M19,VendorGroups[Source actions],"&gt;0")+COUNTIFS(VendorGroups[Source net],M19,VendorGroups[Record ID],"&lt;"&amp;H19,VendorGroups[Source actions],"&gt;0")+1)</f>
        <v/>
      </c>
      <c r="R19" s="55" t="str">
        <f aca="false">IF(H19="",IF(COUNTA(I19:K19)&gt;0,"Missing record ID",""),IF(COUNTIFS(VendorGroups[Record ID],H19)&lt;&gt;1,"Duplicate record ID",IF(I19="","Add name","")))</f>
        <v/>
      </c>
    </row>
    <row r="20" customFormat="false" ht="32" hidden="false" customHeight="true" outlineLevel="0" collapsed="false">
      <c r="A20" s="50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</row>
    <row r="21" customFormat="false" ht="32" hidden="false" customHeight="true" outlineLevel="0" collapsed="false">
      <c r="A21" s="50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</row>
    <row r="22" customFormat="false" ht="32" hidden="false" customHeight="true" outlineLevel="0" collapsed="false">
      <c r="A22" s="50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</row>
    <row r="23" customFormat="false" ht="32" hidden="false" customHeight="true" outlineLevel="0" collapsed="false">
      <c r="A23" s="50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</row>
    <row r="24" customFormat="false" ht="36" hidden="false" customHeight="true" outlineLevel="0" collapsed="false">
      <c r="A24" s="46" t="s">
        <v>42</v>
      </c>
      <c r="B24" s="46" t="s">
        <v>10</v>
      </c>
      <c r="C24" s="46" t="s">
        <v>55</v>
      </c>
      <c r="D24" s="46" t="s">
        <v>7</v>
      </c>
      <c r="E24" s="46" t="s">
        <v>29</v>
      </c>
      <c r="F24" s="46" t="s">
        <v>8</v>
      </c>
      <c r="G24" s="46" t="s">
        <v>12</v>
      </c>
      <c r="H24" s="46" t="s">
        <v>44</v>
      </c>
      <c r="I24" s="46" t="s">
        <v>45</v>
      </c>
      <c r="J24" s="46" t="s">
        <v>46</v>
      </c>
      <c r="K24" s="46" t="s">
        <v>47</v>
      </c>
      <c r="L24" s="46" t="s">
        <v>48</v>
      </c>
      <c r="M24" s="46" t="s">
        <v>49</v>
      </c>
      <c r="N24" s="46" t="s">
        <v>50</v>
      </c>
      <c r="O24" s="46" t="s">
        <v>51</v>
      </c>
      <c r="P24" s="46" t="s">
        <v>52</v>
      </c>
      <c r="Q24" s="46" t="s">
        <v>53</v>
      </c>
      <c r="R24" s="46" t="s">
        <v>54</v>
      </c>
    </row>
    <row r="25" customFormat="false" ht="32" hidden="false" customHeight="true" outlineLevel="0" collapsed="false">
      <c r="A25" s="51" t="str">
        <f aca="false">IF(Trends!$B$6&lt;&gt;"","",IF(COUNTIFS(OfficeGroups[Source rank],1)=1,1,""))</f>
        <v/>
      </c>
      <c r="B25" s="52" t="str">
        <f aca="false">IF(Trends!$B$6&lt;&gt;"","",IF(COUNTIFS(OfficeGroups[Source rank],1)=1,IF(INDEX(OfficeGroups[Source URL],MATCH(1,OfficeGroups[Source rank],0))="",INDEX(OfficeGroups[Source name],MATCH(1,OfficeGroups[Source rank],0)),HYPERLINK(INDEX(OfficeGroups[Source URL],MATCH(1,OfficeGroups[Source rank],0)),INDEX(OfficeGroups[Source name],MATCH(1,OfficeGroups[Source rank],0)))),""))</f>
        <v/>
      </c>
      <c r="C25" s="55" t="str">
        <f aca="false">IF(Trends!$B$6&lt;&gt;"","",IF(COUNTIFS(OfficeGroups[Source rank],1)=1,IF(INDEX(OfficeGroups[Source UEI],MATCH(1,OfficeGroups[Source rank],0))="","Not supplied",INDEX(OfficeGroups[Source UEI],MATCH(1,OfficeGroups[Source rank],0))),""))</f>
        <v/>
      </c>
      <c r="D25" s="54" t="str">
        <f aca="false">IF(Trends!$B$6&lt;&gt;"","",IF(COUNTIFS(OfficeGroups[Source rank],1)=1,INDEX(OfficeGroups[Source net],MATCH(1,OfficeGroups[Source rank],0)),""))</f>
        <v/>
      </c>
      <c r="E25" s="54" t="str">
        <f aca="false">IF(Trends!$B$6&lt;&gt;"","",IF(COUNTIFS(OfficeGroups[Source rank],1)=1,INDEX(OfficeGroups[Source deobligations],MATCH(1,OfficeGroups[Source rank],0)),""))</f>
        <v/>
      </c>
      <c r="F25" s="55" t="str">
        <f aca="false">IF(Trends!$B$6&lt;&gt;"","",IF(COUNTIFS(OfficeGroups[Source rank],1)=1,INDEX(OfficeGroups[Source awards],MATCH(1,OfficeGroups[Source rank],0)),""))</f>
        <v/>
      </c>
      <c r="G25" s="55" t="str">
        <f aca="false">IF(Trends!$B$6&lt;&gt;"","",IF(COUNTIFS(OfficeGroups[Source rank],1)=1,INDEX(OfficeGroups[Source actions],MATCH(1,OfficeGroups[Source rank],0)),""))</f>
        <v/>
      </c>
      <c r="H25" s="56"/>
      <c r="I25" s="56"/>
      <c r="J25" s="56"/>
      <c r="K25" s="56"/>
      <c r="L25" s="55" t="str">
        <f aca="false">IF(H25="","",I25&amp;IF(J25="",""," ["&amp;J25&amp;"]"))</f>
        <v/>
      </c>
      <c r="M25" s="54" t="str">
        <f aca="false">IF(H25="","",SUMIFS(TransactionsData[Obligations],TransactionsData[Funding office ID],H25,TransactionsData[Selected],1))</f>
        <v/>
      </c>
      <c r="N25" s="54" t="str">
        <f aca="false">IF(H25="","",SUMIFS(TransactionsData[Deobligations],TransactionsData[Funding office ID],H25,TransactionsData[Selected],1))</f>
        <v/>
      </c>
      <c r="O25" s="55" t="str">
        <f aca="false">IF(H25="","",SUMIFS(TransactionsData[First office award],TransactionsData[Funding office ID],H25))</f>
        <v/>
      </c>
      <c r="P25" s="55" t="str">
        <f aca="false">IF(H25="","",COUNTIFS(TransactionsData[Funding office ID],H25,TransactionsData[Selected],1))</f>
        <v/>
      </c>
      <c r="Q25" s="55" t="str">
        <f aca="false">IF(OR(H25="",P25=0),"",COUNTIFS(OfficeGroups[Source net],"&gt;"&amp;M25,OfficeGroups[Source actions],"&gt;0")+COUNTIFS(OfficeGroups[Source net],M25,OfficeGroups[Record ID],"&lt;"&amp;H25,OfficeGroups[Source actions],"&gt;0")+1)</f>
        <v/>
      </c>
      <c r="R25" s="55" t="str">
        <f aca="false">IF(H25="",IF(COUNTA(I25:K25)&gt;0,"Missing record ID",""),IF(COUNTIFS(OfficeGroups[Record ID],H25)&lt;&gt;1,"Duplicate record ID",IF(I25="","Add name","")))</f>
        <v/>
      </c>
    </row>
    <row r="26" customFormat="false" ht="32" hidden="false" customHeight="true" outlineLevel="0" collapsed="false">
      <c r="A26" s="51" t="str">
        <f aca="false">IF(Trends!$B$6&lt;&gt;"","",IF(COUNTIFS(OfficeGroups[Source rank],2)=1,2,""))</f>
        <v/>
      </c>
      <c r="B26" s="52" t="str">
        <f aca="false">IF(Trends!$B$6&lt;&gt;"","",IF(COUNTIFS(OfficeGroups[Source rank],2)=1,IF(INDEX(OfficeGroups[Source URL],MATCH(2,OfficeGroups[Source rank],0))="",INDEX(OfficeGroups[Source name],MATCH(2,OfficeGroups[Source rank],0)),HYPERLINK(INDEX(OfficeGroups[Source URL],MATCH(2,OfficeGroups[Source rank],0)),INDEX(OfficeGroups[Source name],MATCH(2,OfficeGroups[Source rank],0)))),""))</f>
        <v/>
      </c>
      <c r="C26" s="55" t="str">
        <f aca="false">IF(Trends!$B$6&lt;&gt;"","",IF(COUNTIFS(OfficeGroups[Source rank],2)=1,IF(INDEX(OfficeGroups[Source UEI],MATCH(2,OfficeGroups[Source rank],0))="","Not supplied",INDEX(OfficeGroups[Source UEI],MATCH(2,OfficeGroups[Source rank],0))),""))</f>
        <v/>
      </c>
      <c r="D26" s="54" t="str">
        <f aca="false">IF(Trends!$B$6&lt;&gt;"","",IF(COUNTIFS(OfficeGroups[Source rank],2)=1,INDEX(OfficeGroups[Source net],MATCH(2,OfficeGroups[Source rank],0)),""))</f>
        <v/>
      </c>
      <c r="E26" s="54" t="str">
        <f aca="false">IF(Trends!$B$6&lt;&gt;"","",IF(COUNTIFS(OfficeGroups[Source rank],2)=1,INDEX(OfficeGroups[Source deobligations],MATCH(2,OfficeGroups[Source rank],0)),""))</f>
        <v/>
      </c>
      <c r="F26" s="55" t="str">
        <f aca="false">IF(Trends!$B$6&lt;&gt;"","",IF(COUNTIFS(OfficeGroups[Source rank],2)=1,INDEX(OfficeGroups[Source awards],MATCH(2,OfficeGroups[Source rank],0)),""))</f>
        <v/>
      </c>
      <c r="G26" s="55" t="str">
        <f aca="false">IF(Trends!$B$6&lt;&gt;"","",IF(COUNTIFS(OfficeGroups[Source rank],2)=1,INDEX(OfficeGroups[Source actions],MATCH(2,OfficeGroups[Source rank],0)),""))</f>
        <v/>
      </c>
      <c r="H26" s="56"/>
      <c r="I26" s="56"/>
      <c r="J26" s="56"/>
      <c r="K26" s="56"/>
      <c r="L26" s="55" t="str">
        <f aca="false">IF(H26="","",I26&amp;IF(J26="",""," ["&amp;J26&amp;"]"))</f>
        <v/>
      </c>
      <c r="M26" s="54" t="str">
        <f aca="false">IF(H26="","",SUMIFS(TransactionsData[Obligations],TransactionsData[Funding office ID],H26,TransactionsData[Selected],1))</f>
        <v/>
      </c>
      <c r="N26" s="54" t="str">
        <f aca="false">IF(H26="","",SUMIFS(TransactionsData[Deobligations],TransactionsData[Funding office ID],H26,TransactionsData[Selected],1))</f>
        <v/>
      </c>
      <c r="O26" s="55" t="str">
        <f aca="false">IF(H26="","",SUMIFS(TransactionsData[First office award],TransactionsData[Funding office ID],H26))</f>
        <v/>
      </c>
      <c r="P26" s="55" t="str">
        <f aca="false">IF(H26="","",COUNTIFS(TransactionsData[Funding office ID],H26,TransactionsData[Selected],1))</f>
        <v/>
      </c>
      <c r="Q26" s="55" t="str">
        <f aca="false">IF(OR(H26="",P26=0),"",COUNTIFS(OfficeGroups[Source net],"&gt;"&amp;M26,OfficeGroups[Source actions],"&gt;0")+COUNTIFS(OfficeGroups[Source net],M26,OfficeGroups[Record ID],"&lt;"&amp;H26,OfficeGroups[Source actions],"&gt;0")+1)</f>
        <v/>
      </c>
      <c r="R26" s="55" t="str">
        <f aca="false">IF(H26="",IF(COUNTA(I26:K26)&gt;0,"Missing record ID",""),IF(COUNTIFS(OfficeGroups[Record ID],H26)&lt;&gt;1,"Duplicate record ID",IF(I26="","Add name","")))</f>
        <v/>
      </c>
    </row>
    <row r="27" customFormat="false" ht="32" hidden="false" customHeight="true" outlineLevel="0" collapsed="false">
      <c r="A27" s="51" t="str">
        <f aca="false">IF(Trends!$B$6&lt;&gt;"","",IF(COUNTIFS(OfficeGroups[Source rank],3)=1,3,""))</f>
        <v/>
      </c>
      <c r="B27" s="52" t="str">
        <f aca="false">IF(Trends!$B$6&lt;&gt;"","",IF(COUNTIFS(OfficeGroups[Source rank],3)=1,IF(INDEX(OfficeGroups[Source URL],MATCH(3,OfficeGroups[Source rank],0))="",INDEX(OfficeGroups[Source name],MATCH(3,OfficeGroups[Source rank],0)),HYPERLINK(INDEX(OfficeGroups[Source URL],MATCH(3,OfficeGroups[Source rank],0)),INDEX(OfficeGroups[Source name],MATCH(3,OfficeGroups[Source rank],0)))),""))</f>
        <v/>
      </c>
      <c r="C27" s="55" t="str">
        <f aca="false">IF(Trends!$B$6&lt;&gt;"","",IF(COUNTIFS(OfficeGroups[Source rank],3)=1,IF(INDEX(OfficeGroups[Source UEI],MATCH(3,OfficeGroups[Source rank],0))="","Not supplied",INDEX(OfficeGroups[Source UEI],MATCH(3,OfficeGroups[Source rank],0))),""))</f>
        <v/>
      </c>
      <c r="D27" s="54" t="str">
        <f aca="false">IF(Trends!$B$6&lt;&gt;"","",IF(COUNTIFS(OfficeGroups[Source rank],3)=1,INDEX(OfficeGroups[Source net],MATCH(3,OfficeGroups[Source rank],0)),""))</f>
        <v/>
      </c>
      <c r="E27" s="54" t="str">
        <f aca="false">IF(Trends!$B$6&lt;&gt;"","",IF(COUNTIFS(OfficeGroups[Source rank],3)=1,INDEX(OfficeGroups[Source deobligations],MATCH(3,OfficeGroups[Source rank],0)),""))</f>
        <v/>
      </c>
      <c r="F27" s="55" t="str">
        <f aca="false">IF(Trends!$B$6&lt;&gt;"","",IF(COUNTIFS(OfficeGroups[Source rank],3)=1,INDEX(OfficeGroups[Source awards],MATCH(3,OfficeGroups[Source rank],0)),""))</f>
        <v/>
      </c>
      <c r="G27" s="55" t="str">
        <f aca="false">IF(Trends!$B$6&lt;&gt;"","",IF(COUNTIFS(OfficeGroups[Source rank],3)=1,INDEX(OfficeGroups[Source actions],MATCH(3,OfficeGroups[Source rank],0)),""))</f>
        <v/>
      </c>
      <c r="H27" s="56"/>
      <c r="I27" s="56"/>
      <c r="J27" s="56"/>
      <c r="K27" s="56"/>
      <c r="L27" s="55" t="str">
        <f aca="false">IF(H27="","",I27&amp;IF(J27="",""," ["&amp;J27&amp;"]"))</f>
        <v/>
      </c>
      <c r="M27" s="54" t="str">
        <f aca="false">IF(H27="","",SUMIFS(TransactionsData[Obligations],TransactionsData[Funding office ID],H27,TransactionsData[Selected],1))</f>
        <v/>
      </c>
      <c r="N27" s="54" t="str">
        <f aca="false">IF(H27="","",SUMIFS(TransactionsData[Deobligations],TransactionsData[Funding office ID],H27,TransactionsData[Selected],1))</f>
        <v/>
      </c>
      <c r="O27" s="55" t="str">
        <f aca="false">IF(H27="","",SUMIFS(TransactionsData[First office award],TransactionsData[Funding office ID],H27))</f>
        <v/>
      </c>
      <c r="P27" s="55" t="str">
        <f aca="false">IF(H27="","",COUNTIFS(TransactionsData[Funding office ID],H27,TransactionsData[Selected],1))</f>
        <v/>
      </c>
      <c r="Q27" s="55" t="str">
        <f aca="false">IF(OR(H27="",P27=0),"",COUNTIFS(OfficeGroups[Source net],"&gt;"&amp;M27,OfficeGroups[Source actions],"&gt;0")+COUNTIFS(OfficeGroups[Source net],M27,OfficeGroups[Record ID],"&lt;"&amp;H27,OfficeGroups[Source actions],"&gt;0")+1)</f>
        <v/>
      </c>
      <c r="R27" s="55" t="str">
        <f aca="false">IF(H27="",IF(COUNTA(I27:K27)&gt;0,"Missing record ID",""),IF(COUNTIFS(OfficeGroups[Record ID],H27)&lt;&gt;1,"Duplicate record ID",IF(I27="","Add name","")))</f>
        <v/>
      </c>
    </row>
    <row r="28" customFormat="false" ht="32" hidden="false" customHeight="true" outlineLevel="0" collapsed="false">
      <c r="A28" s="51" t="str">
        <f aca="false">IF(Trends!$B$6&lt;&gt;"","",IF(COUNTIFS(OfficeGroups[Source rank],4)=1,4,""))</f>
        <v/>
      </c>
      <c r="B28" s="52" t="str">
        <f aca="false">IF(Trends!$B$6&lt;&gt;"","",IF(COUNTIFS(OfficeGroups[Source rank],4)=1,IF(INDEX(OfficeGroups[Source URL],MATCH(4,OfficeGroups[Source rank],0))="",INDEX(OfficeGroups[Source name],MATCH(4,OfficeGroups[Source rank],0)),HYPERLINK(INDEX(OfficeGroups[Source URL],MATCH(4,OfficeGroups[Source rank],0)),INDEX(OfficeGroups[Source name],MATCH(4,OfficeGroups[Source rank],0)))),""))</f>
        <v/>
      </c>
      <c r="C28" s="55" t="str">
        <f aca="false">IF(Trends!$B$6&lt;&gt;"","",IF(COUNTIFS(OfficeGroups[Source rank],4)=1,IF(INDEX(OfficeGroups[Source UEI],MATCH(4,OfficeGroups[Source rank],0))="","Not supplied",INDEX(OfficeGroups[Source UEI],MATCH(4,OfficeGroups[Source rank],0))),""))</f>
        <v/>
      </c>
      <c r="D28" s="54" t="str">
        <f aca="false">IF(Trends!$B$6&lt;&gt;"","",IF(COUNTIFS(OfficeGroups[Source rank],4)=1,INDEX(OfficeGroups[Source net],MATCH(4,OfficeGroups[Source rank],0)),""))</f>
        <v/>
      </c>
      <c r="E28" s="54" t="str">
        <f aca="false">IF(Trends!$B$6&lt;&gt;"","",IF(COUNTIFS(OfficeGroups[Source rank],4)=1,INDEX(OfficeGroups[Source deobligations],MATCH(4,OfficeGroups[Source rank],0)),""))</f>
        <v/>
      </c>
      <c r="F28" s="55" t="str">
        <f aca="false">IF(Trends!$B$6&lt;&gt;"","",IF(COUNTIFS(OfficeGroups[Source rank],4)=1,INDEX(OfficeGroups[Source awards],MATCH(4,OfficeGroups[Source rank],0)),""))</f>
        <v/>
      </c>
      <c r="G28" s="55" t="str">
        <f aca="false">IF(Trends!$B$6&lt;&gt;"","",IF(COUNTIFS(OfficeGroups[Source rank],4)=1,INDEX(OfficeGroups[Source actions],MATCH(4,OfficeGroups[Source rank],0)),""))</f>
        <v/>
      </c>
      <c r="H28" s="56"/>
      <c r="I28" s="56"/>
      <c r="J28" s="56"/>
      <c r="K28" s="56"/>
      <c r="L28" s="55" t="str">
        <f aca="false">IF(H28="","",I28&amp;IF(J28="",""," ["&amp;J28&amp;"]"))</f>
        <v/>
      </c>
      <c r="M28" s="54" t="str">
        <f aca="false">IF(H28="","",SUMIFS(TransactionsData[Obligations],TransactionsData[Funding office ID],H28,TransactionsData[Selected],1))</f>
        <v/>
      </c>
      <c r="N28" s="54" t="str">
        <f aca="false">IF(H28="","",SUMIFS(TransactionsData[Deobligations],TransactionsData[Funding office ID],H28,TransactionsData[Selected],1))</f>
        <v/>
      </c>
      <c r="O28" s="55" t="str">
        <f aca="false">IF(H28="","",SUMIFS(TransactionsData[First office award],TransactionsData[Funding office ID],H28))</f>
        <v/>
      </c>
      <c r="P28" s="55" t="str">
        <f aca="false">IF(H28="","",COUNTIFS(TransactionsData[Funding office ID],H28,TransactionsData[Selected],1))</f>
        <v/>
      </c>
      <c r="Q28" s="55" t="str">
        <f aca="false">IF(OR(H28="",P28=0),"",COUNTIFS(OfficeGroups[Source net],"&gt;"&amp;M28,OfficeGroups[Source actions],"&gt;0")+COUNTIFS(OfficeGroups[Source net],M28,OfficeGroups[Record ID],"&lt;"&amp;H28,OfficeGroups[Source actions],"&gt;0")+1)</f>
        <v/>
      </c>
      <c r="R28" s="55" t="str">
        <f aca="false">IF(H28="",IF(COUNTA(I28:K28)&gt;0,"Missing record ID",""),IF(COUNTIFS(OfficeGroups[Record ID],H28)&lt;&gt;1,"Duplicate record ID",IF(I28="","Add name","")))</f>
        <v/>
      </c>
    </row>
    <row r="29" customFormat="false" ht="32" hidden="false" customHeight="true" outlineLevel="0" collapsed="false">
      <c r="A29" s="51" t="str">
        <f aca="false">IF(Trends!$B$6&lt;&gt;"","",IF(COUNTIFS(OfficeGroups[Source rank],5)=1,5,""))</f>
        <v/>
      </c>
      <c r="B29" s="52" t="str">
        <f aca="false">IF(Trends!$B$6&lt;&gt;"","",IF(COUNTIFS(OfficeGroups[Source rank],5)=1,IF(INDEX(OfficeGroups[Source URL],MATCH(5,OfficeGroups[Source rank],0))="",INDEX(OfficeGroups[Source name],MATCH(5,OfficeGroups[Source rank],0)),HYPERLINK(INDEX(OfficeGroups[Source URL],MATCH(5,OfficeGroups[Source rank],0)),INDEX(OfficeGroups[Source name],MATCH(5,OfficeGroups[Source rank],0)))),""))</f>
        <v/>
      </c>
      <c r="C29" s="55" t="str">
        <f aca="false">IF(Trends!$B$6&lt;&gt;"","",IF(COUNTIFS(OfficeGroups[Source rank],5)=1,IF(INDEX(OfficeGroups[Source UEI],MATCH(5,OfficeGroups[Source rank],0))="","Not supplied",INDEX(OfficeGroups[Source UEI],MATCH(5,OfficeGroups[Source rank],0))),""))</f>
        <v/>
      </c>
      <c r="D29" s="54" t="str">
        <f aca="false">IF(Trends!$B$6&lt;&gt;"","",IF(COUNTIFS(OfficeGroups[Source rank],5)=1,INDEX(OfficeGroups[Source net],MATCH(5,OfficeGroups[Source rank],0)),""))</f>
        <v/>
      </c>
      <c r="E29" s="54" t="str">
        <f aca="false">IF(Trends!$B$6&lt;&gt;"","",IF(COUNTIFS(OfficeGroups[Source rank],5)=1,INDEX(OfficeGroups[Source deobligations],MATCH(5,OfficeGroups[Source rank],0)),""))</f>
        <v/>
      </c>
      <c r="F29" s="55" t="str">
        <f aca="false">IF(Trends!$B$6&lt;&gt;"","",IF(COUNTIFS(OfficeGroups[Source rank],5)=1,INDEX(OfficeGroups[Source awards],MATCH(5,OfficeGroups[Source rank],0)),""))</f>
        <v/>
      </c>
      <c r="G29" s="55" t="str">
        <f aca="false">IF(Trends!$B$6&lt;&gt;"","",IF(COUNTIFS(OfficeGroups[Source rank],5)=1,INDEX(OfficeGroups[Source actions],MATCH(5,OfficeGroups[Source rank],0)),""))</f>
        <v/>
      </c>
      <c r="H29" s="56"/>
      <c r="I29" s="56"/>
      <c r="J29" s="56"/>
      <c r="K29" s="56"/>
      <c r="L29" s="55" t="str">
        <f aca="false">IF(H29="","",I29&amp;IF(J29="",""," ["&amp;J29&amp;"]"))</f>
        <v/>
      </c>
      <c r="M29" s="54" t="str">
        <f aca="false">IF(H29="","",SUMIFS(TransactionsData[Obligations],TransactionsData[Funding office ID],H29,TransactionsData[Selected],1))</f>
        <v/>
      </c>
      <c r="N29" s="54" t="str">
        <f aca="false">IF(H29="","",SUMIFS(TransactionsData[Deobligations],TransactionsData[Funding office ID],H29,TransactionsData[Selected],1))</f>
        <v/>
      </c>
      <c r="O29" s="55" t="str">
        <f aca="false">IF(H29="","",SUMIFS(TransactionsData[First office award],TransactionsData[Funding office ID],H29))</f>
        <v/>
      </c>
      <c r="P29" s="55" t="str">
        <f aca="false">IF(H29="","",COUNTIFS(TransactionsData[Funding office ID],H29,TransactionsData[Selected],1))</f>
        <v/>
      </c>
      <c r="Q29" s="55" t="str">
        <f aca="false">IF(OR(H29="",P29=0),"",COUNTIFS(OfficeGroups[Source net],"&gt;"&amp;M29,OfficeGroups[Source actions],"&gt;0")+COUNTIFS(OfficeGroups[Source net],M29,OfficeGroups[Record ID],"&lt;"&amp;H29,OfficeGroups[Source actions],"&gt;0")+1)</f>
        <v/>
      </c>
      <c r="R29" s="55" t="str">
        <f aca="false">IF(H29="",IF(COUNTA(I29:K29)&gt;0,"Missing record ID",""),IF(COUNTIFS(OfficeGroups[Record ID],H29)&lt;&gt;1,"Duplicate record ID",IF(I29="","Add name","")))</f>
        <v/>
      </c>
    </row>
    <row r="30" customFormat="false" ht="32" hidden="false" customHeight="true" outlineLevel="0" collapsed="false">
      <c r="A30" s="51" t="str">
        <f aca="false">IF(Trends!$B$6&lt;&gt;"","",IF(COUNTIFS(OfficeGroups[Source rank],6)=1,6,""))</f>
        <v/>
      </c>
      <c r="B30" s="52" t="str">
        <f aca="false">IF(Trends!$B$6&lt;&gt;"","",IF(COUNTIFS(OfficeGroups[Source rank],6)=1,IF(INDEX(OfficeGroups[Source URL],MATCH(6,OfficeGroups[Source rank],0))="",INDEX(OfficeGroups[Source name],MATCH(6,OfficeGroups[Source rank],0)),HYPERLINK(INDEX(OfficeGroups[Source URL],MATCH(6,OfficeGroups[Source rank],0)),INDEX(OfficeGroups[Source name],MATCH(6,OfficeGroups[Source rank],0)))),""))</f>
        <v/>
      </c>
      <c r="C30" s="55" t="str">
        <f aca="false">IF(Trends!$B$6&lt;&gt;"","",IF(COUNTIFS(OfficeGroups[Source rank],6)=1,IF(INDEX(OfficeGroups[Source UEI],MATCH(6,OfficeGroups[Source rank],0))="","Not supplied",INDEX(OfficeGroups[Source UEI],MATCH(6,OfficeGroups[Source rank],0))),""))</f>
        <v/>
      </c>
      <c r="D30" s="54" t="str">
        <f aca="false">IF(Trends!$B$6&lt;&gt;"","",IF(COUNTIFS(OfficeGroups[Source rank],6)=1,INDEX(OfficeGroups[Source net],MATCH(6,OfficeGroups[Source rank],0)),""))</f>
        <v/>
      </c>
      <c r="E30" s="54" t="str">
        <f aca="false">IF(Trends!$B$6&lt;&gt;"","",IF(COUNTIFS(OfficeGroups[Source rank],6)=1,INDEX(OfficeGroups[Source deobligations],MATCH(6,OfficeGroups[Source rank],0)),""))</f>
        <v/>
      </c>
      <c r="F30" s="55" t="str">
        <f aca="false">IF(Trends!$B$6&lt;&gt;"","",IF(COUNTIFS(OfficeGroups[Source rank],6)=1,INDEX(OfficeGroups[Source awards],MATCH(6,OfficeGroups[Source rank],0)),""))</f>
        <v/>
      </c>
      <c r="G30" s="55" t="str">
        <f aca="false">IF(Trends!$B$6&lt;&gt;"","",IF(COUNTIFS(OfficeGroups[Source rank],6)=1,INDEX(OfficeGroups[Source actions],MATCH(6,OfficeGroups[Source rank],0)),""))</f>
        <v/>
      </c>
      <c r="H30" s="56"/>
      <c r="I30" s="56"/>
      <c r="J30" s="56"/>
      <c r="K30" s="56"/>
      <c r="L30" s="55" t="str">
        <f aca="false">IF(H30="","",I30&amp;IF(J30="",""," ["&amp;J30&amp;"]"))</f>
        <v/>
      </c>
      <c r="M30" s="54" t="str">
        <f aca="false">IF(H30="","",SUMIFS(TransactionsData[Obligations],TransactionsData[Funding office ID],H30,TransactionsData[Selected],1))</f>
        <v/>
      </c>
      <c r="N30" s="54" t="str">
        <f aca="false">IF(H30="","",SUMIFS(TransactionsData[Deobligations],TransactionsData[Funding office ID],H30,TransactionsData[Selected],1))</f>
        <v/>
      </c>
      <c r="O30" s="55" t="str">
        <f aca="false">IF(H30="","",SUMIFS(TransactionsData[First office award],TransactionsData[Funding office ID],H30))</f>
        <v/>
      </c>
      <c r="P30" s="55" t="str">
        <f aca="false">IF(H30="","",COUNTIFS(TransactionsData[Funding office ID],H30,TransactionsData[Selected],1))</f>
        <v/>
      </c>
      <c r="Q30" s="55" t="str">
        <f aca="false">IF(OR(H30="",P30=0),"",COUNTIFS(OfficeGroups[Source net],"&gt;"&amp;M30,OfficeGroups[Source actions],"&gt;0")+COUNTIFS(OfficeGroups[Source net],M30,OfficeGroups[Record ID],"&lt;"&amp;H30,OfficeGroups[Source actions],"&gt;0")+1)</f>
        <v/>
      </c>
      <c r="R30" s="55" t="str">
        <f aca="false">IF(H30="",IF(COUNTA(I30:K30)&gt;0,"Missing record ID",""),IF(COUNTIFS(OfficeGroups[Record ID],H30)&lt;&gt;1,"Duplicate record ID",IF(I30="","Add name","")))</f>
        <v/>
      </c>
    </row>
    <row r="31" customFormat="false" ht="32" hidden="false" customHeight="true" outlineLevel="0" collapsed="false">
      <c r="A31" s="51" t="str">
        <f aca="false">IF(Trends!$B$6&lt;&gt;"","",IF(COUNTIFS(OfficeGroups[Source rank],7)=1,7,""))</f>
        <v/>
      </c>
      <c r="B31" s="52" t="str">
        <f aca="false">IF(Trends!$B$6&lt;&gt;"","",IF(COUNTIFS(OfficeGroups[Source rank],7)=1,IF(INDEX(OfficeGroups[Source URL],MATCH(7,OfficeGroups[Source rank],0))="",INDEX(OfficeGroups[Source name],MATCH(7,OfficeGroups[Source rank],0)),HYPERLINK(INDEX(OfficeGroups[Source URL],MATCH(7,OfficeGroups[Source rank],0)),INDEX(OfficeGroups[Source name],MATCH(7,OfficeGroups[Source rank],0)))),""))</f>
        <v/>
      </c>
      <c r="C31" s="55" t="str">
        <f aca="false">IF(Trends!$B$6&lt;&gt;"","",IF(COUNTIFS(OfficeGroups[Source rank],7)=1,IF(INDEX(OfficeGroups[Source UEI],MATCH(7,OfficeGroups[Source rank],0))="","Not supplied",INDEX(OfficeGroups[Source UEI],MATCH(7,OfficeGroups[Source rank],0))),""))</f>
        <v/>
      </c>
      <c r="D31" s="54" t="str">
        <f aca="false">IF(Trends!$B$6&lt;&gt;"","",IF(COUNTIFS(OfficeGroups[Source rank],7)=1,INDEX(OfficeGroups[Source net],MATCH(7,OfficeGroups[Source rank],0)),""))</f>
        <v/>
      </c>
      <c r="E31" s="54" t="str">
        <f aca="false">IF(Trends!$B$6&lt;&gt;"","",IF(COUNTIFS(OfficeGroups[Source rank],7)=1,INDEX(OfficeGroups[Source deobligations],MATCH(7,OfficeGroups[Source rank],0)),""))</f>
        <v/>
      </c>
      <c r="F31" s="55" t="str">
        <f aca="false">IF(Trends!$B$6&lt;&gt;"","",IF(COUNTIFS(OfficeGroups[Source rank],7)=1,INDEX(OfficeGroups[Source awards],MATCH(7,OfficeGroups[Source rank],0)),""))</f>
        <v/>
      </c>
      <c r="G31" s="55" t="str">
        <f aca="false">IF(Trends!$B$6&lt;&gt;"","",IF(COUNTIFS(OfficeGroups[Source rank],7)=1,INDEX(OfficeGroups[Source actions],MATCH(7,OfficeGroups[Source rank],0)),""))</f>
        <v/>
      </c>
      <c r="H31" s="56"/>
      <c r="I31" s="56"/>
      <c r="J31" s="56"/>
      <c r="K31" s="56"/>
      <c r="L31" s="55" t="str">
        <f aca="false">IF(H31="","",I31&amp;IF(J31="",""," ["&amp;J31&amp;"]"))</f>
        <v/>
      </c>
      <c r="M31" s="54" t="str">
        <f aca="false">IF(H31="","",SUMIFS(TransactionsData[Obligations],TransactionsData[Funding office ID],H31,TransactionsData[Selected],1))</f>
        <v/>
      </c>
      <c r="N31" s="54" t="str">
        <f aca="false">IF(H31="","",SUMIFS(TransactionsData[Deobligations],TransactionsData[Funding office ID],H31,TransactionsData[Selected],1))</f>
        <v/>
      </c>
      <c r="O31" s="55" t="str">
        <f aca="false">IF(H31="","",SUMIFS(TransactionsData[First office award],TransactionsData[Funding office ID],H31))</f>
        <v/>
      </c>
      <c r="P31" s="55" t="str">
        <f aca="false">IF(H31="","",COUNTIFS(TransactionsData[Funding office ID],H31,TransactionsData[Selected],1))</f>
        <v/>
      </c>
      <c r="Q31" s="55" t="str">
        <f aca="false">IF(OR(H31="",P31=0),"",COUNTIFS(OfficeGroups[Source net],"&gt;"&amp;M31,OfficeGroups[Source actions],"&gt;0")+COUNTIFS(OfficeGroups[Source net],M31,OfficeGroups[Record ID],"&lt;"&amp;H31,OfficeGroups[Source actions],"&gt;0")+1)</f>
        <v/>
      </c>
      <c r="R31" s="55" t="str">
        <f aca="false">IF(H31="",IF(COUNTA(I31:K31)&gt;0,"Missing record ID",""),IF(COUNTIFS(OfficeGroups[Record ID],H31)&lt;&gt;1,"Duplicate record ID",IF(I31="","Add name","")))</f>
        <v/>
      </c>
    </row>
    <row r="32" customFormat="false" ht="32" hidden="false" customHeight="true" outlineLevel="0" collapsed="false">
      <c r="A32" s="51" t="str">
        <f aca="false">IF(Trends!$B$6&lt;&gt;"","",IF(COUNTIFS(OfficeGroups[Source rank],8)=1,8,""))</f>
        <v/>
      </c>
      <c r="B32" s="52" t="str">
        <f aca="false">IF(Trends!$B$6&lt;&gt;"","",IF(COUNTIFS(OfficeGroups[Source rank],8)=1,IF(INDEX(OfficeGroups[Source URL],MATCH(8,OfficeGroups[Source rank],0))="",INDEX(OfficeGroups[Source name],MATCH(8,OfficeGroups[Source rank],0)),HYPERLINK(INDEX(OfficeGroups[Source URL],MATCH(8,OfficeGroups[Source rank],0)),INDEX(OfficeGroups[Source name],MATCH(8,OfficeGroups[Source rank],0)))),""))</f>
        <v/>
      </c>
      <c r="C32" s="55" t="str">
        <f aca="false">IF(Trends!$B$6&lt;&gt;"","",IF(COUNTIFS(OfficeGroups[Source rank],8)=1,IF(INDEX(OfficeGroups[Source UEI],MATCH(8,OfficeGroups[Source rank],0))="","Not supplied",INDEX(OfficeGroups[Source UEI],MATCH(8,OfficeGroups[Source rank],0))),""))</f>
        <v/>
      </c>
      <c r="D32" s="54" t="str">
        <f aca="false">IF(Trends!$B$6&lt;&gt;"","",IF(COUNTIFS(OfficeGroups[Source rank],8)=1,INDEX(OfficeGroups[Source net],MATCH(8,OfficeGroups[Source rank],0)),""))</f>
        <v/>
      </c>
      <c r="E32" s="54" t="str">
        <f aca="false">IF(Trends!$B$6&lt;&gt;"","",IF(COUNTIFS(OfficeGroups[Source rank],8)=1,INDEX(OfficeGroups[Source deobligations],MATCH(8,OfficeGroups[Source rank],0)),""))</f>
        <v/>
      </c>
      <c r="F32" s="55" t="str">
        <f aca="false">IF(Trends!$B$6&lt;&gt;"","",IF(COUNTIFS(OfficeGroups[Source rank],8)=1,INDEX(OfficeGroups[Source awards],MATCH(8,OfficeGroups[Source rank],0)),""))</f>
        <v/>
      </c>
      <c r="G32" s="55" t="str">
        <f aca="false">IF(Trends!$B$6&lt;&gt;"","",IF(COUNTIFS(OfficeGroups[Source rank],8)=1,INDEX(OfficeGroups[Source actions],MATCH(8,OfficeGroups[Source rank],0)),""))</f>
        <v/>
      </c>
      <c r="H32" s="56"/>
      <c r="I32" s="56"/>
      <c r="J32" s="56"/>
      <c r="K32" s="56"/>
      <c r="L32" s="55" t="str">
        <f aca="false">IF(H32="","",I32&amp;IF(J32="",""," ["&amp;J32&amp;"]"))</f>
        <v/>
      </c>
      <c r="M32" s="54" t="str">
        <f aca="false">IF(H32="","",SUMIFS(TransactionsData[Obligations],TransactionsData[Funding office ID],H32,TransactionsData[Selected],1))</f>
        <v/>
      </c>
      <c r="N32" s="54" t="str">
        <f aca="false">IF(H32="","",SUMIFS(TransactionsData[Deobligations],TransactionsData[Funding office ID],H32,TransactionsData[Selected],1))</f>
        <v/>
      </c>
      <c r="O32" s="55" t="str">
        <f aca="false">IF(H32="","",SUMIFS(TransactionsData[First office award],TransactionsData[Funding office ID],H32))</f>
        <v/>
      </c>
      <c r="P32" s="55" t="str">
        <f aca="false">IF(H32="","",COUNTIFS(TransactionsData[Funding office ID],H32,TransactionsData[Selected],1))</f>
        <v/>
      </c>
      <c r="Q32" s="55" t="str">
        <f aca="false">IF(OR(H32="",P32=0),"",COUNTIFS(OfficeGroups[Source net],"&gt;"&amp;M32,OfficeGroups[Source actions],"&gt;0")+COUNTIFS(OfficeGroups[Source net],M32,OfficeGroups[Record ID],"&lt;"&amp;H32,OfficeGroups[Source actions],"&gt;0")+1)</f>
        <v/>
      </c>
      <c r="R32" s="55" t="str">
        <f aca="false">IF(H32="",IF(COUNTA(I32:K32)&gt;0,"Missing record ID",""),IF(COUNTIFS(OfficeGroups[Record ID],H32)&lt;&gt;1,"Duplicate record ID",IF(I32="","Add name","")))</f>
        <v/>
      </c>
    </row>
    <row r="33" customFormat="false" ht="32" hidden="false" customHeight="true" outlineLevel="0" collapsed="false">
      <c r="A33" s="51" t="str">
        <f aca="false">IF(Trends!$B$6&lt;&gt;"","",IF(COUNTIFS(OfficeGroups[Source rank],9)=1,9,""))</f>
        <v/>
      </c>
      <c r="B33" s="52" t="str">
        <f aca="false">IF(Trends!$B$6&lt;&gt;"","",IF(COUNTIFS(OfficeGroups[Source rank],9)=1,IF(INDEX(OfficeGroups[Source URL],MATCH(9,OfficeGroups[Source rank],0))="",INDEX(OfficeGroups[Source name],MATCH(9,OfficeGroups[Source rank],0)),HYPERLINK(INDEX(OfficeGroups[Source URL],MATCH(9,OfficeGroups[Source rank],0)),INDEX(OfficeGroups[Source name],MATCH(9,OfficeGroups[Source rank],0)))),""))</f>
        <v/>
      </c>
      <c r="C33" s="55" t="str">
        <f aca="false">IF(Trends!$B$6&lt;&gt;"","",IF(COUNTIFS(OfficeGroups[Source rank],9)=1,IF(INDEX(OfficeGroups[Source UEI],MATCH(9,OfficeGroups[Source rank],0))="","Not supplied",INDEX(OfficeGroups[Source UEI],MATCH(9,OfficeGroups[Source rank],0))),""))</f>
        <v/>
      </c>
      <c r="D33" s="54" t="str">
        <f aca="false">IF(Trends!$B$6&lt;&gt;"","",IF(COUNTIFS(OfficeGroups[Source rank],9)=1,INDEX(OfficeGroups[Source net],MATCH(9,OfficeGroups[Source rank],0)),""))</f>
        <v/>
      </c>
      <c r="E33" s="54" t="str">
        <f aca="false">IF(Trends!$B$6&lt;&gt;"","",IF(COUNTIFS(OfficeGroups[Source rank],9)=1,INDEX(OfficeGroups[Source deobligations],MATCH(9,OfficeGroups[Source rank],0)),""))</f>
        <v/>
      </c>
      <c r="F33" s="55" t="str">
        <f aca="false">IF(Trends!$B$6&lt;&gt;"","",IF(COUNTIFS(OfficeGroups[Source rank],9)=1,INDEX(OfficeGroups[Source awards],MATCH(9,OfficeGroups[Source rank],0)),""))</f>
        <v/>
      </c>
      <c r="G33" s="55" t="str">
        <f aca="false">IF(Trends!$B$6&lt;&gt;"","",IF(COUNTIFS(OfficeGroups[Source rank],9)=1,INDEX(OfficeGroups[Source actions],MATCH(9,OfficeGroups[Source rank],0)),""))</f>
        <v/>
      </c>
      <c r="H33" s="56"/>
      <c r="I33" s="56"/>
      <c r="J33" s="56"/>
      <c r="K33" s="56"/>
      <c r="L33" s="55" t="str">
        <f aca="false">IF(H33="","",I33&amp;IF(J33="",""," ["&amp;J33&amp;"]"))</f>
        <v/>
      </c>
      <c r="M33" s="54" t="str">
        <f aca="false">IF(H33="","",SUMIFS(TransactionsData[Obligations],TransactionsData[Funding office ID],H33,TransactionsData[Selected],1))</f>
        <v/>
      </c>
      <c r="N33" s="54" t="str">
        <f aca="false">IF(H33="","",SUMIFS(TransactionsData[Deobligations],TransactionsData[Funding office ID],H33,TransactionsData[Selected],1))</f>
        <v/>
      </c>
      <c r="O33" s="55" t="str">
        <f aca="false">IF(H33="","",SUMIFS(TransactionsData[First office award],TransactionsData[Funding office ID],H33))</f>
        <v/>
      </c>
      <c r="P33" s="55" t="str">
        <f aca="false">IF(H33="","",COUNTIFS(TransactionsData[Funding office ID],H33,TransactionsData[Selected],1))</f>
        <v/>
      </c>
      <c r="Q33" s="55" t="str">
        <f aca="false">IF(OR(H33="",P33=0),"",COUNTIFS(OfficeGroups[Source net],"&gt;"&amp;M33,OfficeGroups[Source actions],"&gt;0")+COUNTIFS(OfficeGroups[Source net],M33,OfficeGroups[Record ID],"&lt;"&amp;H33,OfficeGroups[Source actions],"&gt;0")+1)</f>
        <v/>
      </c>
      <c r="R33" s="55" t="str">
        <f aca="false">IF(H33="",IF(COUNTA(I33:K33)&gt;0,"Missing record ID",""),IF(COUNTIFS(OfficeGroups[Record ID],H33)&lt;&gt;1,"Duplicate record ID",IF(I33="","Add name","")))</f>
        <v/>
      </c>
    </row>
    <row r="34" customFormat="false" ht="32" hidden="false" customHeight="true" outlineLevel="0" collapsed="false">
      <c r="A34" s="51" t="str">
        <f aca="false">IF(Trends!$B$6&lt;&gt;"","",IF(COUNTIFS(OfficeGroups[Source rank],10)=1,10,""))</f>
        <v/>
      </c>
      <c r="B34" s="52" t="str">
        <f aca="false">IF(Trends!$B$6&lt;&gt;"","",IF(COUNTIFS(OfficeGroups[Source rank],10)=1,IF(INDEX(OfficeGroups[Source URL],MATCH(10,OfficeGroups[Source rank],0))="",INDEX(OfficeGroups[Source name],MATCH(10,OfficeGroups[Source rank],0)),HYPERLINK(INDEX(OfficeGroups[Source URL],MATCH(10,OfficeGroups[Source rank],0)),INDEX(OfficeGroups[Source name],MATCH(10,OfficeGroups[Source rank],0)))),""))</f>
        <v/>
      </c>
      <c r="C34" s="55" t="str">
        <f aca="false">IF(Trends!$B$6&lt;&gt;"","",IF(COUNTIFS(OfficeGroups[Source rank],10)=1,IF(INDEX(OfficeGroups[Source UEI],MATCH(10,OfficeGroups[Source rank],0))="","Not supplied",INDEX(OfficeGroups[Source UEI],MATCH(10,OfficeGroups[Source rank],0))),""))</f>
        <v/>
      </c>
      <c r="D34" s="54" t="str">
        <f aca="false">IF(Trends!$B$6&lt;&gt;"","",IF(COUNTIFS(OfficeGroups[Source rank],10)=1,INDEX(OfficeGroups[Source net],MATCH(10,OfficeGroups[Source rank],0)),""))</f>
        <v/>
      </c>
      <c r="E34" s="54" t="str">
        <f aca="false">IF(Trends!$B$6&lt;&gt;"","",IF(COUNTIFS(OfficeGroups[Source rank],10)=1,INDEX(OfficeGroups[Source deobligations],MATCH(10,OfficeGroups[Source rank],0)),""))</f>
        <v/>
      </c>
      <c r="F34" s="55" t="str">
        <f aca="false">IF(Trends!$B$6&lt;&gt;"","",IF(COUNTIFS(OfficeGroups[Source rank],10)=1,INDEX(OfficeGroups[Source awards],MATCH(10,OfficeGroups[Source rank],0)),""))</f>
        <v/>
      </c>
      <c r="G34" s="55" t="str">
        <f aca="false">IF(Trends!$B$6&lt;&gt;"","",IF(COUNTIFS(OfficeGroups[Source rank],10)=1,INDEX(OfficeGroups[Source actions],MATCH(10,OfficeGroups[Source rank],0)),""))</f>
        <v/>
      </c>
      <c r="H34" s="56"/>
      <c r="I34" s="56"/>
      <c r="J34" s="56"/>
      <c r="K34" s="56"/>
      <c r="L34" s="55" t="str">
        <f aca="false">IF(H34="","",I34&amp;IF(J34="",""," ["&amp;J34&amp;"]"))</f>
        <v/>
      </c>
      <c r="M34" s="54" t="str">
        <f aca="false">IF(H34="","",SUMIFS(TransactionsData[Obligations],TransactionsData[Funding office ID],H34,TransactionsData[Selected],1))</f>
        <v/>
      </c>
      <c r="N34" s="54" t="str">
        <f aca="false">IF(H34="","",SUMIFS(TransactionsData[Deobligations],TransactionsData[Funding office ID],H34,TransactionsData[Selected],1))</f>
        <v/>
      </c>
      <c r="O34" s="55" t="str">
        <f aca="false">IF(H34="","",SUMIFS(TransactionsData[First office award],TransactionsData[Funding office ID],H34))</f>
        <v/>
      </c>
      <c r="P34" s="55" t="str">
        <f aca="false">IF(H34="","",COUNTIFS(TransactionsData[Funding office ID],H34,TransactionsData[Selected],1))</f>
        <v/>
      </c>
      <c r="Q34" s="55" t="str">
        <f aca="false">IF(OR(H34="",P34=0),"",COUNTIFS(OfficeGroups[Source net],"&gt;"&amp;M34,OfficeGroups[Source actions],"&gt;0")+COUNTIFS(OfficeGroups[Source net],M34,OfficeGroups[Record ID],"&lt;"&amp;H34,OfficeGroups[Source actions],"&gt;0")+1)</f>
        <v/>
      </c>
      <c r="R34" s="55" t="str">
        <f aca="false">IF(H34="",IF(COUNTA(I34:K34)&gt;0,"Missing record ID",""),IF(COUNTIFS(OfficeGroups[Record ID],H34)&lt;&gt;1,"Duplicate record ID",IF(I34="","Add name","")))</f>
        <v/>
      </c>
    </row>
  </sheetData>
  <mergeCells count="5">
    <mergeCell ref="A2:E2"/>
    <mergeCell ref="A3:G3"/>
    <mergeCell ref="A4:G4"/>
    <mergeCell ref="A5:G5"/>
    <mergeCell ref="A6:G6"/>
  </mergeCells>
  <conditionalFormatting sqref="R8:R19">
    <cfRule type="expression" priority="2" aboveAverage="0" equalAverage="0" bottom="0" percent="0" rank="0" text="" dxfId="6">
      <formula>LEN(R8)&gt;0</formula>
    </cfRule>
  </conditionalFormatting>
  <conditionalFormatting sqref="R25:R34">
    <cfRule type="expression" priority="3" aboveAverage="0" equalAverage="0" bottom="0" percent="0" rank="0" text="" dxfId="7">
      <formula>LEN(R25)&gt;0</formula>
    </cfRule>
  </conditionalFormatting>
  <printOptions horizontalCentered="1" gridLines="0" headings="0"/>
  <pageMargins left="0.25" right="0.25" top="0.3" bottom="0.35" header="0.1" footer="0.12"/>
  <pageSetup paperSize="1" orientation="landscape" fitToWidth="1" fitToHeight="1" pageOrder="downThenOver"/>
  <headerFooter>
    <oddHeader>&amp;L&amp;"Arial,Bold"&amp;11Vendors &amp; Buyers</oddHeader>
    <oddFooter>&amp;LVendors &amp; Buyers&amp;RPage &amp;P of &amp;N</oddFooter>
  </headerFooter>
  <tableParts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outlinePr summaryRight="0"/>
    <pageSetUpPr fitToPage="1"/>
  </sheetPr>
  <dimension ref="A1:Y22"/>
  <sheetViews>
    <sheetView showFormulas="false" showGridLines="0" showRowColHeaders="true" showZeros="true" rightToLeft="false" tabSelected="0" showOutlineSymbols="true" defaultGridColor="true" view="normal" topLeftCell="A1" colorId="64" zoomScale="90" zoomScaleNormal="9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false" zeroHeight="false" outlineLevelRow="0" outlineLevelCol="1"/>
  <cols>
    <col customWidth="true" max="1" min="1" style="0" width="26.11"/>
    <col customWidth="true" max="2" min="2" style="0" width="26.11"/>
    <col customWidth="true" max="3" min="3" style="0" width="20"/>
    <col customWidth="true" max="4" min="4" style="0" width="16.67"/>
    <col customWidth="true" max="5" min="5" style="0" width="16.67"/>
    <col customWidth="true" max="6" min="6" style="0" width="18.89"/>
    <col customWidth="true" max="7" min="7" style="0" width="22.78"/>
    <col customWidth="true" max="8" min="8" style="0" width="15.56"/>
    <col customWidth="true" max="9" min="9" style="0" width="17.78"/>
    <col customWidth="true" max="10" min="10" style="0" width="17.78"/>
    <col customWidth="true" max="11" min="11" style="0" width="12.22"/>
    <col customWidth="true" max="12" min="12" style="0" width="13.34"/>
    <col customWidth="true" max="13" min="13" style="0" width="28.89"/>
    <col customWidth="true" max="14" min="14" style="0" width="28.89"/>
    <col customWidth="true" max="15" min="15" style="0" width="8.89"/>
    <col customWidth="true" max="16" min="16" style="0" width="10"/>
    <col customWidth="true" max="17" min="17" style="0" width="11.67"/>
    <col customWidth="true" max="18" min="18" style="0" width="31.11" hidden="1" outlineLevel="1"/>
    <col customWidth="true" max="19" min="19" style="0" width="28.89" hidden="1" outlineLevel="1"/>
    <col customWidth="true" max="20" min="20" style="0" width="27.22" hidden="1" outlineLevel="1"/>
    <col customWidth="true" max="21" min="21" style="0" width="48.89" hidden="1" outlineLevel="1"/>
    <col customWidth="true" max="22" min="22" style="0" width="46.67" hidden="1" outlineLevel="1"/>
    <col customWidth="true" max="23" min="23" style="0" width="30"/>
    <col customWidth="true" max="24" min="24" style="0" width="10.56" hidden="1" outlineLevel="1"/>
    <col customWidth="true" max="25" min="25" style="0" width="11.11" hidden="1" outlineLevel="1"/>
  </cols>
  <sheetData>
    <row r="1" customFormat="false" ht="10" hidden="false" customHeight="true" outlineLevel="0" collapsed="false">
      <c r="A1" s="42"/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</row>
    <row r="2" customFormat="false" ht="32" hidden="false" customHeight="true" outlineLevel="0" collapsed="false">
      <c r="A2" s="43" t="s">
        <v>56</v>
      </c>
      <c r="B2" s="43"/>
      <c r="C2" s="43"/>
      <c r="D2" s="43"/>
      <c r="E2" s="43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</row>
    <row r="3" customFormat="false" ht="34" hidden="false" customHeight="true" outlineLevel="0" collapsed="false">
      <c r="A3" s="42"/>
      <c r="B3" s="44" t="str">
        <f aca="false">"Buyer: "&amp;IF(Transactions!B3="","Not supplied",Transactions!B3)&amp;"  |  Amount period: "&amp;IF(Dashboard!$B$7="All","All covered years",IF(Dashboard!$B$7="","Not supplied","FY"&amp;Dashboard!$B$7))&amp;"  |  Award-type filter: "&amp;Dashboard!$N$10</f>
        <v>Buyer: Not supplied  |  Amount period: Not supplied  |  Award-type filter: All</v>
      </c>
      <c r="C3" s="44"/>
      <c r="D3" s="44"/>
      <c r="E3" s="44"/>
      <c r="F3" s="44"/>
      <c r="G3" s="44"/>
      <c r="H3" s="44" t="str">
        <f aca="false">"Buyer: "&amp;IF(Transactions!B3="","Not supplied",Transactions!B3)&amp;"  |  Amount period: "&amp;IF(Dashboard!$B$7="All","All covered years",IF(Dashboard!$B$7="","Not supplied","FY"&amp;Dashboard!$B$7))&amp;"  |  Award-type filter: "&amp;Dashboard!$N$10</f>
        <v>Buyer: Not supplied  |  Amount period: Not supplied  |  Award-type filter: All</v>
      </c>
      <c r="I3" s="44"/>
      <c r="J3" s="44"/>
      <c r="K3" s="44"/>
      <c r="L3" s="44"/>
      <c r="M3" s="44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</row>
    <row r="4" customFormat="false" ht="28" hidden="false" customHeight="true" outlineLevel="0" collapsed="false">
      <c r="A4" s="57"/>
      <c r="B4" s="44" t="str">
        <f aca="false">"Amount filter — vendor: "&amp;Dashboard!H7</f>
        <v>Amount filter — vendor: All</v>
      </c>
      <c r="C4" s="44"/>
      <c r="D4" s="44"/>
      <c r="E4" s="44"/>
      <c r="F4" s="44"/>
      <c r="G4" s="44"/>
      <c r="H4" s="44" t="str">
        <f aca="false">"Amount filter — vendor: "&amp;Dashboard!H7</f>
        <v>Amount filter — vendor: All</v>
      </c>
      <c r="I4" s="44"/>
      <c r="J4" s="44"/>
      <c r="K4" s="44"/>
      <c r="L4" s="44"/>
      <c r="M4" s="44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</row>
    <row r="5" customFormat="false" ht="28" hidden="false" customHeight="true" outlineLevel="0" collapsed="false">
      <c r="A5" s="44"/>
      <c r="B5" s="44" t="str">
        <f aca="false">"Amount filter — funding office: "&amp;Dashboard!B10</f>
        <v>Amount filter — funding office: All</v>
      </c>
      <c r="C5" s="44"/>
      <c r="D5" s="44"/>
      <c r="E5" s="44"/>
      <c r="F5" s="44"/>
      <c r="G5" s="44"/>
      <c r="H5" s="44" t="str">
        <f aca="false">"Amount filter — funding office: "&amp;Dashboard!B10</f>
        <v>Amount filter — funding office: All</v>
      </c>
      <c r="I5" s="44"/>
      <c r="J5" s="44"/>
      <c r="K5" s="44"/>
      <c r="L5" s="44"/>
      <c r="M5" s="44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</row>
    <row r="6" customFormat="false" ht="30" hidden="false" customHeight="true" outlineLevel="0" collapsed="false">
      <c r="A6" s="42"/>
      <c r="B6" s="44" t="s">
        <v>57</v>
      </c>
      <c r="C6" s="44"/>
      <c r="D6" s="44"/>
      <c r="E6" s="44"/>
      <c r="F6" s="44"/>
      <c r="G6" s="44"/>
      <c r="H6" s="44" t="str">
        <f aca="false">"All source awards are listed. Current snapshots are unfiltered; retrieved "&amp;IF(Transactions!G4="","Not supplied",TEXT(Transactions!G4,"mmm d, yyyy"))</f>
        <v>All source awards are listed. Current snapshots are unfiltered; retrieved Not supplied</v>
      </c>
      <c r="I6" s="44"/>
      <c r="J6" s="44"/>
      <c r="K6" s="44"/>
      <c r="L6" s="44"/>
      <c r="M6" s="44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</row>
    <row r="7" customFormat="false" ht="36" hidden="false" customHeight="true" outlineLevel="0" collapsed="false">
      <c r="A7" s="46" t="s">
        <v>58</v>
      </c>
      <c r="B7" s="46" t="s">
        <v>6</v>
      </c>
      <c r="C7" s="46" t="s">
        <v>43</v>
      </c>
      <c r="D7" s="46" t="s">
        <v>59</v>
      </c>
      <c r="E7" s="46" t="s">
        <v>60</v>
      </c>
      <c r="F7" s="46" t="s">
        <v>11</v>
      </c>
      <c r="G7" s="46" t="s">
        <v>61</v>
      </c>
      <c r="H7" s="46" t="s">
        <v>62</v>
      </c>
      <c r="I7" s="46" t="s">
        <v>63</v>
      </c>
      <c r="J7" s="46" t="s">
        <v>64</v>
      </c>
      <c r="K7" s="46" t="s">
        <v>65</v>
      </c>
      <c r="L7" s="46" t="s">
        <v>66</v>
      </c>
      <c r="M7" s="46" t="s">
        <v>67</v>
      </c>
      <c r="N7" s="46" t="s">
        <v>68</v>
      </c>
      <c r="O7" s="46" t="s">
        <v>69</v>
      </c>
      <c r="P7" s="46" t="s">
        <v>70</v>
      </c>
      <c r="Q7" s="46" t="s">
        <v>71</v>
      </c>
      <c r="R7" s="46" t="s">
        <v>72</v>
      </c>
      <c r="S7" s="46" t="s">
        <v>73</v>
      </c>
      <c r="T7" s="46" t="s">
        <v>74</v>
      </c>
      <c r="U7" s="46" t="s">
        <v>47</v>
      </c>
      <c r="V7" s="46" t="s">
        <v>75</v>
      </c>
      <c r="W7" s="46" t="s">
        <v>54</v>
      </c>
      <c r="X7" s="46" t="s">
        <v>76</v>
      </c>
      <c r="Y7" s="46" t="s">
        <v>77</v>
      </c>
    </row>
    <row r="8" customFormat="false" ht="38" hidden="false" customHeight="true" outlineLevel="0" collapsed="false">
      <c r="A8" s="52" t="str">
        <f aca="false">IF(S8="","",IF(U8="",S8,HYPERLINK(U8,S8)))</f>
        <v/>
      </c>
      <c r="B8" s="52" t="str">
        <f aca="false">IF(T8="","",IF(V8="",T8,HYPERLINK(V8,T8)))</f>
        <v/>
      </c>
      <c r="C8" s="58"/>
      <c r="D8" s="54" t="str">
        <f aca="false">IF(R8="","",IF(Trends!$B$6&lt;&gt;"","",SUMIFS(TransactionsData[Obligations],TransactionsData[Award ID],R8,TransactionsData[Selected],1)))</f>
        <v/>
      </c>
      <c r="E8" s="54" t="str">
        <f aca="false">IF(R8="","",IF(Trends!$B$6&lt;&gt;"","",SUMIFS(TransactionsData[Obligations],TransactionsData[Award ID],R8,TransactionsData[Dimension match],1)))</f>
        <v/>
      </c>
      <c r="F8" s="59"/>
      <c r="G8" s="59"/>
      <c r="H8" s="56"/>
      <c r="I8" s="60"/>
      <c r="J8" s="60"/>
      <c r="K8" s="61"/>
      <c r="L8" s="61"/>
      <c r="M8" s="56"/>
      <c r="N8" s="56"/>
      <c r="O8" s="56"/>
      <c r="P8" s="56"/>
      <c r="Q8" s="61"/>
      <c r="R8" s="56"/>
      <c r="S8" s="56"/>
      <c r="T8" s="56"/>
      <c r="U8" s="56"/>
      <c r="V8" s="56"/>
      <c r="W8" s="55" t="str">
        <f aca="false">IF(R8="",IF(COUNTA(C8,F8:V8)&gt;0,"Missing award ID",""),IF(COUNTIFS(AwardsData[Award ID],R8)&lt;&gt;1,"Duplicate award ID",IF(OR(S8="",T8="",F8=""),"Add reference, vendor and award type",IF(OR(AND(I8&lt;&gt;"",NOT(ISNUMBER(I8))),AND(J8&lt;&gt;"",NOT(ISNUMBER(J8)))),"Use numeric snapshot amounts",IF(OR(COUNTIF(AwardTypeCategories,F8)&lt;&gt;1,COUNTIF(SetAsideCategories,G8)&lt;&gt;1,COUNTIF(PerformanceStateCategories,H8)&lt;&gt;1),"New category: refresh report","")))))</f>
        <v/>
      </c>
      <c r="X8" s="55" t="str">
        <f aca="false">IF(R8="","",COUNTIFS(TransactionsData[Award ID],R8,TransactionsData[Selected],1))</f>
        <v/>
      </c>
      <c r="Y8" s="55" t="str">
        <f aca="false">IF(R8="","",COUNTIFS(TransactionsData[Award ID],R8,TransactionsData[Dimension match],1))</f>
        <v/>
      </c>
    </row>
    <row r="9" customFormat="false" ht="38" hidden="false" customHeight="true" outlineLevel="0" collapsed="false">
      <c r="A9" s="52" t="str">
        <f aca="false">IF(S9="","",IF(U9="",S9,HYPERLINK(U9,S9)))</f>
        <v/>
      </c>
      <c r="B9" s="52" t="str">
        <f aca="false">IF(T9="","",IF(V9="",T9,HYPERLINK(V9,T9)))</f>
        <v/>
      </c>
      <c r="C9" s="58"/>
      <c r="D9" s="54" t="str">
        <f aca="false">IF(R9="","",IF(Trends!$B$6&lt;&gt;"","",SUMIFS(TransactionsData[Obligations],TransactionsData[Award ID],R9,TransactionsData[Selected],1)))</f>
        <v/>
      </c>
      <c r="E9" s="54" t="str">
        <f aca="false">IF(R9="","",IF(Trends!$B$6&lt;&gt;"","",SUMIFS(TransactionsData[Obligations],TransactionsData[Award ID],R9,TransactionsData[Dimension match],1)))</f>
        <v/>
      </c>
      <c r="F9" s="59"/>
      <c r="G9" s="59"/>
      <c r="H9" s="56"/>
      <c r="I9" s="60"/>
      <c r="J9" s="60"/>
      <c r="K9" s="61"/>
      <c r="L9" s="61"/>
      <c r="M9" s="56"/>
      <c r="N9" s="56"/>
      <c r="O9" s="56"/>
      <c r="P9" s="56"/>
      <c r="Q9" s="61"/>
      <c r="R9" s="56"/>
      <c r="S9" s="56"/>
      <c r="T9" s="56"/>
      <c r="U9" s="56"/>
      <c r="V9" s="56"/>
      <c r="W9" s="55" t="str">
        <f aca="false">IF(R9="",IF(COUNTA(C9,F9:V9)&gt;0,"Missing award ID",""),IF(COUNTIFS(AwardsData[Award ID],R9)&lt;&gt;1,"Duplicate award ID",IF(OR(S9="",T9="",F9=""),"Add reference, vendor and award type",IF(OR(AND(I9&lt;&gt;"",NOT(ISNUMBER(I9))),AND(J9&lt;&gt;"",NOT(ISNUMBER(J9)))),"Use numeric snapshot amounts",IF(OR(COUNTIF(AwardTypeCategories,F9)&lt;&gt;1,COUNTIF(SetAsideCategories,G9)&lt;&gt;1,COUNTIF(PerformanceStateCategories,H9)&lt;&gt;1),"New category: refresh report","")))))</f>
        <v/>
      </c>
      <c r="X9" s="55" t="str">
        <f aca="false">IF(R9="","",COUNTIFS(TransactionsData[Award ID],R9,TransactionsData[Selected],1))</f>
        <v/>
      </c>
      <c r="Y9" s="55" t="str">
        <f aca="false">IF(R9="","",COUNTIFS(TransactionsData[Award ID],R9,TransactionsData[Dimension match],1))</f>
        <v/>
      </c>
    </row>
    <row r="10" customFormat="false" ht="38" hidden="false" customHeight="true" outlineLevel="0" collapsed="false">
      <c r="A10" s="52" t="str">
        <f aca="false">IF(S10="","",IF(U10="",S10,HYPERLINK(U10,S10)))</f>
        <v/>
      </c>
      <c r="B10" s="52" t="str">
        <f aca="false">IF(T10="","",IF(V10="",T10,HYPERLINK(V10,T10)))</f>
        <v/>
      </c>
      <c r="C10" s="58"/>
      <c r="D10" s="54" t="str">
        <f aca="false">IF(R10="","",IF(Trends!$B$6&lt;&gt;"","",SUMIFS(TransactionsData[Obligations],TransactionsData[Award ID],R10,TransactionsData[Selected],1)))</f>
        <v/>
      </c>
      <c r="E10" s="54" t="str">
        <f aca="false">IF(R10="","",IF(Trends!$B$6&lt;&gt;"","",SUMIFS(TransactionsData[Obligations],TransactionsData[Award ID],R10,TransactionsData[Dimension match],1)))</f>
        <v/>
      </c>
      <c r="F10" s="59"/>
      <c r="G10" s="59"/>
      <c r="H10" s="56"/>
      <c r="I10" s="60"/>
      <c r="J10" s="60"/>
      <c r="K10" s="61"/>
      <c r="L10" s="61"/>
      <c r="M10" s="56"/>
      <c r="N10" s="56"/>
      <c r="O10" s="56"/>
      <c r="P10" s="56"/>
      <c r="Q10" s="61"/>
      <c r="R10" s="56"/>
      <c r="S10" s="56"/>
      <c r="T10" s="56"/>
      <c r="U10" s="56"/>
      <c r="V10" s="56"/>
      <c r="W10" s="55" t="str">
        <f aca="false">IF(R10="",IF(COUNTA(C10,F10:V10)&gt;0,"Missing award ID",""),IF(COUNTIFS(AwardsData[Award ID],R10)&lt;&gt;1,"Duplicate award ID",IF(OR(S10="",T10="",F10=""),"Add reference, vendor and award type",IF(OR(AND(I10&lt;&gt;"",NOT(ISNUMBER(I10))),AND(J10&lt;&gt;"",NOT(ISNUMBER(J10)))),"Use numeric snapshot amounts",IF(OR(COUNTIF(AwardTypeCategories,F10)&lt;&gt;1,COUNTIF(SetAsideCategories,G10)&lt;&gt;1,COUNTIF(PerformanceStateCategories,H10)&lt;&gt;1),"New category: refresh report","")))))</f>
        <v/>
      </c>
      <c r="X10" s="55" t="str">
        <f aca="false">IF(R10="","",COUNTIFS(TransactionsData[Award ID],R10,TransactionsData[Selected],1))</f>
        <v/>
      </c>
      <c r="Y10" s="55" t="str">
        <f aca="false">IF(R10="","",COUNTIFS(TransactionsData[Award ID],R10,TransactionsData[Dimension match],1))</f>
        <v/>
      </c>
    </row>
    <row r="11" customFormat="false" ht="38" hidden="false" customHeight="true" outlineLevel="0" collapsed="false">
      <c r="A11" s="52" t="str">
        <f aca="false">IF(S11="","",IF(U11="",S11,HYPERLINK(U11,S11)))</f>
        <v/>
      </c>
      <c r="B11" s="52" t="str">
        <f aca="false">IF(T11="","",IF(V11="",T11,HYPERLINK(V11,T11)))</f>
        <v/>
      </c>
      <c r="C11" s="58"/>
      <c r="D11" s="54" t="str">
        <f aca="false">IF(R11="","",IF(Trends!$B$6&lt;&gt;"","",SUMIFS(TransactionsData[Obligations],TransactionsData[Award ID],R11,TransactionsData[Selected],1)))</f>
        <v/>
      </c>
      <c r="E11" s="54" t="str">
        <f aca="false">IF(R11="","",IF(Trends!$B$6&lt;&gt;"","",SUMIFS(TransactionsData[Obligations],TransactionsData[Award ID],R11,TransactionsData[Dimension match],1)))</f>
        <v/>
      </c>
      <c r="F11" s="59"/>
      <c r="G11" s="59"/>
      <c r="H11" s="56"/>
      <c r="I11" s="60"/>
      <c r="J11" s="60"/>
      <c r="K11" s="61"/>
      <c r="L11" s="61"/>
      <c r="M11" s="56"/>
      <c r="N11" s="56"/>
      <c r="O11" s="56"/>
      <c r="P11" s="56"/>
      <c r="Q11" s="61"/>
      <c r="R11" s="56"/>
      <c r="S11" s="56"/>
      <c r="T11" s="56"/>
      <c r="U11" s="56"/>
      <c r="V11" s="56"/>
      <c r="W11" s="55" t="str">
        <f aca="false">IF(R11="",IF(COUNTA(C11,F11:V11)&gt;0,"Missing award ID",""),IF(COUNTIFS(AwardsData[Award ID],R11)&lt;&gt;1,"Duplicate award ID",IF(OR(S11="",T11="",F11=""),"Add reference, vendor and award type",IF(OR(AND(I11&lt;&gt;"",NOT(ISNUMBER(I11))),AND(J11&lt;&gt;"",NOT(ISNUMBER(J11)))),"Use numeric snapshot amounts",IF(OR(COUNTIF(AwardTypeCategories,F11)&lt;&gt;1,COUNTIF(SetAsideCategories,G11)&lt;&gt;1,COUNTIF(PerformanceStateCategories,H11)&lt;&gt;1),"New category: refresh report","")))))</f>
        <v/>
      </c>
      <c r="X11" s="55" t="str">
        <f aca="false">IF(R11="","",COUNTIFS(TransactionsData[Award ID],R11,TransactionsData[Selected],1))</f>
        <v/>
      </c>
      <c r="Y11" s="55" t="str">
        <f aca="false">IF(R11="","",COUNTIFS(TransactionsData[Award ID],R11,TransactionsData[Dimension match],1))</f>
        <v/>
      </c>
    </row>
    <row r="12" customFormat="false" ht="38" hidden="false" customHeight="true" outlineLevel="0" collapsed="false">
      <c r="A12" s="52" t="str">
        <f aca="false">IF(S12="","",IF(U12="",S12,HYPERLINK(U12,S12)))</f>
        <v/>
      </c>
      <c r="B12" s="52" t="str">
        <f aca="false">IF(T12="","",IF(V12="",T12,HYPERLINK(V12,T12)))</f>
        <v/>
      </c>
      <c r="C12" s="58"/>
      <c r="D12" s="54" t="str">
        <f aca="false">IF(R12="","",IF(Trends!$B$6&lt;&gt;"","",SUMIFS(TransactionsData[Obligations],TransactionsData[Award ID],R12,TransactionsData[Selected],1)))</f>
        <v/>
      </c>
      <c r="E12" s="54" t="str">
        <f aca="false">IF(R12="","",IF(Trends!$B$6&lt;&gt;"","",SUMIFS(TransactionsData[Obligations],TransactionsData[Award ID],R12,TransactionsData[Dimension match],1)))</f>
        <v/>
      </c>
      <c r="F12" s="59"/>
      <c r="G12" s="59"/>
      <c r="H12" s="56"/>
      <c r="I12" s="60"/>
      <c r="J12" s="60"/>
      <c r="K12" s="61"/>
      <c r="L12" s="61"/>
      <c r="M12" s="56"/>
      <c r="N12" s="56"/>
      <c r="O12" s="56"/>
      <c r="P12" s="56"/>
      <c r="Q12" s="61"/>
      <c r="R12" s="56"/>
      <c r="S12" s="56"/>
      <c r="T12" s="56"/>
      <c r="U12" s="56"/>
      <c r="V12" s="56"/>
      <c r="W12" s="55" t="str">
        <f aca="false">IF(R12="",IF(COUNTA(C12,F12:V12)&gt;0,"Missing award ID",""),IF(COUNTIFS(AwardsData[Award ID],R12)&lt;&gt;1,"Duplicate award ID",IF(OR(S12="",T12="",F12=""),"Add reference, vendor and award type",IF(OR(AND(I12&lt;&gt;"",NOT(ISNUMBER(I12))),AND(J12&lt;&gt;"",NOT(ISNUMBER(J12)))),"Use numeric snapshot amounts",IF(OR(COUNTIF(AwardTypeCategories,F12)&lt;&gt;1,COUNTIF(SetAsideCategories,G12)&lt;&gt;1,COUNTIF(PerformanceStateCategories,H12)&lt;&gt;1),"New category: refresh report","")))))</f>
        <v/>
      </c>
      <c r="X12" s="55" t="str">
        <f aca="false">IF(R12="","",COUNTIFS(TransactionsData[Award ID],R12,TransactionsData[Selected],1))</f>
        <v/>
      </c>
      <c r="Y12" s="55" t="str">
        <f aca="false">IF(R12="","",COUNTIFS(TransactionsData[Award ID],R12,TransactionsData[Dimension match],1))</f>
        <v/>
      </c>
    </row>
    <row r="13" customFormat="false" ht="38" hidden="false" customHeight="true" outlineLevel="0" collapsed="false">
      <c r="A13" s="52" t="str">
        <f aca="false">IF(S13="","",IF(U13="",S13,HYPERLINK(U13,S13)))</f>
        <v/>
      </c>
      <c r="B13" s="52" t="str">
        <f aca="false">IF(T13="","",IF(V13="",T13,HYPERLINK(V13,T13)))</f>
        <v/>
      </c>
      <c r="C13" s="58"/>
      <c r="D13" s="54" t="str">
        <f aca="false">IF(R13="","",IF(Trends!$B$6&lt;&gt;"","",SUMIFS(TransactionsData[Obligations],TransactionsData[Award ID],R13,TransactionsData[Selected],1)))</f>
        <v/>
      </c>
      <c r="E13" s="54" t="str">
        <f aca="false">IF(R13="","",IF(Trends!$B$6&lt;&gt;"","",SUMIFS(TransactionsData[Obligations],TransactionsData[Award ID],R13,TransactionsData[Dimension match],1)))</f>
        <v/>
      </c>
      <c r="F13" s="59"/>
      <c r="G13" s="59"/>
      <c r="H13" s="56"/>
      <c r="I13" s="60"/>
      <c r="J13" s="60"/>
      <c r="K13" s="61"/>
      <c r="L13" s="61"/>
      <c r="M13" s="56"/>
      <c r="N13" s="56"/>
      <c r="O13" s="56"/>
      <c r="P13" s="56"/>
      <c r="Q13" s="61"/>
      <c r="R13" s="56"/>
      <c r="S13" s="56"/>
      <c r="T13" s="56"/>
      <c r="U13" s="56"/>
      <c r="V13" s="56"/>
      <c r="W13" s="55" t="str">
        <f aca="false">IF(R13="",IF(COUNTA(C13,F13:V13)&gt;0,"Missing award ID",""),IF(COUNTIFS(AwardsData[Award ID],R13)&lt;&gt;1,"Duplicate award ID",IF(OR(S13="",T13="",F13=""),"Add reference, vendor and award type",IF(OR(AND(I13&lt;&gt;"",NOT(ISNUMBER(I13))),AND(J13&lt;&gt;"",NOT(ISNUMBER(J13)))),"Use numeric snapshot amounts",IF(OR(COUNTIF(AwardTypeCategories,F13)&lt;&gt;1,COUNTIF(SetAsideCategories,G13)&lt;&gt;1,COUNTIF(PerformanceStateCategories,H13)&lt;&gt;1),"New category: refresh report","")))))</f>
        <v/>
      </c>
      <c r="X13" s="55" t="str">
        <f aca="false">IF(R13="","",COUNTIFS(TransactionsData[Award ID],R13,TransactionsData[Selected],1))</f>
        <v/>
      </c>
      <c r="Y13" s="55" t="str">
        <f aca="false">IF(R13="","",COUNTIFS(TransactionsData[Award ID],R13,TransactionsData[Dimension match],1))</f>
        <v/>
      </c>
    </row>
    <row r="14" customFormat="false" ht="38" hidden="false" customHeight="true" outlineLevel="0" collapsed="false">
      <c r="A14" s="52" t="str">
        <f aca="false">IF(S14="","",IF(U14="",S14,HYPERLINK(U14,S14)))</f>
        <v/>
      </c>
      <c r="B14" s="52" t="str">
        <f aca="false">IF(T14="","",IF(V14="",T14,HYPERLINK(V14,T14)))</f>
        <v/>
      </c>
      <c r="C14" s="58"/>
      <c r="D14" s="54" t="str">
        <f aca="false">IF(R14="","",IF(Trends!$B$6&lt;&gt;"","",SUMIFS(TransactionsData[Obligations],TransactionsData[Award ID],R14,TransactionsData[Selected],1)))</f>
        <v/>
      </c>
      <c r="E14" s="54" t="str">
        <f aca="false">IF(R14="","",IF(Trends!$B$6&lt;&gt;"","",SUMIFS(TransactionsData[Obligations],TransactionsData[Award ID],R14,TransactionsData[Dimension match],1)))</f>
        <v/>
      </c>
      <c r="F14" s="59"/>
      <c r="G14" s="59"/>
      <c r="H14" s="56"/>
      <c r="I14" s="60"/>
      <c r="J14" s="60"/>
      <c r="K14" s="61"/>
      <c r="L14" s="61"/>
      <c r="M14" s="56"/>
      <c r="N14" s="56"/>
      <c r="O14" s="56"/>
      <c r="P14" s="56"/>
      <c r="Q14" s="61"/>
      <c r="R14" s="56"/>
      <c r="S14" s="56"/>
      <c r="T14" s="56"/>
      <c r="U14" s="56"/>
      <c r="V14" s="56"/>
      <c r="W14" s="55" t="str">
        <f aca="false">IF(R14="",IF(COUNTA(C14,F14:V14)&gt;0,"Missing award ID",""),IF(COUNTIFS(AwardsData[Award ID],R14)&lt;&gt;1,"Duplicate award ID",IF(OR(S14="",T14="",F14=""),"Add reference, vendor and award type",IF(OR(AND(I14&lt;&gt;"",NOT(ISNUMBER(I14))),AND(J14&lt;&gt;"",NOT(ISNUMBER(J14)))),"Use numeric snapshot amounts",IF(OR(COUNTIF(AwardTypeCategories,F14)&lt;&gt;1,COUNTIF(SetAsideCategories,G14)&lt;&gt;1,COUNTIF(PerformanceStateCategories,H14)&lt;&gt;1),"New category: refresh report","")))))</f>
        <v/>
      </c>
      <c r="X14" s="55" t="str">
        <f aca="false">IF(R14="","",COUNTIFS(TransactionsData[Award ID],R14,TransactionsData[Selected],1))</f>
        <v/>
      </c>
      <c r="Y14" s="55" t="str">
        <f aca="false">IF(R14="","",COUNTIFS(TransactionsData[Award ID],R14,TransactionsData[Dimension match],1))</f>
        <v/>
      </c>
    </row>
    <row r="15" customFormat="false" ht="38" hidden="false" customHeight="true" outlineLevel="0" collapsed="false">
      <c r="A15" s="52" t="str">
        <f aca="false">IF(S15="","",IF(U15="",S15,HYPERLINK(U15,S15)))</f>
        <v/>
      </c>
      <c r="B15" s="52" t="str">
        <f aca="false">IF(T15="","",IF(V15="",T15,HYPERLINK(V15,T15)))</f>
        <v/>
      </c>
      <c r="C15" s="58"/>
      <c r="D15" s="54" t="str">
        <f aca="false">IF(R15="","",IF(Trends!$B$6&lt;&gt;"","",SUMIFS(TransactionsData[Obligations],TransactionsData[Award ID],R15,TransactionsData[Selected],1)))</f>
        <v/>
      </c>
      <c r="E15" s="54" t="str">
        <f aca="false">IF(R15="","",IF(Trends!$B$6&lt;&gt;"","",SUMIFS(TransactionsData[Obligations],TransactionsData[Award ID],R15,TransactionsData[Dimension match],1)))</f>
        <v/>
      </c>
      <c r="F15" s="59"/>
      <c r="G15" s="59"/>
      <c r="H15" s="56"/>
      <c r="I15" s="60"/>
      <c r="J15" s="60"/>
      <c r="K15" s="61"/>
      <c r="L15" s="61"/>
      <c r="M15" s="56"/>
      <c r="N15" s="56"/>
      <c r="O15" s="56"/>
      <c r="P15" s="56"/>
      <c r="Q15" s="61"/>
      <c r="R15" s="56"/>
      <c r="S15" s="56"/>
      <c r="T15" s="56"/>
      <c r="U15" s="56"/>
      <c r="V15" s="56"/>
      <c r="W15" s="55" t="str">
        <f aca="false">IF(R15="",IF(COUNTA(C15,F15:V15)&gt;0,"Missing award ID",""),IF(COUNTIFS(AwardsData[Award ID],R15)&lt;&gt;1,"Duplicate award ID",IF(OR(S15="",T15="",F15=""),"Add reference, vendor and award type",IF(OR(AND(I15&lt;&gt;"",NOT(ISNUMBER(I15))),AND(J15&lt;&gt;"",NOT(ISNUMBER(J15)))),"Use numeric snapshot amounts",IF(OR(COUNTIF(AwardTypeCategories,F15)&lt;&gt;1,COUNTIF(SetAsideCategories,G15)&lt;&gt;1,COUNTIF(PerformanceStateCategories,H15)&lt;&gt;1),"New category: refresh report","")))))</f>
        <v/>
      </c>
      <c r="X15" s="55" t="str">
        <f aca="false">IF(R15="","",COUNTIFS(TransactionsData[Award ID],R15,TransactionsData[Selected],1))</f>
        <v/>
      </c>
      <c r="Y15" s="55" t="str">
        <f aca="false">IF(R15="","",COUNTIFS(TransactionsData[Award ID],R15,TransactionsData[Dimension match],1))</f>
        <v/>
      </c>
    </row>
    <row r="16" customFormat="false" ht="38" hidden="false" customHeight="true" outlineLevel="0" collapsed="false">
      <c r="A16" s="52" t="str">
        <f aca="false">IF(S16="","",IF(U16="",S16,HYPERLINK(U16,S16)))</f>
        <v/>
      </c>
      <c r="B16" s="52" t="str">
        <f aca="false">IF(T16="","",IF(V16="",T16,HYPERLINK(V16,T16)))</f>
        <v/>
      </c>
      <c r="C16" s="58"/>
      <c r="D16" s="54" t="str">
        <f aca="false">IF(R16="","",IF(Trends!$B$6&lt;&gt;"","",SUMIFS(TransactionsData[Obligations],TransactionsData[Award ID],R16,TransactionsData[Selected],1)))</f>
        <v/>
      </c>
      <c r="E16" s="54" t="str">
        <f aca="false">IF(R16="","",IF(Trends!$B$6&lt;&gt;"","",SUMIFS(TransactionsData[Obligations],TransactionsData[Award ID],R16,TransactionsData[Dimension match],1)))</f>
        <v/>
      </c>
      <c r="F16" s="59"/>
      <c r="G16" s="59"/>
      <c r="H16" s="56"/>
      <c r="I16" s="60"/>
      <c r="J16" s="60"/>
      <c r="K16" s="61"/>
      <c r="L16" s="61"/>
      <c r="M16" s="56"/>
      <c r="N16" s="56"/>
      <c r="O16" s="56"/>
      <c r="P16" s="56"/>
      <c r="Q16" s="61"/>
      <c r="R16" s="56"/>
      <c r="S16" s="56"/>
      <c r="T16" s="56"/>
      <c r="U16" s="56"/>
      <c r="V16" s="56"/>
      <c r="W16" s="55" t="str">
        <f aca="false">IF(R16="",IF(COUNTA(C16,F16:V16)&gt;0,"Missing award ID",""),IF(COUNTIFS(AwardsData[Award ID],R16)&lt;&gt;1,"Duplicate award ID",IF(OR(S16="",T16="",F16=""),"Add reference, vendor and award type",IF(OR(AND(I16&lt;&gt;"",NOT(ISNUMBER(I16))),AND(J16&lt;&gt;"",NOT(ISNUMBER(J16)))),"Use numeric snapshot amounts",IF(OR(COUNTIF(AwardTypeCategories,F16)&lt;&gt;1,COUNTIF(SetAsideCategories,G16)&lt;&gt;1,COUNTIF(PerformanceStateCategories,H16)&lt;&gt;1),"New category: refresh report","")))))</f>
        <v/>
      </c>
      <c r="X16" s="55" t="str">
        <f aca="false">IF(R16="","",COUNTIFS(TransactionsData[Award ID],R16,TransactionsData[Selected],1))</f>
        <v/>
      </c>
      <c r="Y16" s="55" t="str">
        <f aca="false">IF(R16="","",COUNTIFS(TransactionsData[Award ID],R16,TransactionsData[Dimension match],1))</f>
        <v/>
      </c>
    </row>
    <row r="17" customFormat="false" ht="38" hidden="false" customHeight="true" outlineLevel="0" collapsed="false">
      <c r="A17" s="52" t="str">
        <f aca="false">IF(S17="","",IF(U17="",S17,HYPERLINK(U17,S17)))</f>
        <v/>
      </c>
      <c r="B17" s="52" t="str">
        <f aca="false">IF(T17="","",IF(V17="",T17,HYPERLINK(V17,T17)))</f>
        <v/>
      </c>
      <c r="C17" s="58"/>
      <c r="D17" s="54" t="str">
        <f aca="false">IF(R17="","",IF(Trends!$B$6&lt;&gt;"","",SUMIFS(TransactionsData[Obligations],TransactionsData[Award ID],R17,TransactionsData[Selected],1)))</f>
        <v/>
      </c>
      <c r="E17" s="54" t="str">
        <f aca="false">IF(R17="","",IF(Trends!$B$6&lt;&gt;"","",SUMIFS(TransactionsData[Obligations],TransactionsData[Award ID],R17,TransactionsData[Dimension match],1)))</f>
        <v/>
      </c>
      <c r="F17" s="59"/>
      <c r="G17" s="59"/>
      <c r="H17" s="56"/>
      <c r="I17" s="60"/>
      <c r="J17" s="60"/>
      <c r="K17" s="61"/>
      <c r="L17" s="61"/>
      <c r="M17" s="56"/>
      <c r="N17" s="56"/>
      <c r="O17" s="56"/>
      <c r="P17" s="56"/>
      <c r="Q17" s="61"/>
      <c r="R17" s="56"/>
      <c r="S17" s="56"/>
      <c r="T17" s="56"/>
      <c r="U17" s="56"/>
      <c r="V17" s="56"/>
      <c r="W17" s="55" t="str">
        <f aca="false">IF(R17="",IF(COUNTA(C17,F17:V17)&gt;0,"Missing award ID",""),IF(COUNTIFS(AwardsData[Award ID],R17)&lt;&gt;1,"Duplicate award ID",IF(OR(S17="",T17="",F17=""),"Add reference, vendor and award type",IF(OR(AND(I17&lt;&gt;"",NOT(ISNUMBER(I17))),AND(J17&lt;&gt;"",NOT(ISNUMBER(J17)))),"Use numeric snapshot amounts",IF(OR(COUNTIF(AwardTypeCategories,F17)&lt;&gt;1,COUNTIF(SetAsideCategories,G17)&lt;&gt;1,COUNTIF(PerformanceStateCategories,H17)&lt;&gt;1),"New category: refresh report","")))))</f>
        <v/>
      </c>
      <c r="X17" s="55" t="str">
        <f aca="false">IF(R17="","",COUNTIFS(TransactionsData[Award ID],R17,TransactionsData[Selected],1))</f>
        <v/>
      </c>
      <c r="Y17" s="55" t="str">
        <f aca="false">IF(R17="","",COUNTIFS(TransactionsData[Award ID],R17,TransactionsData[Dimension match],1))</f>
        <v/>
      </c>
    </row>
    <row r="18" customFormat="false" ht="38" hidden="false" customHeight="true" outlineLevel="0" collapsed="false">
      <c r="A18" s="52" t="str">
        <f aca="false">IF(S18="","",IF(U18="",S18,HYPERLINK(U18,S18)))</f>
        <v/>
      </c>
      <c r="B18" s="52" t="str">
        <f aca="false">IF(T18="","",IF(V18="",T18,HYPERLINK(V18,T18)))</f>
        <v/>
      </c>
      <c r="C18" s="58"/>
      <c r="D18" s="54" t="str">
        <f aca="false">IF(R18="","",IF(Trends!$B$6&lt;&gt;"","",SUMIFS(TransactionsData[Obligations],TransactionsData[Award ID],R18,TransactionsData[Selected],1)))</f>
        <v/>
      </c>
      <c r="E18" s="54" t="str">
        <f aca="false">IF(R18="","",IF(Trends!$B$6&lt;&gt;"","",SUMIFS(TransactionsData[Obligations],TransactionsData[Award ID],R18,TransactionsData[Dimension match],1)))</f>
        <v/>
      </c>
      <c r="F18" s="59"/>
      <c r="G18" s="59"/>
      <c r="H18" s="56"/>
      <c r="I18" s="60"/>
      <c r="J18" s="60"/>
      <c r="K18" s="61"/>
      <c r="L18" s="61"/>
      <c r="M18" s="56"/>
      <c r="N18" s="56"/>
      <c r="O18" s="56"/>
      <c r="P18" s="56"/>
      <c r="Q18" s="61"/>
      <c r="R18" s="56"/>
      <c r="S18" s="56"/>
      <c r="T18" s="56"/>
      <c r="U18" s="56"/>
      <c r="V18" s="56"/>
      <c r="W18" s="55" t="str">
        <f aca="false">IF(R18="",IF(COUNTA(C18,F18:V18)&gt;0,"Missing award ID",""),IF(COUNTIFS(AwardsData[Award ID],R18)&lt;&gt;1,"Duplicate award ID",IF(OR(S18="",T18="",F18=""),"Add reference, vendor and award type",IF(OR(AND(I18&lt;&gt;"",NOT(ISNUMBER(I18))),AND(J18&lt;&gt;"",NOT(ISNUMBER(J18)))),"Use numeric snapshot amounts",IF(OR(COUNTIF(AwardTypeCategories,F18)&lt;&gt;1,COUNTIF(SetAsideCategories,G18)&lt;&gt;1,COUNTIF(PerformanceStateCategories,H18)&lt;&gt;1),"New category: refresh report","")))))</f>
        <v/>
      </c>
      <c r="X18" s="55" t="str">
        <f aca="false">IF(R18="","",COUNTIFS(TransactionsData[Award ID],R18,TransactionsData[Selected],1))</f>
        <v/>
      </c>
      <c r="Y18" s="55" t="str">
        <f aca="false">IF(R18="","",COUNTIFS(TransactionsData[Award ID],R18,TransactionsData[Dimension match],1))</f>
        <v/>
      </c>
    </row>
    <row r="19" customFormat="false" ht="38" hidden="false" customHeight="true" outlineLevel="0" collapsed="false">
      <c r="A19" s="52" t="str">
        <f aca="false">IF(S19="","",IF(U19="",S19,HYPERLINK(U19,S19)))</f>
        <v/>
      </c>
      <c r="B19" s="52" t="str">
        <f aca="false">IF(T19="","",IF(V19="",T19,HYPERLINK(V19,T19)))</f>
        <v/>
      </c>
      <c r="C19" s="58"/>
      <c r="D19" s="54" t="str">
        <f aca="false">IF(R19="","",IF(Trends!$B$6&lt;&gt;"","",SUMIFS(TransactionsData[Obligations],TransactionsData[Award ID],R19,TransactionsData[Selected],1)))</f>
        <v/>
      </c>
      <c r="E19" s="54" t="str">
        <f aca="false">IF(R19="","",IF(Trends!$B$6&lt;&gt;"","",SUMIFS(TransactionsData[Obligations],TransactionsData[Award ID],R19,TransactionsData[Dimension match],1)))</f>
        <v/>
      </c>
      <c r="F19" s="59"/>
      <c r="G19" s="59"/>
      <c r="H19" s="56"/>
      <c r="I19" s="60"/>
      <c r="J19" s="60"/>
      <c r="K19" s="61"/>
      <c r="L19" s="61"/>
      <c r="M19" s="56"/>
      <c r="N19" s="56"/>
      <c r="O19" s="56"/>
      <c r="P19" s="56"/>
      <c r="Q19" s="61"/>
      <c r="R19" s="56"/>
      <c r="S19" s="56"/>
      <c r="T19" s="56"/>
      <c r="U19" s="56"/>
      <c r="V19" s="56"/>
      <c r="W19" s="55" t="str">
        <f aca="false">IF(R19="",IF(COUNTA(C19,F19:V19)&gt;0,"Missing award ID",""),IF(COUNTIFS(AwardsData[Award ID],R19)&lt;&gt;1,"Duplicate award ID",IF(OR(S19="",T19="",F19=""),"Add reference, vendor and award type",IF(OR(AND(I19&lt;&gt;"",NOT(ISNUMBER(I19))),AND(J19&lt;&gt;"",NOT(ISNUMBER(J19)))),"Use numeric snapshot amounts",IF(OR(COUNTIF(AwardTypeCategories,F19)&lt;&gt;1,COUNTIF(SetAsideCategories,G19)&lt;&gt;1,COUNTIF(PerformanceStateCategories,H19)&lt;&gt;1),"New category: refresh report","")))))</f>
        <v/>
      </c>
      <c r="X19" s="55" t="str">
        <f aca="false">IF(R19="","",COUNTIFS(TransactionsData[Award ID],R19,TransactionsData[Selected],1))</f>
        <v/>
      </c>
      <c r="Y19" s="55" t="str">
        <f aca="false">IF(R19="","",COUNTIFS(TransactionsData[Award ID],R19,TransactionsData[Dimension match],1))</f>
        <v/>
      </c>
    </row>
    <row r="20" customFormat="false" ht="38" hidden="false" customHeight="true" outlineLevel="0" collapsed="false">
      <c r="A20" s="52" t="str">
        <f aca="false">IF(S20="","",IF(U20="",S20,HYPERLINK(U20,S20)))</f>
        <v/>
      </c>
      <c r="B20" s="52" t="str">
        <f aca="false">IF(T20="","",IF(V20="",T20,HYPERLINK(V20,T20)))</f>
        <v/>
      </c>
      <c r="C20" s="58"/>
      <c r="D20" s="54" t="str">
        <f aca="false">IF(R20="","",IF(Trends!$B$6&lt;&gt;"","",SUMIFS(TransactionsData[Obligations],TransactionsData[Award ID],R20,TransactionsData[Selected],1)))</f>
        <v/>
      </c>
      <c r="E20" s="54" t="str">
        <f aca="false">IF(R20="","",IF(Trends!$B$6&lt;&gt;"","",SUMIFS(TransactionsData[Obligations],TransactionsData[Award ID],R20,TransactionsData[Dimension match],1)))</f>
        <v/>
      </c>
      <c r="F20" s="59"/>
      <c r="G20" s="59"/>
      <c r="H20" s="56"/>
      <c r="I20" s="60"/>
      <c r="J20" s="60"/>
      <c r="K20" s="61"/>
      <c r="L20" s="61"/>
      <c r="M20" s="56"/>
      <c r="N20" s="56"/>
      <c r="O20" s="56"/>
      <c r="P20" s="56"/>
      <c r="Q20" s="61"/>
      <c r="R20" s="56"/>
      <c r="S20" s="56"/>
      <c r="T20" s="56"/>
      <c r="U20" s="56"/>
      <c r="V20" s="56"/>
      <c r="W20" s="55" t="str">
        <f aca="false">IF(R20="",IF(COUNTA(C20,F20:V20)&gt;0,"Missing award ID",""),IF(COUNTIFS(AwardsData[Award ID],R20)&lt;&gt;1,"Duplicate award ID",IF(OR(S20="",T20="",F20=""),"Add reference, vendor and award type",IF(OR(AND(I20&lt;&gt;"",NOT(ISNUMBER(I20))),AND(J20&lt;&gt;"",NOT(ISNUMBER(J20)))),"Use numeric snapshot amounts",IF(OR(COUNTIF(AwardTypeCategories,F20)&lt;&gt;1,COUNTIF(SetAsideCategories,G20)&lt;&gt;1,COUNTIF(PerformanceStateCategories,H20)&lt;&gt;1),"New category: refresh report","")))))</f>
        <v/>
      </c>
      <c r="X20" s="55" t="str">
        <f aca="false">IF(R20="","",COUNTIFS(TransactionsData[Award ID],R20,TransactionsData[Selected],1))</f>
        <v/>
      </c>
      <c r="Y20" s="55" t="str">
        <f aca="false">IF(R20="","",COUNTIFS(TransactionsData[Award ID],R20,TransactionsData[Dimension match],1))</f>
        <v/>
      </c>
    </row>
    <row r="21" customFormat="false" ht="38" hidden="false" customHeight="true" outlineLevel="0" collapsed="false">
      <c r="A21" s="52" t="str">
        <f aca="false">IF(S21="","",IF(U21="",S21,HYPERLINK(U21,S21)))</f>
        <v/>
      </c>
      <c r="B21" s="52" t="str">
        <f aca="false">IF(T21="","",IF(V21="",T21,HYPERLINK(V21,T21)))</f>
        <v/>
      </c>
      <c r="C21" s="58"/>
      <c r="D21" s="54" t="str">
        <f aca="false">IF(R21="","",IF(Trends!$B$6&lt;&gt;"","",SUMIFS(TransactionsData[Obligations],TransactionsData[Award ID],R21,TransactionsData[Selected],1)))</f>
        <v/>
      </c>
      <c r="E21" s="54" t="str">
        <f aca="false">IF(R21="","",IF(Trends!$B$6&lt;&gt;"","",SUMIFS(TransactionsData[Obligations],TransactionsData[Award ID],R21,TransactionsData[Dimension match],1)))</f>
        <v/>
      </c>
      <c r="F21" s="59"/>
      <c r="G21" s="59"/>
      <c r="H21" s="56"/>
      <c r="I21" s="60"/>
      <c r="J21" s="60"/>
      <c r="K21" s="61"/>
      <c r="L21" s="61"/>
      <c r="M21" s="56"/>
      <c r="N21" s="56"/>
      <c r="O21" s="56"/>
      <c r="P21" s="56"/>
      <c r="Q21" s="61"/>
      <c r="R21" s="56"/>
      <c r="S21" s="56"/>
      <c r="T21" s="56"/>
      <c r="U21" s="56"/>
      <c r="V21" s="56"/>
      <c r="W21" s="55" t="str">
        <f aca="false">IF(R21="",IF(COUNTA(C21,F21:V21)&gt;0,"Missing award ID",""),IF(COUNTIFS(AwardsData[Award ID],R21)&lt;&gt;1,"Duplicate award ID",IF(OR(S21="",T21="",F21=""),"Add reference, vendor and award type",IF(OR(AND(I21&lt;&gt;"",NOT(ISNUMBER(I21))),AND(J21&lt;&gt;"",NOT(ISNUMBER(J21)))),"Use numeric snapshot amounts",IF(OR(COUNTIF(AwardTypeCategories,F21)&lt;&gt;1,COUNTIF(SetAsideCategories,G21)&lt;&gt;1,COUNTIF(PerformanceStateCategories,H21)&lt;&gt;1),"New category: refresh report","")))))</f>
        <v/>
      </c>
      <c r="X21" s="55" t="str">
        <f aca="false">IF(R21="","",COUNTIFS(TransactionsData[Award ID],R21,TransactionsData[Selected],1))</f>
        <v/>
      </c>
      <c r="Y21" s="55" t="str">
        <f aca="false">IF(R21="","",COUNTIFS(TransactionsData[Award ID],R21,TransactionsData[Dimension match],1))</f>
        <v/>
      </c>
    </row>
    <row r="22" customFormat="false" ht="38" hidden="false" customHeight="true" outlineLevel="0" collapsed="false">
      <c r="A22" s="52" t="str">
        <f aca="false">IF(S22="","",IF(U22="",S22,HYPERLINK(U22,S22)))</f>
        <v/>
      </c>
      <c r="B22" s="52" t="str">
        <f aca="false">IF(T22="","",IF(V22="",T22,HYPERLINK(V22,T22)))</f>
        <v/>
      </c>
      <c r="C22" s="58"/>
      <c r="D22" s="54" t="str">
        <f aca="false">IF(R22="","",IF(Trends!$B$6&lt;&gt;"","",SUMIFS(TransactionsData[Obligations],TransactionsData[Award ID],R22,TransactionsData[Selected],1)))</f>
        <v/>
      </c>
      <c r="E22" s="54" t="str">
        <f aca="false">IF(R22="","",IF(Trends!$B$6&lt;&gt;"","",SUMIFS(TransactionsData[Obligations],TransactionsData[Award ID],R22,TransactionsData[Dimension match],1)))</f>
        <v/>
      </c>
      <c r="F22" s="59"/>
      <c r="G22" s="59"/>
      <c r="H22" s="56"/>
      <c r="I22" s="60"/>
      <c r="J22" s="60"/>
      <c r="K22" s="61"/>
      <c r="L22" s="61"/>
      <c r="M22" s="56"/>
      <c r="N22" s="56"/>
      <c r="O22" s="56"/>
      <c r="P22" s="56"/>
      <c r="Q22" s="61"/>
      <c r="R22" s="56"/>
      <c r="S22" s="56"/>
      <c r="T22" s="56"/>
      <c r="U22" s="56"/>
      <c r="V22" s="56"/>
      <c r="W22" s="55" t="str">
        <f aca="false">IF(R22="",IF(COUNTA(C22,F22:V22)&gt;0,"Missing award ID",""),IF(COUNTIFS(AwardsData[Award ID],R22)&lt;&gt;1,"Duplicate award ID",IF(OR(S22="",T22="",F22=""),"Add reference, vendor and award type",IF(OR(AND(I22&lt;&gt;"",NOT(ISNUMBER(I22))),AND(J22&lt;&gt;"",NOT(ISNUMBER(J22)))),"Use numeric snapshot amounts",IF(OR(COUNTIF(AwardTypeCategories,F22)&lt;&gt;1,COUNTIF(SetAsideCategories,G22)&lt;&gt;1,COUNTIF(PerformanceStateCategories,H22)&lt;&gt;1),"New category: refresh report","")))))</f>
        <v/>
      </c>
      <c r="X22" s="55" t="str">
        <f aca="false">IF(R22="","",COUNTIFS(TransactionsData[Award ID],R22,TransactionsData[Selected],1))</f>
        <v/>
      </c>
      <c r="Y22" s="55" t="str">
        <f aca="false">IF(R22="","",COUNTIFS(TransactionsData[Award ID],R22,TransactionsData[Dimension match],1))</f>
        <v/>
      </c>
    </row>
  </sheetData>
  <mergeCells count="9">
    <mergeCell ref="A2:E2"/>
    <mergeCell ref="B3:G3"/>
    <mergeCell ref="H3:M3"/>
    <mergeCell ref="B4:G4"/>
    <mergeCell ref="H4:M4"/>
    <mergeCell ref="B5:G5"/>
    <mergeCell ref="H5:M5"/>
    <mergeCell ref="B6:G6"/>
    <mergeCell ref="H6:M6"/>
  </mergeCells>
  <conditionalFormatting sqref="W8:W22">
    <cfRule type="expression" priority="2" aboveAverage="0" equalAverage="0" bottom="0" percent="0" rank="0" text="" dxfId="8">
      <formula>LEN(W8)&gt;0</formula>
    </cfRule>
  </conditionalFormatting>
  <printOptions horizontalCentered="1" gridLines="0" headings="0"/>
  <pageMargins left="0.25" right="0.25" top="0.3" bottom="0.35" header="0.1" footer="0.12"/>
  <pageSetup paperSize="1" orientation="landscape" fitToWidth="1" fitToHeight="0" pageOrder="downThenOver"/>
  <headerFooter>
    <oddHeader>&amp;L&amp;"Arial,Bold"&amp;11Awards</oddHeader>
    <oddFooter>&amp;LAwards&amp;RPage &amp;P of &amp;N</oddFooter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outlinePr summaryRight="0"/>
    <pageSetUpPr fitToPage="1"/>
  </sheetPr>
  <dimension ref="A1:AJ46"/>
  <sheetViews>
    <sheetView showFormulas="false" showGridLines="0" showRowColHeaders="true" showZeros="true" rightToLeft="false" tabSelected="0" showOutlineSymbols="true" defaultGridColor="true" view="normal" topLeftCell="A1" colorId="64" zoomScale="90" zoomScaleNormal="90" zoomScalePageLayoutView="100" workbookViewId="0">
      <pane xSplit="2" ySplit="16" topLeftCell="C17" activePane="bottomRight" state="frozen"/>
      <selection pane="topLeft" activeCell="A1" activeCellId="0" sqref="A1"/>
      <selection pane="topRight" activeCell="C1" activeCellId="0" sqref="C1"/>
      <selection pane="bottomLeft" activeCell="A17" activeCellId="0" sqref="A17"/>
      <selection pane="bottomRight" activeCell="A1" activeCellId="0" sqref="A1"/>
    </sheetView>
  </sheetViews>
  <sheetFormatPr defaultColWidth="8.6796875" defaultRowHeight="15" customHeight="false" zeroHeight="false" outlineLevelRow="0" outlineLevelCol="1"/>
  <cols>
    <col customWidth="true" max="1" min="1" style="0" width="12.78"/>
    <col customWidth="true" max="2" min="2" style="0" width="25.56"/>
    <col customWidth="true" max="3" min="3" style="0" width="26.44"/>
    <col customWidth="true" max="4" min="4" style="0" width="20"/>
    <col customWidth="true" max="5" min="5" style="0" width="30"/>
    <col customWidth="true" max="6" min="6" style="0" width="20"/>
    <col customWidth="true" max="7" min="7" style="0" width="17.22"/>
    <col customWidth="true" max="8" min="8" style="0" width="29.44"/>
    <col customWidth="true" max="9" min="9" style="0" width="37.79" hidden="1" outlineLevel="1"/>
    <col customWidth="true" max="10" min="10" style="0" width="32.22" hidden="1" outlineLevel="1"/>
    <col customWidth="true" max="11" min="11" style="0" width="31.67" hidden="1" outlineLevel="1"/>
    <col customWidth="true" max="12" min="12" style="0" width="27.78" hidden="1" outlineLevel="1"/>
    <col customWidth="true" max="13" min="13" style="0" width="27.78" hidden="1" outlineLevel="1"/>
    <col customWidth="true" max="14" min="14" style="0" width="27.78" hidden="1" outlineLevel="1"/>
    <col customWidth="true" max="15" min="15" style="0" width="32.22" hidden="1" outlineLevel="1"/>
    <col customWidth="true" max="16" min="16" style="0" width="42.22" hidden="1" outlineLevel="1"/>
    <col customWidth="true" max="17" min="17" style="0" width="42.22" hidden="1" outlineLevel="1"/>
    <col customWidth="true" max="18" min="18" style="0" width="48.89" hidden="1" outlineLevel="1"/>
    <col customWidth="true" max="19" min="19" style="0" width="8.89" hidden="1" outlineLevel="1"/>
    <col customWidth="true" max="20" min="20" style="0" width="9.44" hidden="1" outlineLevel="1"/>
    <col customWidth="true" max="21" min="21" style="0" width="31.67"/>
    <col customWidth="true" max="22" min="22" style="0" width="8.89" hidden="1" outlineLevel="1"/>
    <col customWidth="true" max="23" min="23" style="0" width="18.89" hidden="1" outlineLevel="1"/>
    <col customWidth="true" max="24" min="24" style="0" width="21.11" hidden="1" outlineLevel="1"/>
    <col customWidth="true" max="25" min="25" style="0" width="17.78" hidden="1" outlineLevel="1"/>
    <col customWidth="true" max="26" min="26" style="0" width="11.11" hidden="1" outlineLevel="1"/>
    <col customWidth="true" max="27" min="27" style="0" width="10" hidden="1" outlineLevel="1"/>
    <col customWidth="true" max="28" min="28" style="0" width="10" hidden="1" outlineLevel="1"/>
    <col customWidth="true" max="29" min="29" style="0" width="12.22" hidden="1" outlineLevel="1"/>
    <col customWidth="true" max="30" min="30" style="0" width="12.22" hidden="1" outlineLevel="1"/>
    <col customWidth="true" max="31" min="31" style="0" width="12.22" hidden="1" outlineLevel="1"/>
    <col customWidth="true" max="32" min="32" style="0" width="12.22" hidden="1" outlineLevel="1"/>
    <col customWidth="true" max="33" min="33" style="0" width="12.22" hidden="1" outlineLevel="1"/>
    <col customWidth="true" max="34" min="34" style="0" width="12.22" hidden="1" outlineLevel="1"/>
    <col customWidth="true" max="35" min="35" style="0" width="16.11" hidden="1" outlineLevel="1"/>
    <col customWidth="true" max="36" min="36" style="0" width="16.11" hidden="1" outlineLevel="1"/>
  </cols>
  <sheetData>
    <row r="1" customFormat="false" ht="10" hidden="false" customHeight="true" outlineLevel="0" collapsed="false">
      <c r="A1" s="42"/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</row>
    <row r="2" customFormat="false" ht="32" hidden="false" customHeight="true" outlineLevel="0" collapsed="false">
      <c r="A2" s="43" t="s">
        <v>12</v>
      </c>
      <c r="B2" s="43"/>
      <c r="C2" s="43"/>
      <c r="D2" s="43"/>
      <c r="E2" s="43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</row>
    <row r="3" customFormat="false" ht="38" hidden="false" customHeight="true" outlineLevel="0" collapsed="false">
      <c r="A3" s="42" t="s">
        <v>78</v>
      </c>
      <c r="B3" s="9"/>
      <c r="C3" s="9"/>
      <c r="D3" s="9"/>
      <c r="E3" s="42"/>
      <c r="F3" s="42" t="s">
        <v>79</v>
      </c>
      <c r="G3" s="9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42"/>
      <c r="AB3" s="42"/>
      <c r="AC3" s="42"/>
      <c r="AD3" s="42"/>
      <c r="AE3" s="42"/>
      <c r="AF3" s="42"/>
      <c r="AG3" s="42"/>
      <c r="AH3" s="42"/>
      <c r="AI3" s="42"/>
      <c r="AJ3" s="42"/>
    </row>
    <row r="4" customFormat="false" ht="22" hidden="false" customHeight="true" outlineLevel="0" collapsed="false">
      <c r="A4" s="42" t="s">
        <v>34</v>
      </c>
      <c r="B4" s="62"/>
      <c r="C4" s="42" t="s">
        <v>35</v>
      </c>
      <c r="D4" s="62"/>
      <c r="E4" s="42"/>
      <c r="F4" s="42" t="s">
        <v>71</v>
      </c>
      <c r="G4" s="6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  <c r="AF4" s="42"/>
      <c r="AG4" s="42"/>
      <c r="AH4" s="42"/>
      <c r="AI4" s="42"/>
      <c r="AJ4" s="42"/>
    </row>
    <row r="5" customFormat="false" ht="22" hidden="false" customHeight="true" outlineLevel="0" collapsed="false">
      <c r="A5" s="42"/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E5" s="42"/>
      <c r="AF5" s="42"/>
      <c r="AG5" s="42"/>
      <c r="AH5" s="42"/>
      <c r="AI5" s="42"/>
      <c r="AJ5" s="42"/>
    </row>
    <row r="6" customFormat="false" ht="22" hidden="false" customHeight="true" outlineLevel="0" collapsed="false">
      <c r="A6" s="44" t="s">
        <v>80</v>
      </c>
      <c r="B6" s="44"/>
      <c r="C6" s="44"/>
      <c r="D6" s="44"/>
      <c r="E6" s="44"/>
      <c r="F6" s="44"/>
      <c r="G6" s="44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</row>
    <row r="7" customFormat="false" ht="22" hidden="false" customHeight="true" outlineLevel="0" collapsed="false">
      <c r="A7" s="44" t="s">
        <v>81</v>
      </c>
      <c r="B7" s="44"/>
      <c r="C7" s="44"/>
      <c r="D7" s="44"/>
      <c r="E7" s="44"/>
      <c r="F7" s="44"/>
      <c r="G7" s="44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/>
      <c r="AH7" s="42"/>
      <c r="AI7" s="42"/>
      <c r="AJ7" s="42"/>
    </row>
    <row r="8" customFormat="false" ht="22" hidden="false" customHeight="true" outlineLevel="0" collapsed="false">
      <c r="A8" s="42"/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2"/>
      <c r="AG8" s="42"/>
      <c r="AH8" s="42"/>
      <c r="AI8" s="42"/>
      <c r="AJ8" s="42"/>
    </row>
    <row r="9" customFormat="false" ht="22" hidden="false" customHeight="true" outlineLevel="0" collapsed="false">
      <c r="A9" s="42" t="s">
        <v>82</v>
      </c>
      <c r="B9" s="42" t="n">
        <f aca="false">SUM(TransactionsData[Eligible])</f>
        <v>0</v>
      </c>
      <c r="C9" s="42" t="s">
        <v>83</v>
      </c>
      <c r="D9" s="42" t="n">
        <f aca="false">COUNTIFS(TransactionsData[Inclusion],"Exclude")</f>
        <v>0</v>
      </c>
      <c r="E9" s="42"/>
      <c r="F9" s="42" t="s">
        <v>84</v>
      </c>
      <c r="G9" s="47" t="n">
        <f aca="false">SUMIFS(TransactionsData[Obligations],TransactionsData[Inclusion],"Exclude")</f>
        <v>0</v>
      </c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2"/>
      <c r="AH9" s="42"/>
      <c r="AI9" s="42"/>
      <c r="AJ9" s="42"/>
    </row>
    <row r="10" customFormat="false" ht="22" hidden="false" customHeight="true" outlineLevel="0" collapsed="false">
      <c r="A10" s="42" t="s">
        <v>85</v>
      </c>
      <c r="B10" s="47" t="str">
        <f aca="false">IF(COUNTA(TransactionsData[Transaction ID])=0,"",SUMIFS(TransactionsData[Obligations],TransactionsData[Eligible],1))</f>
        <v/>
      </c>
      <c r="C10" s="47" t="s">
        <v>86</v>
      </c>
      <c r="D10" s="47"/>
      <c r="E10" s="42"/>
      <c r="F10" s="42" t="s">
        <v>87</v>
      </c>
      <c r="G10" s="63" t="str">
        <f aca="false">IF(D10="","",B10-D10)</f>
        <v/>
      </c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2"/>
      <c r="AJ10" s="42"/>
    </row>
    <row r="11" customFormat="false" ht="22" hidden="false" customHeight="true" outlineLevel="0" collapsed="false">
      <c r="A11" s="42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2"/>
      <c r="AJ11" s="42"/>
    </row>
    <row r="12" customFormat="false" ht="22" hidden="false" customHeight="true" outlineLevel="0" collapsed="false">
      <c r="A12" s="44" t="s">
        <v>88</v>
      </c>
      <c r="B12" s="44"/>
      <c r="C12" s="44"/>
      <c r="D12" s="44"/>
      <c r="E12" s="44"/>
      <c r="F12" s="44"/>
      <c r="G12" s="44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2"/>
      <c r="AJ12" s="42"/>
    </row>
    <row r="13" customFormat="false" ht="22" hidden="false" customHeight="true" outlineLevel="0" collapsed="false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</row>
    <row r="14" customFormat="false" ht="22" hidden="false" customHeight="true" outlineLevel="0" collapsed="false">
      <c r="A14" s="44" t="s">
        <v>89</v>
      </c>
      <c r="B14" s="44"/>
      <c r="C14" s="44"/>
      <c r="D14" s="44"/>
      <c r="E14" s="44"/>
      <c r="F14" s="44"/>
      <c r="G14" s="44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</row>
    <row r="15" customFormat="false" ht="38" hidden="false" customHeight="true" outlineLevel="0" collapsed="false">
      <c r="A15" s="44" t="str">
        <f aca="false">"Source ledger: "&amp;IF(Transactions!B3="","Not supplied",Transactions!B3)&amp;"  |  "&amp;IF(Transactions!B4="","Not supplied",TEXT(Transactions!B4,"mmm d, yyyy"))&amp;" through "&amp;IF(Transactions!D4="","Not supplied",TEXT(Transactions!D4,"mmm d, yyyy"))&amp;CHAR(10)&amp;"All retrieved rows are retained. Dashboard filters do not narrow this table; its own filters control visible rows."</f>
        <v>Source ledger: Not supplied  |  Not supplied through Not supplied
All retrieved rows are retained. Dashboard filters do not narrow this table; its own filters control visible rows.</v>
      </c>
      <c r="B15" s="44"/>
      <c r="C15" s="44"/>
      <c r="D15" s="44"/>
      <c r="E15" s="44"/>
      <c r="F15" s="44"/>
      <c r="G15" s="44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2"/>
      <c r="AJ15" s="42"/>
    </row>
    <row r="16" customFormat="false" ht="36" hidden="false" customHeight="true" outlineLevel="0" collapsed="false">
      <c r="A16" s="46" t="s">
        <v>90</v>
      </c>
      <c r="B16" s="46" t="s">
        <v>58</v>
      </c>
      <c r="C16" s="46" t="s">
        <v>6</v>
      </c>
      <c r="D16" s="46" t="s">
        <v>43</v>
      </c>
      <c r="E16" s="46" t="s">
        <v>10</v>
      </c>
      <c r="F16" s="46" t="s">
        <v>91</v>
      </c>
      <c r="G16" s="46" t="s">
        <v>92</v>
      </c>
      <c r="H16" s="46" t="s">
        <v>93</v>
      </c>
      <c r="I16" s="46" t="s">
        <v>94</v>
      </c>
      <c r="J16" s="46" t="s">
        <v>72</v>
      </c>
      <c r="K16" s="46" t="s">
        <v>3</v>
      </c>
      <c r="L16" s="46" t="s">
        <v>95</v>
      </c>
      <c r="M16" s="46" t="s">
        <v>73</v>
      </c>
      <c r="N16" s="46" t="s">
        <v>74</v>
      </c>
      <c r="O16" s="46" t="s">
        <v>96</v>
      </c>
      <c r="P16" s="46" t="s">
        <v>97</v>
      </c>
      <c r="Q16" s="46" t="s">
        <v>75</v>
      </c>
      <c r="R16" s="46" t="s">
        <v>98</v>
      </c>
      <c r="S16" s="46" t="s">
        <v>99</v>
      </c>
      <c r="T16" s="46" t="s">
        <v>33</v>
      </c>
      <c r="U16" s="46" t="s">
        <v>54</v>
      </c>
      <c r="V16" s="46" t="s">
        <v>100</v>
      </c>
      <c r="W16" s="46" t="s">
        <v>11</v>
      </c>
      <c r="X16" s="46" t="s">
        <v>61</v>
      </c>
      <c r="Y16" s="46" t="s">
        <v>62</v>
      </c>
      <c r="Z16" s="46" t="s">
        <v>101</v>
      </c>
      <c r="AA16" s="46" t="s">
        <v>102</v>
      </c>
      <c r="AB16" s="46" t="s">
        <v>103</v>
      </c>
      <c r="AC16" s="46" t="s">
        <v>104</v>
      </c>
      <c r="AD16" s="46" t="s">
        <v>105</v>
      </c>
      <c r="AE16" s="46" t="s">
        <v>106</v>
      </c>
      <c r="AF16" s="46" t="s">
        <v>107</v>
      </c>
      <c r="AG16" s="46" t="s">
        <v>108</v>
      </c>
      <c r="AH16" s="46" t="s">
        <v>109</v>
      </c>
      <c r="AI16" s="46" t="s">
        <v>110</v>
      </c>
      <c r="AJ16" s="46" t="s">
        <v>29</v>
      </c>
    </row>
    <row r="17" customFormat="false" ht="40" hidden="false" customHeight="true" outlineLevel="0" collapsed="false">
      <c r="A17" s="64"/>
      <c r="B17" s="52" t="str">
        <f aca="false">IF(M17="","",IF(P17="",M17,HYPERLINK(P17,M17)))</f>
        <v/>
      </c>
      <c r="C17" s="52" t="str">
        <f aca="false">IF(N17="","",IF(Q17="",N17,HYPERLINK(Q17,N17)))</f>
        <v/>
      </c>
      <c r="D17" s="58"/>
      <c r="E17" s="52" t="str">
        <f aca="false">IF(O17="","",IF(R17="",O17,HYPERLINK(R17,O17)))</f>
        <v/>
      </c>
      <c r="F17" s="60"/>
      <c r="G17" s="59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5" t="str">
        <f aca="false">IF(ISNUMBER(A17),YEAR(A17)+IF(MONTH(A17)&gt;=10,1,0),"")</f>
        <v/>
      </c>
      <c r="T17" s="55" t="str">
        <f aca="false">IF(ISNUMBER(A17),INT(MOD(MONTH(A17)-10,12)/3)+1,"")</f>
        <v/>
      </c>
      <c r="U17" s="55" t="str">
        <f aca="false">IF(AND(I17&lt;&gt;"",D17&lt;&gt;"",OR(COUNTIFS(TransactionsData[Vendor ID],K17,TransactionsData[UEI],"&lt;&gt;"&amp;D17,TransactionsData[UEI],"?*")&gt;0,COUNTIFS(VendorGroups[Record ID],K17,VendorGroups[Source UEI],"&lt;&gt;"&amp;D17,VendorGroups[Source UEI],"?*")&gt;0)),"Conflicting vendor UEIs",IF(I17="",IF(COUNTA(A17,D17,F17:R17)&gt;0,"Missing transaction ID",""),IF(COUNTIFS(TransactionsData[Transaction ID],I17)&lt;&gt;1,"Duplicate transaction ID",IF(OR(NOT(ISNUMBER(A17)),A17&lt;1,A17&gt;DATE(2099,1,1)),"Use a valid date",IF(OR(A17&lt;$B$4,A17&gt;$D$4),"Outside coverage",IF(NOT(ISNUMBER(F17)),"Missing or invalid amount",IF(OR(K17="",L17="",N17=""),"Add vendor and office identities",IF(G17="Exclude",IF(OR(F17&lt;&gt;0,H17=""),"Review nonzero or unexplained exclusion",""),IF(G17&lt;&gt;"Include","Choose Include or Exclude",IF(COUNTIFS(AwardsData[Award ID],J17)&lt;&gt;1,"Award link needs review",IF(INDEX(AwardsData[Input check],MATCH(J17,AwardsData[Award ID],0))&lt;&gt;"","Check award inputs","")))))))))))</f>
        <v/>
      </c>
      <c r="V17" s="55" t="n">
        <f aca="false">IF(AND(I17&lt;&gt;"",U17="",G17="Include"),1,0)</f>
        <v>0</v>
      </c>
      <c r="W17" s="55" t="str">
        <f aca="false">IF(I17="","",IF(COUNTIFS(AwardsData[Award ID],J17)=1,INDEX(AwardsData[Current award type],MATCH(J17,AwardsData[Award ID],0)),"Unlinked"))</f>
        <v/>
      </c>
      <c r="X17" s="55" t="str">
        <f aca="false">IF(I17="","",IF(COUNTIFS(AwardsData[Award ID],J17)=1,INDEX(AwardsData[Current set-aside],MATCH(J17,AwardsData[Award ID],0)),"Unlinked"))</f>
        <v/>
      </c>
      <c r="Y17" s="55" t="str">
        <f aca="false">IF(I17="","",IF(COUNTIFS(AwardsData[Award ID],J17)=1,INDEX(AwardsData[Performance state],MATCH(J17,AwardsData[Award ID],0)),"Unlinked"))</f>
        <v/>
      </c>
      <c r="Z17" s="55" t="n">
        <f aca="false">IF(AND(V17=1,OR(Dashboard!$AB$2="All",K17=Dashboard!$AB$2),OR(Dashboard!$AB$3="All",L17=Dashboard!$AB$3),OR(Dashboard!$N$10="All",W17=Dashboard!$N$10)),1,0)</f>
        <v>0</v>
      </c>
      <c r="AA17" s="55" t="n">
        <f aca="false">IF(AND(Z17=1,OR(Dashboard!$B$7="All",S17=Dashboard!$B$7)),1,0)</f>
        <v>0</v>
      </c>
      <c r="AB17" s="55" t="n">
        <f aca="false">IF(AND(V17=1,F17&lt;&gt;0),1,0)</f>
        <v>0</v>
      </c>
      <c r="AC17" s="55" t="n">
        <f aca="false">IF(AND(AA17=1,AB17=1),IF(COUNTIFS($J$17:J17,J17,$AA$17:AA17,1,$AB$17:AB17,1)=1,1,0),0)</f>
        <v>0</v>
      </c>
      <c r="AD17" s="55" t="n">
        <f aca="false">IF(AND(AA17=1,AB17=1),IF(COUNTIFS($K$17:K17,K17,$AA$17:AA17,1,$AB$17:AB17,1)=1,1,0),0)</f>
        <v>0</v>
      </c>
      <c r="AE17" s="55" t="n">
        <f aca="false">IF(AND(Z17=1,AB17=1),IF(COUNTIFS($J$17:J17,J17,$S$17:S17,S17,$Z$17:Z17,1,$AB$17:AB17,1)=1,1,0),0)</f>
        <v>0</v>
      </c>
      <c r="AF17" s="55" t="n">
        <f aca="false">IF(AND(Z17=1,AB17=1),IF(COUNTIFS($K$17:K17,K17,$S$17:S17,S17,$Z$17:Z17,1,$AB$17:AB17,1)=1,1,0),0)</f>
        <v>0</v>
      </c>
      <c r="AG17" s="55" t="n">
        <f aca="false">IF(AND(AA17=1,AB17=1),IF(COUNTIFS($J$17:J17,J17,$L$17:L17,L17,$AA$17:AA17,1,$AB$17:AB17,1)=1,1,0),0)</f>
        <v>0</v>
      </c>
      <c r="AH17" s="55" t="n">
        <f aca="false">IF(AND(AA17=1,AB17=1),IF(COUNTIFS($J$17:J17,J17,$K$17:K17,K17,$AA$17:AA17,1,$AB$17:AB17,1)=1,1,0),0)</f>
        <v>0</v>
      </c>
      <c r="AI17" s="54" t="n">
        <f aca="false">IF(V17=1,MAX(F17,0),0)</f>
        <v>0</v>
      </c>
      <c r="AJ17" s="54" t="n">
        <f aca="false">IF(V17=1,MIN(F17,0),0)</f>
        <v>0</v>
      </c>
    </row>
    <row r="18" customFormat="false" ht="40" hidden="false" customHeight="true" outlineLevel="0" collapsed="false">
      <c r="A18" s="64"/>
      <c r="B18" s="52" t="str">
        <f aca="false">IF(M18="","",IF(P18="",M18,HYPERLINK(P18,M18)))</f>
        <v/>
      </c>
      <c r="C18" s="52" t="str">
        <f aca="false">IF(N18="","",IF(Q18="",N18,HYPERLINK(Q18,N18)))</f>
        <v/>
      </c>
      <c r="D18" s="58"/>
      <c r="E18" s="52" t="str">
        <f aca="false">IF(O18="","",IF(R18="",O18,HYPERLINK(R18,O18)))</f>
        <v/>
      </c>
      <c r="F18" s="60"/>
      <c r="G18" s="59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5" t="str">
        <f aca="false">IF(ISNUMBER(A18),YEAR(A18)+IF(MONTH(A18)&gt;=10,1,0),"")</f>
        <v/>
      </c>
      <c r="T18" s="55" t="str">
        <f aca="false">IF(ISNUMBER(A18),INT(MOD(MONTH(A18)-10,12)/3)+1,"")</f>
        <v/>
      </c>
      <c r="U18" s="55" t="str">
        <f aca="false">IF(AND(I18&lt;&gt;"",D18&lt;&gt;"",OR(COUNTIFS(TransactionsData[Vendor ID],K18,TransactionsData[UEI],"&lt;&gt;"&amp;D18,TransactionsData[UEI],"?*")&gt;0,COUNTIFS(VendorGroups[Record ID],K18,VendorGroups[Source UEI],"&lt;&gt;"&amp;D18,VendorGroups[Source UEI],"?*")&gt;0)),"Conflicting vendor UEIs",IF(I18="",IF(COUNTA(A18,D18,F18:R18)&gt;0,"Missing transaction ID",""),IF(COUNTIFS(TransactionsData[Transaction ID],I18)&lt;&gt;1,"Duplicate transaction ID",IF(OR(NOT(ISNUMBER(A18)),A18&lt;1,A18&gt;DATE(2099,1,1)),"Use a valid date",IF(OR(A18&lt;$B$4,A18&gt;$D$4),"Outside coverage",IF(NOT(ISNUMBER(F18)),"Missing or invalid amount",IF(OR(K18="",L18="",N18=""),"Add vendor and office identities",IF(G18="Exclude",IF(OR(F18&lt;&gt;0,H18=""),"Review nonzero or unexplained exclusion",""),IF(G18&lt;&gt;"Include","Choose Include or Exclude",IF(COUNTIFS(AwardsData[Award ID],J18)&lt;&gt;1,"Award link needs review",IF(INDEX(AwardsData[Input check],MATCH(J18,AwardsData[Award ID],0))&lt;&gt;"","Check award inputs","")))))))))))</f>
        <v/>
      </c>
      <c r="V18" s="55" t="n">
        <f aca="false">IF(AND(I18&lt;&gt;"",U18="",G18="Include"),1,0)</f>
        <v>0</v>
      </c>
      <c r="W18" s="55" t="str">
        <f aca="false">IF(I18="","",IF(COUNTIFS(AwardsData[Award ID],J18)=1,INDEX(AwardsData[Current award type],MATCH(J18,AwardsData[Award ID],0)),"Unlinked"))</f>
        <v/>
      </c>
      <c r="X18" s="55" t="str">
        <f aca="false">IF(I18="","",IF(COUNTIFS(AwardsData[Award ID],J18)=1,INDEX(AwardsData[Current set-aside],MATCH(J18,AwardsData[Award ID],0)),"Unlinked"))</f>
        <v/>
      </c>
      <c r="Y18" s="55" t="str">
        <f aca="false">IF(I18="","",IF(COUNTIFS(AwardsData[Award ID],J18)=1,INDEX(AwardsData[Performance state],MATCH(J18,AwardsData[Award ID],0)),"Unlinked"))</f>
        <v/>
      </c>
      <c r="Z18" s="55" t="n">
        <f aca="false">IF(AND(V18=1,OR(Dashboard!$AB$2="All",K18=Dashboard!$AB$2),OR(Dashboard!$AB$3="All",L18=Dashboard!$AB$3),OR(Dashboard!$N$10="All",W18=Dashboard!$N$10)),1,0)</f>
        <v>0</v>
      </c>
      <c r="AA18" s="55" t="n">
        <f aca="false">IF(AND(Z18=1,OR(Dashboard!$B$7="All",S18=Dashboard!$B$7)),1,0)</f>
        <v>0</v>
      </c>
      <c r="AB18" s="55" t="n">
        <f aca="false">IF(AND(V18=1,F18&lt;&gt;0),1,0)</f>
        <v>0</v>
      </c>
      <c r="AC18" s="55" t="n">
        <f aca="false">IF(AND(AA18=1,AB18=1),IF(COUNTIFS($J$17:J18,J18,$AA$17:AA18,1,$AB$17:AB18,1)=1,1,0),0)</f>
        <v>0</v>
      </c>
      <c r="AD18" s="55" t="n">
        <f aca="false">IF(AND(AA18=1,AB18=1),IF(COUNTIFS($K$17:K18,K18,$AA$17:AA18,1,$AB$17:AB18,1)=1,1,0),0)</f>
        <v>0</v>
      </c>
      <c r="AE18" s="55" t="n">
        <f aca="false">IF(AND(Z18=1,AB18=1),IF(COUNTIFS($J$17:J18,J18,$S$17:S18,S18,$Z$17:Z18,1,$AB$17:AB18,1)=1,1,0),0)</f>
        <v>0</v>
      </c>
      <c r="AF18" s="55" t="n">
        <f aca="false">IF(AND(Z18=1,AB18=1),IF(COUNTIFS($K$17:K18,K18,$S$17:S18,S18,$Z$17:Z18,1,$AB$17:AB18,1)=1,1,0),0)</f>
        <v>0</v>
      </c>
      <c r="AG18" s="55" t="n">
        <f aca="false">IF(AND(AA18=1,AB18=1),IF(COUNTIFS($J$17:J18,J18,$L$17:L18,L18,$AA$17:AA18,1,$AB$17:AB18,1)=1,1,0),0)</f>
        <v>0</v>
      </c>
      <c r="AH18" s="55" t="n">
        <f aca="false">IF(AND(AA18=1,AB18=1),IF(COUNTIFS($J$17:J18,J18,$K$17:K18,K18,$AA$17:AA18,1,$AB$17:AB18,1)=1,1,0),0)</f>
        <v>0</v>
      </c>
      <c r="AI18" s="54" t="n">
        <f aca="false">IF(V18=1,MAX(F18,0),0)</f>
        <v>0</v>
      </c>
      <c r="AJ18" s="54" t="n">
        <f aca="false">IF(V18=1,MIN(F18,0),0)</f>
        <v>0</v>
      </c>
    </row>
    <row r="19" customFormat="false" ht="40" hidden="false" customHeight="true" outlineLevel="0" collapsed="false">
      <c r="A19" s="64"/>
      <c r="B19" s="52" t="str">
        <f aca="false">IF(M19="","",IF(P19="",M19,HYPERLINK(P19,M19)))</f>
        <v/>
      </c>
      <c r="C19" s="52" t="str">
        <f aca="false">IF(N19="","",IF(Q19="",N19,HYPERLINK(Q19,N19)))</f>
        <v/>
      </c>
      <c r="D19" s="58"/>
      <c r="E19" s="52" t="str">
        <f aca="false">IF(O19="","",IF(R19="",O19,HYPERLINK(R19,O19)))</f>
        <v/>
      </c>
      <c r="F19" s="60"/>
      <c r="G19" s="59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5" t="str">
        <f aca="false">IF(ISNUMBER(A19),YEAR(A19)+IF(MONTH(A19)&gt;=10,1,0),"")</f>
        <v/>
      </c>
      <c r="T19" s="55" t="str">
        <f aca="false">IF(ISNUMBER(A19),INT(MOD(MONTH(A19)-10,12)/3)+1,"")</f>
        <v/>
      </c>
      <c r="U19" s="55" t="str">
        <f aca="false">IF(AND(I19&lt;&gt;"",D19&lt;&gt;"",OR(COUNTIFS(TransactionsData[Vendor ID],K19,TransactionsData[UEI],"&lt;&gt;"&amp;D19,TransactionsData[UEI],"?*")&gt;0,COUNTIFS(VendorGroups[Record ID],K19,VendorGroups[Source UEI],"&lt;&gt;"&amp;D19,VendorGroups[Source UEI],"?*")&gt;0)),"Conflicting vendor UEIs",IF(I19="",IF(COUNTA(A19,D19,F19:R19)&gt;0,"Missing transaction ID",""),IF(COUNTIFS(TransactionsData[Transaction ID],I19)&lt;&gt;1,"Duplicate transaction ID",IF(OR(NOT(ISNUMBER(A19)),A19&lt;1,A19&gt;DATE(2099,1,1)),"Use a valid date",IF(OR(A19&lt;$B$4,A19&gt;$D$4),"Outside coverage",IF(NOT(ISNUMBER(F19)),"Missing or invalid amount",IF(OR(K19="",L19="",N19=""),"Add vendor and office identities",IF(G19="Exclude",IF(OR(F19&lt;&gt;0,H19=""),"Review nonzero or unexplained exclusion",""),IF(G19&lt;&gt;"Include","Choose Include or Exclude",IF(COUNTIFS(AwardsData[Award ID],J19)&lt;&gt;1,"Award link needs review",IF(INDEX(AwardsData[Input check],MATCH(J19,AwardsData[Award ID],0))&lt;&gt;"","Check award inputs","")))))))))))</f>
        <v/>
      </c>
      <c r="V19" s="55" t="n">
        <f aca="false">IF(AND(I19&lt;&gt;"",U19="",G19="Include"),1,0)</f>
        <v>0</v>
      </c>
      <c r="W19" s="55" t="str">
        <f aca="false">IF(I19="","",IF(COUNTIFS(AwardsData[Award ID],J19)=1,INDEX(AwardsData[Current award type],MATCH(J19,AwardsData[Award ID],0)),"Unlinked"))</f>
        <v/>
      </c>
      <c r="X19" s="55" t="str">
        <f aca="false">IF(I19="","",IF(COUNTIFS(AwardsData[Award ID],J19)=1,INDEX(AwardsData[Current set-aside],MATCH(J19,AwardsData[Award ID],0)),"Unlinked"))</f>
        <v/>
      </c>
      <c r="Y19" s="55" t="str">
        <f aca="false">IF(I19="","",IF(COUNTIFS(AwardsData[Award ID],J19)=1,INDEX(AwardsData[Performance state],MATCH(J19,AwardsData[Award ID],0)),"Unlinked"))</f>
        <v/>
      </c>
      <c r="Z19" s="55" t="n">
        <f aca="false">IF(AND(V19=1,OR(Dashboard!$AB$2="All",K19=Dashboard!$AB$2),OR(Dashboard!$AB$3="All",L19=Dashboard!$AB$3),OR(Dashboard!$N$10="All",W19=Dashboard!$N$10)),1,0)</f>
        <v>0</v>
      </c>
      <c r="AA19" s="55" t="n">
        <f aca="false">IF(AND(Z19=1,OR(Dashboard!$B$7="All",S19=Dashboard!$B$7)),1,0)</f>
        <v>0</v>
      </c>
      <c r="AB19" s="55" t="n">
        <f aca="false">IF(AND(V19=1,F19&lt;&gt;0),1,0)</f>
        <v>0</v>
      </c>
      <c r="AC19" s="55" t="n">
        <f aca="false">IF(AND(AA19=1,AB19=1),IF(COUNTIFS($J$17:J19,J19,$AA$17:AA19,1,$AB$17:AB19,1)=1,1,0),0)</f>
        <v>0</v>
      </c>
      <c r="AD19" s="55" t="n">
        <f aca="false">IF(AND(AA19=1,AB19=1),IF(COUNTIFS($K$17:K19,K19,$AA$17:AA19,1,$AB$17:AB19,1)=1,1,0),0)</f>
        <v>0</v>
      </c>
      <c r="AE19" s="55" t="n">
        <f aca="false">IF(AND(Z19=1,AB19=1),IF(COUNTIFS($J$17:J19,J19,$S$17:S19,S19,$Z$17:Z19,1,$AB$17:AB19,1)=1,1,0),0)</f>
        <v>0</v>
      </c>
      <c r="AF19" s="55" t="n">
        <f aca="false">IF(AND(Z19=1,AB19=1),IF(COUNTIFS($K$17:K19,K19,$S$17:S19,S19,$Z$17:Z19,1,$AB$17:AB19,1)=1,1,0),0)</f>
        <v>0</v>
      </c>
      <c r="AG19" s="55" t="n">
        <f aca="false">IF(AND(AA19=1,AB19=1),IF(COUNTIFS($J$17:J19,J19,$L$17:L19,L19,$AA$17:AA19,1,$AB$17:AB19,1)=1,1,0),0)</f>
        <v>0</v>
      </c>
      <c r="AH19" s="55" t="n">
        <f aca="false">IF(AND(AA19=1,AB19=1),IF(COUNTIFS($J$17:J19,J19,$K$17:K19,K19,$AA$17:AA19,1,$AB$17:AB19,1)=1,1,0),0)</f>
        <v>0</v>
      </c>
      <c r="AI19" s="54" t="n">
        <f aca="false">IF(V19=1,MAX(F19,0),0)</f>
        <v>0</v>
      </c>
      <c r="AJ19" s="54" t="n">
        <f aca="false">IF(V19=1,MIN(F19,0),0)</f>
        <v>0</v>
      </c>
    </row>
    <row r="20" customFormat="false" ht="40" hidden="false" customHeight="true" outlineLevel="0" collapsed="false">
      <c r="A20" s="64"/>
      <c r="B20" s="52" t="str">
        <f aca="false">IF(M20="","",IF(P20="",M20,HYPERLINK(P20,M20)))</f>
        <v/>
      </c>
      <c r="C20" s="52" t="str">
        <f aca="false">IF(N20="","",IF(Q20="",N20,HYPERLINK(Q20,N20)))</f>
        <v/>
      </c>
      <c r="D20" s="58"/>
      <c r="E20" s="52" t="str">
        <f aca="false">IF(O20="","",IF(R20="",O20,HYPERLINK(R20,O20)))</f>
        <v/>
      </c>
      <c r="F20" s="60"/>
      <c r="G20" s="59"/>
      <c r="H20" s="56"/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5" t="str">
        <f aca="false">IF(ISNUMBER(A20),YEAR(A20)+IF(MONTH(A20)&gt;=10,1,0),"")</f>
        <v/>
      </c>
      <c r="T20" s="55" t="str">
        <f aca="false">IF(ISNUMBER(A20),INT(MOD(MONTH(A20)-10,12)/3)+1,"")</f>
        <v/>
      </c>
      <c r="U20" s="55" t="str">
        <f aca="false">IF(AND(I20&lt;&gt;"",D20&lt;&gt;"",OR(COUNTIFS(TransactionsData[Vendor ID],K20,TransactionsData[UEI],"&lt;&gt;"&amp;D20,TransactionsData[UEI],"?*")&gt;0,COUNTIFS(VendorGroups[Record ID],K20,VendorGroups[Source UEI],"&lt;&gt;"&amp;D20,VendorGroups[Source UEI],"?*")&gt;0)),"Conflicting vendor UEIs",IF(I20="",IF(COUNTA(A20,D20,F20:R20)&gt;0,"Missing transaction ID",""),IF(COUNTIFS(TransactionsData[Transaction ID],I20)&lt;&gt;1,"Duplicate transaction ID",IF(OR(NOT(ISNUMBER(A20)),A20&lt;1,A20&gt;DATE(2099,1,1)),"Use a valid date",IF(OR(A20&lt;$B$4,A20&gt;$D$4),"Outside coverage",IF(NOT(ISNUMBER(F20)),"Missing or invalid amount",IF(OR(K20="",L20="",N20=""),"Add vendor and office identities",IF(G20="Exclude",IF(OR(F20&lt;&gt;0,H20=""),"Review nonzero or unexplained exclusion",""),IF(G20&lt;&gt;"Include","Choose Include or Exclude",IF(COUNTIFS(AwardsData[Award ID],J20)&lt;&gt;1,"Award link needs review",IF(INDEX(AwardsData[Input check],MATCH(J20,AwardsData[Award ID],0))&lt;&gt;"","Check award inputs","")))))))))))</f>
        <v/>
      </c>
      <c r="V20" s="55" t="n">
        <f aca="false">IF(AND(I20&lt;&gt;"",U20="",G20="Include"),1,0)</f>
        <v>0</v>
      </c>
      <c r="W20" s="55" t="str">
        <f aca="false">IF(I20="","",IF(COUNTIFS(AwardsData[Award ID],J20)=1,INDEX(AwardsData[Current award type],MATCH(J20,AwardsData[Award ID],0)),"Unlinked"))</f>
        <v/>
      </c>
      <c r="X20" s="55" t="str">
        <f aca="false">IF(I20="","",IF(COUNTIFS(AwardsData[Award ID],J20)=1,INDEX(AwardsData[Current set-aside],MATCH(J20,AwardsData[Award ID],0)),"Unlinked"))</f>
        <v/>
      </c>
      <c r="Y20" s="55" t="str">
        <f aca="false">IF(I20="","",IF(COUNTIFS(AwardsData[Award ID],J20)=1,INDEX(AwardsData[Performance state],MATCH(J20,AwardsData[Award ID],0)),"Unlinked"))</f>
        <v/>
      </c>
      <c r="Z20" s="55" t="n">
        <f aca="false">IF(AND(V20=1,OR(Dashboard!$AB$2="All",K20=Dashboard!$AB$2),OR(Dashboard!$AB$3="All",L20=Dashboard!$AB$3),OR(Dashboard!$N$10="All",W20=Dashboard!$N$10)),1,0)</f>
        <v>0</v>
      </c>
      <c r="AA20" s="55" t="n">
        <f aca="false">IF(AND(Z20=1,OR(Dashboard!$B$7="All",S20=Dashboard!$B$7)),1,0)</f>
        <v>0</v>
      </c>
      <c r="AB20" s="55" t="n">
        <f aca="false">IF(AND(V20=1,F20&lt;&gt;0),1,0)</f>
        <v>0</v>
      </c>
      <c r="AC20" s="55" t="n">
        <f aca="false">IF(AND(AA20=1,AB20=1),IF(COUNTIFS($J$17:J20,J20,$AA$17:AA20,1,$AB$17:AB20,1)=1,1,0),0)</f>
        <v>0</v>
      </c>
      <c r="AD20" s="55" t="n">
        <f aca="false">IF(AND(AA20=1,AB20=1),IF(COUNTIFS($K$17:K20,K20,$AA$17:AA20,1,$AB$17:AB20,1)=1,1,0),0)</f>
        <v>0</v>
      </c>
      <c r="AE20" s="55" t="n">
        <f aca="false">IF(AND(Z20=1,AB20=1),IF(COUNTIFS($J$17:J20,J20,$S$17:S20,S20,$Z$17:Z20,1,$AB$17:AB20,1)=1,1,0),0)</f>
        <v>0</v>
      </c>
      <c r="AF20" s="55" t="n">
        <f aca="false">IF(AND(Z20=1,AB20=1),IF(COUNTIFS($K$17:K20,K20,$S$17:S20,S20,$Z$17:Z20,1,$AB$17:AB20,1)=1,1,0),0)</f>
        <v>0</v>
      </c>
      <c r="AG20" s="55" t="n">
        <f aca="false">IF(AND(AA20=1,AB20=1),IF(COUNTIFS($J$17:J20,J20,$L$17:L20,L20,$AA$17:AA20,1,$AB$17:AB20,1)=1,1,0),0)</f>
        <v>0</v>
      </c>
      <c r="AH20" s="55" t="n">
        <f aca="false">IF(AND(AA20=1,AB20=1),IF(COUNTIFS($J$17:J20,J20,$K$17:K20,K20,$AA$17:AA20,1,$AB$17:AB20,1)=1,1,0),0)</f>
        <v>0</v>
      </c>
      <c r="AI20" s="54" t="n">
        <f aca="false">IF(V20=1,MAX(F20,0),0)</f>
        <v>0</v>
      </c>
      <c r="AJ20" s="54" t="n">
        <f aca="false">IF(V20=1,MIN(F20,0),0)</f>
        <v>0</v>
      </c>
    </row>
    <row r="21" customFormat="false" ht="40" hidden="false" customHeight="true" outlineLevel="0" collapsed="false">
      <c r="A21" s="64"/>
      <c r="B21" s="52" t="str">
        <f aca="false">IF(M21="","",IF(P21="",M21,HYPERLINK(P21,M21)))</f>
        <v/>
      </c>
      <c r="C21" s="52" t="str">
        <f aca="false">IF(N21="","",IF(Q21="",N21,HYPERLINK(Q21,N21)))</f>
        <v/>
      </c>
      <c r="D21" s="58"/>
      <c r="E21" s="52" t="str">
        <f aca="false">IF(O21="","",IF(R21="",O21,HYPERLINK(R21,O21)))</f>
        <v/>
      </c>
      <c r="F21" s="60"/>
      <c r="G21" s="59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5" t="str">
        <f aca="false">IF(ISNUMBER(A21),YEAR(A21)+IF(MONTH(A21)&gt;=10,1,0),"")</f>
        <v/>
      </c>
      <c r="T21" s="55" t="str">
        <f aca="false">IF(ISNUMBER(A21),INT(MOD(MONTH(A21)-10,12)/3)+1,"")</f>
        <v/>
      </c>
      <c r="U21" s="55" t="str">
        <f aca="false">IF(AND(I21&lt;&gt;"",D21&lt;&gt;"",OR(COUNTIFS(TransactionsData[Vendor ID],K21,TransactionsData[UEI],"&lt;&gt;"&amp;D21,TransactionsData[UEI],"?*")&gt;0,COUNTIFS(VendorGroups[Record ID],K21,VendorGroups[Source UEI],"&lt;&gt;"&amp;D21,VendorGroups[Source UEI],"?*")&gt;0)),"Conflicting vendor UEIs",IF(I21="",IF(COUNTA(A21,D21,F21:R21)&gt;0,"Missing transaction ID",""),IF(COUNTIFS(TransactionsData[Transaction ID],I21)&lt;&gt;1,"Duplicate transaction ID",IF(OR(NOT(ISNUMBER(A21)),A21&lt;1,A21&gt;DATE(2099,1,1)),"Use a valid date",IF(OR(A21&lt;$B$4,A21&gt;$D$4),"Outside coverage",IF(NOT(ISNUMBER(F21)),"Missing or invalid amount",IF(OR(K21="",L21="",N21=""),"Add vendor and office identities",IF(G21="Exclude",IF(OR(F21&lt;&gt;0,H21=""),"Review nonzero or unexplained exclusion",""),IF(G21&lt;&gt;"Include","Choose Include or Exclude",IF(COUNTIFS(AwardsData[Award ID],J21)&lt;&gt;1,"Award link needs review",IF(INDEX(AwardsData[Input check],MATCH(J21,AwardsData[Award ID],0))&lt;&gt;"","Check award inputs","")))))))))))</f>
        <v/>
      </c>
      <c r="V21" s="55" t="n">
        <f aca="false">IF(AND(I21&lt;&gt;"",U21="",G21="Include"),1,0)</f>
        <v>0</v>
      </c>
      <c r="W21" s="55" t="str">
        <f aca="false">IF(I21="","",IF(COUNTIFS(AwardsData[Award ID],J21)=1,INDEX(AwardsData[Current award type],MATCH(J21,AwardsData[Award ID],0)),"Unlinked"))</f>
        <v/>
      </c>
      <c r="X21" s="55" t="str">
        <f aca="false">IF(I21="","",IF(COUNTIFS(AwardsData[Award ID],J21)=1,INDEX(AwardsData[Current set-aside],MATCH(J21,AwardsData[Award ID],0)),"Unlinked"))</f>
        <v/>
      </c>
      <c r="Y21" s="55" t="str">
        <f aca="false">IF(I21="","",IF(COUNTIFS(AwardsData[Award ID],J21)=1,INDEX(AwardsData[Performance state],MATCH(J21,AwardsData[Award ID],0)),"Unlinked"))</f>
        <v/>
      </c>
      <c r="Z21" s="55" t="n">
        <f aca="false">IF(AND(V21=1,OR(Dashboard!$AB$2="All",K21=Dashboard!$AB$2),OR(Dashboard!$AB$3="All",L21=Dashboard!$AB$3),OR(Dashboard!$N$10="All",W21=Dashboard!$N$10)),1,0)</f>
        <v>0</v>
      </c>
      <c r="AA21" s="55" t="n">
        <f aca="false">IF(AND(Z21=1,OR(Dashboard!$B$7="All",S21=Dashboard!$B$7)),1,0)</f>
        <v>0</v>
      </c>
      <c r="AB21" s="55" t="n">
        <f aca="false">IF(AND(V21=1,F21&lt;&gt;0),1,0)</f>
        <v>0</v>
      </c>
      <c r="AC21" s="55" t="n">
        <f aca="false">IF(AND(AA21=1,AB21=1),IF(COUNTIFS($J$17:J21,J21,$AA$17:AA21,1,$AB$17:AB21,1)=1,1,0),0)</f>
        <v>0</v>
      </c>
      <c r="AD21" s="55" t="n">
        <f aca="false">IF(AND(AA21=1,AB21=1),IF(COUNTIFS($K$17:K21,K21,$AA$17:AA21,1,$AB$17:AB21,1)=1,1,0),0)</f>
        <v>0</v>
      </c>
      <c r="AE21" s="55" t="n">
        <f aca="false">IF(AND(Z21=1,AB21=1),IF(COUNTIFS($J$17:J21,J21,$S$17:S21,S21,$Z$17:Z21,1,$AB$17:AB21,1)=1,1,0),0)</f>
        <v>0</v>
      </c>
      <c r="AF21" s="55" t="n">
        <f aca="false">IF(AND(Z21=1,AB21=1),IF(COUNTIFS($K$17:K21,K21,$S$17:S21,S21,$Z$17:Z21,1,$AB$17:AB21,1)=1,1,0),0)</f>
        <v>0</v>
      </c>
      <c r="AG21" s="55" t="n">
        <f aca="false">IF(AND(AA21=1,AB21=1),IF(COUNTIFS($J$17:J21,J21,$L$17:L21,L21,$AA$17:AA21,1,$AB$17:AB21,1)=1,1,0),0)</f>
        <v>0</v>
      </c>
      <c r="AH21" s="55" t="n">
        <f aca="false">IF(AND(AA21=1,AB21=1),IF(COUNTIFS($J$17:J21,J21,$K$17:K21,K21,$AA$17:AA21,1,$AB$17:AB21,1)=1,1,0),0)</f>
        <v>0</v>
      </c>
      <c r="AI21" s="54" t="n">
        <f aca="false">IF(V21=1,MAX(F21,0),0)</f>
        <v>0</v>
      </c>
      <c r="AJ21" s="54" t="n">
        <f aca="false">IF(V21=1,MIN(F21,0),0)</f>
        <v>0</v>
      </c>
    </row>
    <row r="22" customFormat="false" ht="40" hidden="false" customHeight="true" outlineLevel="0" collapsed="false">
      <c r="A22" s="64"/>
      <c r="B22" s="52" t="str">
        <f aca="false">IF(M22="","",IF(P22="",M22,HYPERLINK(P22,M22)))</f>
        <v/>
      </c>
      <c r="C22" s="52" t="str">
        <f aca="false">IF(N22="","",IF(Q22="",N22,HYPERLINK(Q22,N22)))</f>
        <v/>
      </c>
      <c r="D22" s="58"/>
      <c r="E22" s="52" t="str">
        <f aca="false">IF(O22="","",IF(R22="",O22,HYPERLINK(R22,O22)))</f>
        <v/>
      </c>
      <c r="F22" s="60"/>
      <c r="G22" s="59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5" t="str">
        <f aca="false">IF(ISNUMBER(A22),YEAR(A22)+IF(MONTH(A22)&gt;=10,1,0),"")</f>
        <v/>
      </c>
      <c r="T22" s="55" t="str">
        <f aca="false">IF(ISNUMBER(A22),INT(MOD(MONTH(A22)-10,12)/3)+1,"")</f>
        <v/>
      </c>
      <c r="U22" s="55" t="str">
        <f aca="false">IF(AND(I22&lt;&gt;"",D22&lt;&gt;"",OR(COUNTIFS(TransactionsData[Vendor ID],K22,TransactionsData[UEI],"&lt;&gt;"&amp;D22,TransactionsData[UEI],"?*")&gt;0,COUNTIFS(VendorGroups[Record ID],K22,VendorGroups[Source UEI],"&lt;&gt;"&amp;D22,VendorGroups[Source UEI],"?*")&gt;0)),"Conflicting vendor UEIs",IF(I22="",IF(COUNTA(A22,D22,F22:R22)&gt;0,"Missing transaction ID",""),IF(COUNTIFS(TransactionsData[Transaction ID],I22)&lt;&gt;1,"Duplicate transaction ID",IF(OR(NOT(ISNUMBER(A22)),A22&lt;1,A22&gt;DATE(2099,1,1)),"Use a valid date",IF(OR(A22&lt;$B$4,A22&gt;$D$4),"Outside coverage",IF(NOT(ISNUMBER(F22)),"Missing or invalid amount",IF(OR(K22="",L22="",N22=""),"Add vendor and office identities",IF(G22="Exclude",IF(OR(F22&lt;&gt;0,H22=""),"Review nonzero or unexplained exclusion",""),IF(G22&lt;&gt;"Include","Choose Include or Exclude",IF(COUNTIFS(AwardsData[Award ID],J22)&lt;&gt;1,"Award link needs review",IF(INDEX(AwardsData[Input check],MATCH(J22,AwardsData[Award ID],0))&lt;&gt;"","Check award inputs","")))))))))))</f>
        <v/>
      </c>
      <c r="V22" s="55" t="n">
        <f aca="false">IF(AND(I22&lt;&gt;"",U22="",G22="Include"),1,0)</f>
        <v>0</v>
      </c>
      <c r="W22" s="55" t="str">
        <f aca="false">IF(I22="","",IF(COUNTIFS(AwardsData[Award ID],J22)=1,INDEX(AwardsData[Current award type],MATCH(J22,AwardsData[Award ID],0)),"Unlinked"))</f>
        <v/>
      </c>
      <c r="X22" s="55" t="str">
        <f aca="false">IF(I22="","",IF(COUNTIFS(AwardsData[Award ID],J22)=1,INDEX(AwardsData[Current set-aside],MATCH(J22,AwardsData[Award ID],0)),"Unlinked"))</f>
        <v/>
      </c>
      <c r="Y22" s="55" t="str">
        <f aca="false">IF(I22="","",IF(COUNTIFS(AwardsData[Award ID],J22)=1,INDEX(AwardsData[Performance state],MATCH(J22,AwardsData[Award ID],0)),"Unlinked"))</f>
        <v/>
      </c>
      <c r="Z22" s="55" t="n">
        <f aca="false">IF(AND(V22=1,OR(Dashboard!$AB$2="All",K22=Dashboard!$AB$2),OR(Dashboard!$AB$3="All",L22=Dashboard!$AB$3),OR(Dashboard!$N$10="All",W22=Dashboard!$N$10)),1,0)</f>
        <v>0</v>
      </c>
      <c r="AA22" s="55" t="n">
        <f aca="false">IF(AND(Z22=1,OR(Dashboard!$B$7="All",S22=Dashboard!$B$7)),1,0)</f>
        <v>0</v>
      </c>
      <c r="AB22" s="55" t="n">
        <f aca="false">IF(AND(V22=1,F22&lt;&gt;0),1,0)</f>
        <v>0</v>
      </c>
      <c r="AC22" s="55" t="n">
        <f aca="false">IF(AND(AA22=1,AB22=1),IF(COUNTIFS($J$17:J22,J22,$AA$17:AA22,1,$AB$17:AB22,1)=1,1,0),0)</f>
        <v>0</v>
      </c>
      <c r="AD22" s="55" t="n">
        <f aca="false">IF(AND(AA22=1,AB22=1),IF(COUNTIFS($K$17:K22,K22,$AA$17:AA22,1,$AB$17:AB22,1)=1,1,0),0)</f>
        <v>0</v>
      </c>
      <c r="AE22" s="55" t="n">
        <f aca="false">IF(AND(Z22=1,AB22=1),IF(COUNTIFS($J$17:J22,J22,$S$17:S22,S22,$Z$17:Z22,1,$AB$17:AB22,1)=1,1,0),0)</f>
        <v>0</v>
      </c>
      <c r="AF22" s="55" t="n">
        <f aca="false">IF(AND(Z22=1,AB22=1),IF(COUNTIFS($K$17:K22,K22,$S$17:S22,S22,$Z$17:Z22,1,$AB$17:AB22,1)=1,1,0),0)</f>
        <v>0</v>
      </c>
      <c r="AG22" s="55" t="n">
        <f aca="false">IF(AND(AA22=1,AB22=1),IF(COUNTIFS($J$17:J22,J22,$L$17:L22,L22,$AA$17:AA22,1,$AB$17:AB22,1)=1,1,0),0)</f>
        <v>0</v>
      </c>
      <c r="AH22" s="55" t="n">
        <f aca="false">IF(AND(AA22=1,AB22=1),IF(COUNTIFS($J$17:J22,J22,$K$17:K22,K22,$AA$17:AA22,1,$AB$17:AB22,1)=1,1,0),0)</f>
        <v>0</v>
      </c>
      <c r="AI22" s="54" t="n">
        <f aca="false">IF(V22=1,MAX(F22,0),0)</f>
        <v>0</v>
      </c>
      <c r="AJ22" s="54" t="n">
        <f aca="false">IF(V22=1,MIN(F22,0),0)</f>
        <v>0</v>
      </c>
    </row>
    <row r="23" customFormat="false" ht="40" hidden="false" customHeight="true" outlineLevel="0" collapsed="false">
      <c r="A23" s="64"/>
      <c r="B23" s="52" t="str">
        <f aca="false">IF(M23="","",IF(P23="",M23,HYPERLINK(P23,M23)))</f>
        <v/>
      </c>
      <c r="C23" s="52" t="str">
        <f aca="false">IF(N23="","",IF(Q23="",N23,HYPERLINK(Q23,N23)))</f>
        <v/>
      </c>
      <c r="D23" s="58"/>
      <c r="E23" s="52" t="str">
        <f aca="false">IF(O23="","",IF(R23="",O23,HYPERLINK(R23,O23)))</f>
        <v/>
      </c>
      <c r="F23" s="60"/>
      <c r="G23" s="59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5" t="str">
        <f aca="false">IF(ISNUMBER(A23),YEAR(A23)+IF(MONTH(A23)&gt;=10,1,0),"")</f>
        <v/>
      </c>
      <c r="T23" s="55" t="str">
        <f aca="false">IF(ISNUMBER(A23),INT(MOD(MONTH(A23)-10,12)/3)+1,"")</f>
        <v/>
      </c>
      <c r="U23" s="55" t="str">
        <f aca="false">IF(AND(I23&lt;&gt;"",D23&lt;&gt;"",OR(COUNTIFS(TransactionsData[Vendor ID],K23,TransactionsData[UEI],"&lt;&gt;"&amp;D23,TransactionsData[UEI],"?*")&gt;0,COUNTIFS(VendorGroups[Record ID],K23,VendorGroups[Source UEI],"&lt;&gt;"&amp;D23,VendorGroups[Source UEI],"?*")&gt;0)),"Conflicting vendor UEIs",IF(I23="",IF(COUNTA(A23,D23,F23:R23)&gt;0,"Missing transaction ID",""),IF(COUNTIFS(TransactionsData[Transaction ID],I23)&lt;&gt;1,"Duplicate transaction ID",IF(OR(NOT(ISNUMBER(A23)),A23&lt;1,A23&gt;DATE(2099,1,1)),"Use a valid date",IF(OR(A23&lt;$B$4,A23&gt;$D$4),"Outside coverage",IF(NOT(ISNUMBER(F23)),"Missing or invalid amount",IF(OR(K23="",L23="",N23=""),"Add vendor and office identities",IF(G23="Exclude",IF(OR(F23&lt;&gt;0,H23=""),"Review nonzero or unexplained exclusion",""),IF(G23&lt;&gt;"Include","Choose Include or Exclude",IF(COUNTIFS(AwardsData[Award ID],J23)&lt;&gt;1,"Award link needs review",IF(INDEX(AwardsData[Input check],MATCH(J23,AwardsData[Award ID],0))&lt;&gt;"","Check award inputs","")))))))))))</f>
        <v/>
      </c>
      <c r="V23" s="55" t="n">
        <f aca="false">IF(AND(I23&lt;&gt;"",U23="",G23="Include"),1,0)</f>
        <v>0</v>
      </c>
      <c r="W23" s="55" t="str">
        <f aca="false">IF(I23="","",IF(COUNTIFS(AwardsData[Award ID],J23)=1,INDEX(AwardsData[Current award type],MATCH(J23,AwardsData[Award ID],0)),"Unlinked"))</f>
        <v/>
      </c>
      <c r="X23" s="55" t="str">
        <f aca="false">IF(I23="","",IF(COUNTIFS(AwardsData[Award ID],J23)=1,INDEX(AwardsData[Current set-aside],MATCH(J23,AwardsData[Award ID],0)),"Unlinked"))</f>
        <v/>
      </c>
      <c r="Y23" s="55" t="str">
        <f aca="false">IF(I23="","",IF(COUNTIFS(AwardsData[Award ID],J23)=1,INDEX(AwardsData[Performance state],MATCH(J23,AwardsData[Award ID],0)),"Unlinked"))</f>
        <v/>
      </c>
      <c r="Z23" s="55" t="n">
        <f aca="false">IF(AND(V23=1,OR(Dashboard!$AB$2="All",K23=Dashboard!$AB$2),OR(Dashboard!$AB$3="All",L23=Dashboard!$AB$3),OR(Dashboard!$N$10="All",W23=Dashboard!$N$10)),1,0)</f>
        <v>0</v>
      </c>
      <c r="AA23" s="55" t="n">
        <f aca="false">IF(AND(Z23=1,OR(Dashboard!$B$7="All",S23=Dashboard!$B$7)),1,0)</f>
        <v>0</v>
      </c>
      <c r="AB23" s="55" t="n">
        <f aca="false">IF(AND(V23=1,F23&lt;&gt;0),1,0)</f>
        <v>0</v>
      </c>
      <c r="AC23" s="55" t="n">
        <f aca="false">IF(AND(AA23=1,AB23=1),IF(COUNTIFS($J$17:J23,J23,$AA$17:AA23,1,$AB$17:AB23,1)=1,1,0),0)</f>
        <v>0</v>
      </c>
      <c r="AD23" s="55" t="n">
        <f aca="false">IF(AND(AA23=1,AB23=1),IF(COUNTIFS($K$17:K23,K23,$AA$17:AA23,1,$AB$17:AB23,1)=1,1,0),0)</f>
        <v>0</v>
      </c>
      <c r="AE23" s="55" t="n">
        <f aca="false">IF(AND(Z23=1,AB23=1),IF(COUNTIFS($J$17:J23,J23,$S$17:S23,S23,$Z$17:Z23,1,$AB$17:AB23,1)=1,1,0),0)</f>
        <v>0</v>
      </c>
      <c r="AF23" s="55" t="n">
        <f aca="false">IF(AND(Z23=1,AB23=1),IF(COUNTIFS($K$17:K23,K23,$S$17:S23,S23,$Z$17:Z23,1,$AB$17:AB23,1)=1,1,0),0)</f>
        <v>0</v>
      </c>
      <c r="AG23" s="55" t="n">
        <f aca="false">IF(AND(AA23=1,AB23=1),IF(COUNTIFS($J$17:J23,J23,$L$17:L23,L23,$AA$17:AA23,1,$AB$17:AB23,1)=1,1,0),0)</f>
        <v>0</v>
      </c>
      <c r="AH23" s="55" t="n">
        <f aca="false">IF(AND(AA23=1,AB23=1),IF(COUNTIFS($J$17:J23,J23,$K$17:K23,K23,$AA$17:AA23,1,$AB$17:AB23,1)=1,1,0),0)</f>
        <v>0</v>
      </c>
      <c r="AI23" s="54" t="n">
        <f aca="false">IF(V23=1,MAX(F23,0),0)</f>
        <v>0</v>
      </c>
      <c r="AJ23" s="54" t="n">
        <f aca="false">IF(V23=1,MIN(F23,0),0)</f>
        <v>0</v>
      </c>
    </row>
    <row r="24" customFormat="false" ht="40" hidden="false" customHeight="true" outlineLevel="0" collapsed="false">
      <c r="A24" s="64"/>
      <c r="B24" s="52" t="str">
        <f aca="false">IF(M24="","",IF(P24="",M24,HYPERLINK(P24,M24)))</f>
        <v/>
      </c>
      <c r="C24" s="52" t="str">
        <f aca="false">IF(N24="","",IF(Q24="",N24,HYPERLINK(Q24,N24)))</f>
        <v/>
      </c>
      <c r="D24" s="58"/>
      <c r="E24" s="52" t="str">
        <f aca="false">IF(O24="","",IF(R24="",O24,HYPERLINK(R24,O24)))</f>
        <v/>
      </c>
      <c r="F24" s="60"/>
      <c r="G24" s="59"/>
      <c r="H24" s="56"/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5" t="str">
        <f aca="false">IF(ISNUMBER(A24),YEAR(A24)+IF(MONTH(A24)&gt;=10,1,0),"")</f>
        <v/>
      </c>
      <c r="T24" s="55" t="str">
        <f aca="false">IF(ISNUMBER(A24),INT(MOD(MONTH(A24)-10,12)/3)+1,"")</f>
        <v/>
      </c>
      <c r="U24" s="55" t="str">
        <f aca="false">IF(AND(I24&lt;&gt;"",D24&lt;&gt;"",OR(COUNTIFS(TransactionsData[Vendor ID],K24,TransactionsData[UEI],"&lt;&gt;"&amp;D24,TransactionsData[UEI],"?*")&gt;0,COUNTIFS(VendorGroups[Record ID],K24,VendorGroups[Source UEI],"&lt;&gt;"&amp;D24,VendorGroups[Source UEI],"?*")&gt;0)),"Conflicting vendor UEIs",IF(I24="",IF(COUNTA(A24,D24,F24:R24)&gt;0,"Missing transaction ID",""),IF(COUNTIFS(TransactionsData[Transaction ID],I24)&lt;&gt;1,"Duplicate transaction ID",IF(OR(NOT(ISNUMBER(A24)),A24&lt;1,A24&gt;DATE(2099,1,1)),"Use a valid date",IF(OR(A24&lt;$B$4,A24&gt;$D$4),"Outside coverage",IF(NOT(ISNUMBER(F24)),"Missing or invalid amount",IF(OR(K24="",L24="",N24=""),"Add vendor and office identities",IF(G24="Exclude",IF(OR(F24&lt;&gt;0,H24=""),"Review nonzero or unexplained exclusion",""),IF(G24&lt;&gt;"Include","Choose Include or Exclude",IF(COUNTIFS(AwardsData[Award ID],J24)&lt;&gt;1,"Award link needs review",IF(INDEX(AwardsData[Input check],MATCH(J24,AwardsData[Award ID],0))&lt;&gt;"","Check award inputs","")))))))))))</f>
        <v/>
      </c>
      <c r="V24" s="55" t="n">
        <f aca="false">IF(AND(I24&lt;&gt;"",U24="",G24="Include"),1,0)</f>
        <v>0</v>
      </c>
      <c r="W24" s="55" t="str">
        <f aca="false">IF(I24="","",IF(COUNTIFS(AwardsData[Award ID],J24)=1,INDEX(AwardsData[Current award type],MATCH(J24,AwardsData[Award ID],0)),"Unlinked"))</f>
        <v/>
      </c>
      <c r="X24" s="55" t="str">
        <f aca="false">IF(I24="","",IF(COUNTIFS(AwardsData[Award ID],J24)=1,INDEX(AwardsData[Current set-aside],MATCH(J24,AwardsData[Award ID],0)),"Unlinked"))</f>
        <v/>
      </c>
      <c r="Y24" s="55" t="str">
        <f aca="false">IF(I24="","",IF(COUNTIFS(AwardsData[Award ID],J24)=1,INDEX(AwardsData[Performance state],MATCH(J24,AwardsData[Award ID],0)),"Unlinked"))</f>
        <v/>
      </c>
      <c r="Z24" s="55" t="n">
        <f aca="false">IF(AND(V24=1,OR(Dashboard!$AB$2="All",K24=Dashboard!$AB$2),OR(Dashboard!$AB$3="All",L24=Dashboard!$AB$3),OR(Dashboard!$N$10="All",W24=Dashboard!$N$10)),1,0)</f>
        <v>0</v>
      </c>
      <c r="AA24" s="55" t="n">
        <f aca="false">IF(AND(Z24=1,OR(Dashboard!$B$7="All",S24=Dashboard!$B$7)),1,0)</f>
        <v>0</v>
      </c>
      <c r="AB24" s="55" t="n">
        <f aca="false">IF(AND(V24=1,F24&lt;&gt;0),1,0)</f>
        <v>0</v>
      </c>
      <c r="AC24" s="55" t="n">
        <f aca="false">IF(AND(AA24=1,AB24=1),IF(COUNTIFS($J$17:J24,J24,$AA$17:AA24,1,$AB$17:AB24,1)=1,1,0),0)</f>
        <v>0</v>
      </c>
      <c r="AD24" s="55" t="n">
        <f aca="false">IF(AND(AA24=1,AB24=1),IF(COUNTIFS($K$17:K24,K24,$AA$17:AA24,1,$AB$17:AB24,1)=1,1,0),0)</f>
        <v>0</v>
      </c>
      <c r="AE24" s="55" t="n">
        <f aca="false">IF(AND(Z24=1,AB24=1),IF(COUNTIFS($J$17:J24,J24,$S$17:S24,S24,$Z$17:Z24,1,$AB$17:AB24,1)=1,1,0),0)</f>
        <v>0</v>
      </c>
      <c r="AF24" s="55" t="n">
        <f aca="false">IF(AND(Z24=1,AB24=1),IF(COUNTIFS($K$17:K24,K24,$S$17:S24,S24,$Z$17:Z24,1,$AB$17:AB24,1)=1,1,0),0)</f>
        <v>0</v>
      </c>
      <c r="AG24" s="55" t="n">
        <f aca="false">IF(AND(AA24=1,AB24=1),IF(COUNTIFS($J$17:J24,J24,$L$17:L24,L24,$AA$17:AA24,1,$AB$17:AB24,1)=1,1,0),0)</f>
        <v>0</v>
      </c>
      <c r="AH24" s="55" t="n">
        <f aca="false">IF(AND(AA24=1,AB24=1),IF(COUNTIFS($J$17:J24,J24,$K$17:K24,K24,$AA$17:AA24,1,$AB$17:AB24,1)=1,1,0),0)</f>
        <v>0</v>
      </c>
      <c r="AI24" s="54" t="n">
        <f aca="false">IF(V24=1,MAX(F24,0),0)</f>
        <v>0</v>
      </c>
      <c r="AJ24" s="54" t="n">
        <f aca="false">IF(V24=1,MIN(F24,0),0)</f>
        <v>0</v>
      </c>
    </row>
    <row r="25" customFormat="false" ht="40" hidden="false" customHeight="true" outlineLevel="0" collapsed="false">
      <c r="A25" s="64"/>
      <c r="B25" s="52" t="str">
        <f aca="false">IF(M25="","",IF(P25="",M25,HYPERLINK(P25,M25)))</f>
        <v/>
      </c>
      <c r="C25" s="52" t="str">
        <f aca="false">IF(N25="","",IF(Q25="",N25,HYPERLINK(Q25,N25)))</f>
        <v/>
      </c>
      <c r="D25" s="58"/>
      <c r="E25" s="52" t="str">
        <f aca="false">IF(O25="","",IF(R25="",O25,HYPERLINK(R25,O25)))</f>
        <v/>
      </c>
      <c r="F25" s="60"/>
      <c r="G25" s="59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5" t="str">
        <f aca="false">IF(ISNUMBER(A25),YEAR(A25)+IF(MONTH(A25)&gt;=10,1,0),"")</f>
        <v/>
      </c>
      <c r="T25" s="55" t="str">
        <f aca="false">IF(ISNUMBER(A25),INT(MOD(MONTH(A25)-10,12)/3)+1,"")</f>
        <v/>
      </c>
      <c r="U25" s="55" t="str">
        <f aca="false">IF(AND(I25&lt;&gt;"",D25&lt;&gt;"",OR(COUNTIFS(TransactionsData[Vendor ID],K25,TransactionsData[UEI],"&lt;&gt;"&amp;D25,TransactionsData[UEI],"?*")&gt;0,COUNTIFS(VendorGroups[Record ID],K25,VendorGroups[Source UEI],"&lt;&gt;"&amp;D25,VendorGroups[Source UEI],"?*")&gt;0)),"Conflicting vendor UEIs",IF(I25="",IF(COUNTA(A25,D25,F25:R25)&gt;0,"Missing transaction ID",""),IF(COUNTIFS(TransactionsData[Transaction ID],I25)&lt;&gt;1,"Duplicate transaction ID",IF(OR(NOT(ISNUMBER(A25)),A25&lt;1,A25&gt;DATE(2099,1,1)),"Use a valid date",IF(OR(A25&lt;$B$4,A25&gt;$D$4),"Outside coverage",IF(NOT(ISNUMBER(F25)),"Missing or invalid amount",IF(OR(K25="",L25="",N25=""),"Add vendor and office identities",IF(G25="Exclude",IF(OR(F25&lt;&gt;0,H25=""),"Review nonzero or unexplained exclusion",""),IF(G25&lt;&gt;"Include","Choose Include or Exclude",IF(COUNTIFS(AwardsData[Award ID],J25)&lt;&gt;1,"Award link needs review",IF(INDEX(AwardsData[Input check],MATCH(J25,AwardsData[Award ID],0))&lt;&gt;"","Check award inputs","")))))))))))</f>
        <v/>
      </c>
      <c r="V25" s="55" t="n">
        <f aca="false">IF(AND(I25&lt;&gt;"",U25="",G25="Include"),1,0)</f>
        <v>0</v>
      </c>
      <c r="W25" s="55" t="str">
        <f aca="false">IF(I25="","",IF(COUNTIFS(AwardsData[Award ID],J25)=1,INDEX(AwardsData[Current award type],MATCH(J25,AwardsData[Award ID],0)),"Unlinked"))</f>
        <v/>
      </c>
      <c r="X25" s="55" t="str">
        <f aca="false">IF(I25="","",IF(COUNTIFS(AwardsData[Award ID],J25)=1,INDEX(AwardsData[Current set-aside],MATCH(J25,AwardsData[Award ID],0)),"Unlinked"))</f>
        <v/>
      </c>
      <c r="Y25" s="55" t="str">
        <f aca="false">IF(I25="","",IF(COUNTIFS(AwardsData[Award ID],J25)=1,INDEX(AwardsData[Performance state],MATCH(J25,AwardsData[Award ID],0)),"Unlinked"))</f>
        <v/>
      </c>
      <c r="Z25" s="55" t="n">
        <f aca="false">IF(AND(V25=1,OR(Dashboard!$AB$2="All",K25=Dashboard!$AB$2),OR(Dashboard!$AB$3="All",L25=Dashboard!$AB$3),OR(Dashboard!$N$10="All",W25=Dashboard!$N$10)),1,0)</f>
        <v>0</v>
      </c>
      <c r="AA25" s="55" t="n">
        <f aca="false">IF(AND(Z25=1,OR(Dashboard!$B$7="All",S25=Dashboard!$B$7)),1,0)</f>
        <v>0</v>
      </c>
      <c r="AB25" s="55" t="n">
        <f aca="false">IF(AND(V25=1,F25&lt;&gt;0),1,0)</f>
        <v>0</v>
      </c>
      <c r="AC25" s="55" t="n">
        <f aca="false">IF(AND(AA25=1,AB25=1),IF(COUNTIFS($J$17:J25,J25,$AA$17:AA25,1,$AB$17:AB25,1)=1,1,0),0)</f>
        <v>0</v>
      </c>
      <c r="AD25" s="55" t="n">
        <f aca="false">IF(AND(AA25=1,AB25=1),IF(COUNTIFS($K$17:K25,K25,$AA$17:AA25,1,$AB$17:AB25,1)=1,1,0),0)</f>
        <v>0</v>
      </c>
      <c r="AE25" s="55" t="n">
        <f aca="false">IF(AND(Z25=1,AB25=1),IF(COUNTIFS($J$17:J25,J25,$S$17:S25,S25,$Z$17:Z25,1,$AB$17:AB25,1)=1,1,0),0)</f>
        <v>0</v>
      </c>
      <c r="AF25" s="55" t="n">
        <f aca="false">IF(AND(Z25=1,AB25=1),IF(COUNTIFS($K$17:K25,K25,$S$17:S25,S25,$Z$17:Z25,1,$AB$17:AB25,1)=1,1,0),0)</f>
        <v>0</v>
      </c>
      <c r="AG25" s="55" t="n">
        <f aca="false">IF(AND(AA25=1,AB25=1),IF(COUNTIFS($J$17:J25,J25,$L$17:L25,L25,$AA$17:AA25,1,$AB$17:AB25,1)=1,1,0),0)</f>
        <v>0</v>
      </c>
      <c r="AH25" s="55" t="n">
        <f aca="false">IF(AND(AA25=1,AB25=1),IF(COUNTIFS($J$17:J25,J25,$K$17:K25,K25,$AA$17:AA25,1,$AB$17:AB25,1)=1,1,0),0)</f>
        <v>0</v>
      </c>
      <c r="AI25" s="54" t="n">
        <f aca="false">IF(V25=1,MAX(F25,0),0)</f>
        <v>0</v>
      </c>
      <c r="AJ25" s="54" t="n">
        <f aca="false">IF(V25=1,MIN(F25,0),0)</f>
        <v>0</v>
      </c>
    </row>
    <row r="26" customFormat="false" ht="40" hidden="false" customHeight="true" outlineLevel="0" collapsed="false">
      <c r="A26" s="64"/>
      <c r="B26" s="52" t="str">
        <f aca="false">IF(M26="","",IF(P26="",M26,HYPERLINK(P26,M26)))</f>
        <v/>
      </c>
      <c r="C26" s="52" t="str">
        <f aca="false">IF(N26="","",IF(Q26="",N26,HYPERLINK(Q26,N26)))</f>
        <v/>
      </c>
      <c r="D26" s="58"/>
      <c r="E26" s="52" t="str">
        <f aca="false">IF(O26="","",IF(R26="",O26,HYPERLINK(R26,O26)))</f>
        <v/>
      </c>
      <c r="F26" s="60"/>
      <c r="G26" s="59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5" t="str">
        <f aca="false">IF(ISNUMBER(A26),YEAR(A26)+IF(MONTH(A26)&gt;=10,1,0),"")</f>
        <v/>
      </c>
      <c r="T26" s="55" t="str">
        <f aca="false">IF(ISNUMBER(A26),INT(MOD(MONTH(A26)-10,12)/3)+1,"")</f>
        <v/>
      </c>
      <c r="U26" s="55" t="str">
        <f aca="false">IF(AND(I26&lt;&gt;"",D26&lt;&gt;"",OR(COUNTIFS(TransactionsData[Vendor ID],K26,TransactionsData[UEI],"&lt;&gt;"&amp;D26,TransactionsData[UEI],"?*")&gt;0,COUNTIFS(VendorGroups[Record ID],K26,VendorGroups[Source UEI],"&lt;&gt;"&amp;D26,VendorGroups[Source UEI],"?*")&gt;0)),"Conflicting vendor UEIs",IF(I26="",IF(COUNTA(A26,D26,F26:R26)&gt;0,"Missing transaction ID",""),IF(COUNTIFS(TransactionsData[Transaction ID],I26)&lt;&gt;1,"Duplicate transaction ID",IF(OR(NOT(ISNUMBER(A26)),A26&lt;1,A26&gt;DATE(2099,1,1)),"Use a valid date",IF(OR(A26&lt;$B$4,A26&gt;$D$4),"Outside coverage",IF(NOT(ISNUMBER(F26)),"Missing or invalid amount",IF(OR(K26="",L26="",N26=""),"Add vendor and office identities",IF(G26="Exclude",IF(OR(F26&lt;&gt;0,H26=""),"Review nonzero or unexplained exclusion",""),IF(G26&lt;&gt;"Include","Choose Include or Exclude",IF(COUNTIFS(AwardsData[Award ID],J26)&lt;&gt;1,"Award link needs review",IF(INDEX(AwardsData[Input check],MATCH(J26,AwardsData[Award ID],0))&lt;&gt;"","Check award inputs","")))))))))))</f>
        <v/>
      </c>
      <c r="V26" s="55" t="n">
        <f aca="false">IF(AND(I26&lt;&gt;"",U26="",G26="Include"),1,0)</f>
        <v>0</v>
      </c>
      <c r="W26" s="55" t="str">
        <f aca="false">IF(I26="","",IF(COUNTIFS(AwardsData[Award ID],J26)=1,INDEX(AwardsData[Current award type],MATCH(J26,AwardsData[Award ID],0)),"Unlinked"))</f>
        <v/>
      </c>
      <c r="X26" s="55" t="str">
        <f aca="false">IF(I26="","",IF(COUNTIFS(AwardsData[Award ID],J26)=1,INDEX(AwardsData[Current set-aside],MATCH(J26,AwardsData[Award ID],0)),"Unlinked"))</f>
        <v/>
      </c>
      <c r="Y26" s="55" t="str">
        <f aca="false">IF(I26="","",IF(COUNTIFS(AwardsData[Award ID],J26)=1,INDEX(AwardsData[Performance state],MATCH(J26,AwardsData[Award ID],0)),"Unlinked"))</f>
        <v/>
      </c>
      <c r="Z26" s="55" t="n">
        <f aca="false">IF(AND(V26=1,OR(Dashboard!$AB$2="All",K26=Dashboard!$AB$2),OR(Dashboard!$AB$3="All",L26=Dashboard!$AB$3),OR(Dashboard!$N$10="All",W26=Dashboard!$N$10)),1,0)</f>
        <v>0</v>
      </c>
      <c r="AA26" s="55" t="n">
        <f aca="false">IF(AND(Z26=1,OR(Dashboard!$B$7="All",S26=Dashboard!$B$7)),1,0)</f>
        <v>0</v>
      </c>
      <c r="AB26" s="55" t="n">
        <f aca="false">IF(AND(V26=1,F26&lt;&gt;0),1,0)</f>
        <v>0</v>
      </c>
      <c r="AC26" s="55" t="n">
        <f aca="false">IF(AND(AA26=1,AB26=1),IF(COUNTIFS($J$17:J26,J26,$AA$17:AA26,1,$AB$17:AB26,1)=1,1,0),0)</f>
        <v>0</v>
      </c>
      <c r="AD26" s="55" t="n">
        <f aca="false">IF(AND(AA26=1,AB26=1),IF(COUNTIFS($K$17:K26,K26,$AA$17:AA26,1,$AB$17:AB26,1)=1,1,0),0)</f>
        <v>0</v>
      </c>
      <c r="AE26" s="55" t="n">
        <f aca="false">IF(AND(Z26=1,AB26=1),IF(COUNTIFS($J$17:J26,J26,$S$17:S26,S26,$Z$17:Z26,1,$AB$17:AB26,1)=1,1,0),0)</f>
        <v>0</v>
      </c>
      <c r="AF26" s="55" t="n">
        <f aca="false">IF(AND(Z26=1,AB26=1),IF(COUNTIFS($K$17:K26,K26,$S$17:S26,S26,$Z$17:Z26,1,$AB$17:AB26,1)=1,1,0),0)</f>
        <v>0</v>
      </c>
      <c r="AG26" s="55" t="n">
        <f aca="false">IF(AND(AA26=1,AB26=1),IF(COUNTIFS($J$17:J26,J26,$L$17:L26,L26,$AA$17:AA26,1,$AB$17:AB26,1)=1,1,0),0)</f>
        <v>0</v>
      </c>
      <c r="AH26" s="55" t="n">
        <f aca="false">IF(AND(AA26=1,AB26=1),IF(COUNTIFS($J$17:J26,J26,$K$17:K26,K26,$AA$17:AA26,1,$AB$17:AB26,1)=1,1,0),0)</f>
        <v>0</v>
      </c>
      <c r="AI26" s="54" t="n">
        <f aca="false">IF(V26=1,MAX(F26,0),0)</f>
        <v>0</v>
      </c>
      <c r="AJ26" s="54" t="n">
        <f aca="false">IF(V26=1,MIN(F26,0),0)</f>
        <v>0</v>
      </c>
    </row>
    <row r="27" customFormat="false" ht="40" hidden="false" customHeight="true" outlineLevel="0" collapsed="false">
      <c r="A27" s="64"/>
      <c r="B27" s="52" t="str">
        <f aca="false">IF(M27="","",IF(P27="",M27,HYPERLINK(P27,M27)))</f>
        <v/>
      </c>
      <c r="C27" s="52" t="str">
        <f aca="false">IF(N27="","",IF(Q27="",N27,HYPERLINK(Q27,N27)))</f>
        <v/>
      </c>
      <c r="D27" s="58"/>
      <c r="E27" s="52" t="str">
        <f aca="false">IF(O27="","",IF(R27="",O27,HYPERLINK(R27,O27)))</f>
        <v/>
      </c>
      <c r="F27" s="60"/>
      <c r="G27" s="59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5" t="str">
        <f aca="false">IF(ISNUMBER(A27),YEAR(A27)+IF(MONTH(A27)&gt;=10,1,0),"")</f>
        <v/>
      </c>
      <c r="T27" s="55" t="str">
        <f aca="false">IF(ISNUMBER(A27),INT(MOD(MONTH(A27)-10,12)/3)+1,"")</f>
        <v/>
      </c>
      <c r="U27" s="55" t="str">
        <f aca="false">IF(AND(I27&lt;&gt;"",D27&lt;&gt;"",OR(COUNTIFS(TransactionsData[Vendor ID],K27,TransactionsData[UEI],"&lt;&gt;"&amp;D27,TransactionsData[UEI],"?*")&gt;0,COUNTIFS(VendorGroups[Record ID],K27,VendorGroups[Source UEI],"&lt;&gt;"&amp;D27,VendorGroups[Source UEI],"?*")&gt;0)),"Conflicting vendor UEIs",IF(I27="",IF(COUNTA(A27,D27,F27:R27)&gt;0,"Missing transaction ID",""),IF(COUNTIFS(TransactionsData[Transaction ID],I27)&lt;&gt;1,"Duplicate transaction ID",IF(OR(NOT(ISNUMBER(A27)),A27&lt;1,A27&gt;DATE(2099,1,1)),"Use a valid date",IF(OR(A27&lt;$B$4,A27&gt;$D$4),"Outside coverage",IF(NOT(ISNUMBER(F27)),"Missing or invalid amount",IF(OR(K27="",L27="",N27=""),"Add vendor and office identities",IF(G27="Exclude",IF(OR(F27&lt;&gt;0,H27=""),"Review nonzero or unexplained exclusion",""),IF(G27&lt;&gt;"Include","Choose Include or Exclude",IF(COUNTIFS(AwardsData[Award ID],J27)&lt;&gt;1,"Award link needs review",IF(INDEX(AwardsData[Input check],MATCH(J27,AwardsData[Award ID],0))&lt;&gt;"","Check award inputs","")))))))))))</f>
        <v/>
      </c>
      <c r="V27" s="55" t="n">
        <f aca="false">IF(AND(I27&lt;&gt;"",U27="",G27="Include"),1,0)</f>
        <v>0</v>
      </c>
      <c r="W27" s="55" t="str">
        <f aca="false">IF(I27="","",IF(COUNTIFS(AwardsData[Award ID],J27)=1,INDEX(AwardsData[Current award type],MATCH(J27,AwardsData[Award ID],0)),"Unlinked"))</f>
        <v/>
      </c>
      <c r="X27" s="55" t="str">
        <f aca="false">IF(I27="","",IF(COUNTIFS(AwardsData[Award ID],J27)=1,INDEX(AwardsData[Current set-aside],MATCH(J27,AwardsData[Award ID],0)),"Unlinked"))</f>
        <v/>
      </c>
      <c r="Y27" s="55" t="str">
        <f aca="false">IF(I27="","",IF(COUNTIFS(AwardsData[Award ID],J27)=1,INDEX(AwardsData[Performance state],MATCH(J27,AwardsData[Award ID],0)),"Unlinked"))</f>
        <v/>
      </c>
      <c r="Z27" s="55" t="n">
        <f aca="false">IF(AND(V27=1,OR(Dashboard!$AB$2="All",K27=Dashboard!$AB$2),OR(Dashboard!$AB$3="All",L27=Dashboard!$AB$3),OR(Dashboard!$N$10="All",W27=Dashboard!$N$10)),1,0)</f>
        <v>0</v>
      </c>
      <c r="AA27" s="55" t="n">
        <f aca="false">IF(AND(Z27=1,OR(Dashboard!$B$7="All",S27=Dashboard!$B$7)),1,0)</f>
        <v>0</v>
      </c>
      <c r="AB27" s="55" t="n">
        <f aca="false">IF(AND(V27=1,F27&lt;&gt;0),1,0)</f>
        <v>0</v>
      </c>
      <c r="AC27" s="55" t="n">
        <f aca="false">IF(AND(AA27=1,AB27=1),IF(COUNTIFS($J$17:J27,J27,$AA$17:AA27,1,$AB$17:AB27,1)=1,1,0),0)</f>
        <v>0</v>
      </c>
      <c r="AD27" s="55" t="n">
        <f aca="false">IF(AND(AA27=1,AB27=1),IF(COUNTIFS($K$17:K27,K27,$AA$17:AA27,1,$AB$17:AB27,1)=1,1,0),0)</f>
        <v>0</v>
      </c>
      <c r="AE27" s="55" t="n">
        <f aca="false">IF(AND(Z27=1,AB27=1),IF(COUNTIFS($J$17:J27,J27,$S$17:S27,S27,$Z$17:Z27,1,$AB$17:AB27,1)=1,1,0),0)</f>
        <v>0</v>
      </c>
      <c r="AF27" s="55" t="n">
        <f aca="false">IF(AND(Z27=1,AB27=1),IF(COUNTIFS($K$17:K27,K27,$S$17:S27,S27,$Z$17:Z27,1,$AB$17:AB27,1)=1,1,0),0)</f>
        <v>0</v>
      </c>
      <c r="AG27" s="55" t="n">
        <f aca="false">IF(AND(AA27=1,AB27=1),IF(COUNTIFS($J$17:J27,J27,$L$17:L27,L27,$AA$17:AA27,1,$AB$17:AB27,1)=1,1,0),0)</f>
        <v>0</v>
      </c>
      <c r="AH27" s="55" t="n">
        <f aca="false">IF(AND(AA27=1,AB27=1),IF(COUNTIFS($J$17:J27,J27,$K$17:K27,K27,$AA$17:AA27,1,$AB$17:AB27,1)=1,1,0),0)</f>
        <v>0</v>
      </c>
      <c r="AI27" s="54" t="n">
        <f aca="false">IF(V27=1,MAX(F27,0),0)</f>
        <v>0</v>
      </c>
      <c r="AJ27" s="54" t="n">
        <f aca="false">IF(V27=1,MIN(F27,0),0)</f>
        <v>0</v>
      </c>
    </row>
    <row r="28" customFormat="false" ht="40" hidden="false" customHeight="true" outlineLevel="0" collapsed="false">
      <c r="A28" s="64"/>
      <c r="B28" s="52" t="str">
        <f aca="false">IF(M28="","",IF(P28="",M28,HYPERLINK(P28,M28)))</f>
        <v/>
      </c>
      <c r="C28" s="52" t="str">
        <f aca="false">IF(N28="","",IF(Q28="",N28,HYPERLINK(Q28,N28)))</f>
        <v/>
      </c>
      <c r="D28" s="58"/>
      <c r="E28" s="52" t="str">
        <f aca="false">IF(O28="","",IF(R28="",O28,HYPERLINK(R28,O28)))</f>
        <v/>
      </c>
      <c r="F28" s="60"/>
      <c r="G28" s="59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5" t="str">
        <f aca="false">IF(ISNUMBER(A28),YEAR(A28)+IF(MONTH(A28)&gt;=10,1,0),"")</f>
        <v/>
      </c>
      <c r="T28" s="55" t="str">
        <f aca="false">IF(ISNUMBER(A28),INT(MOD(MONTH(A28)-10,12)/3)+1,"")</f>
        <v/>
      </c>
      <c r="U28" s="55" t="str">
        <f aca="false">IF(AND(I28&lt;&gt;"",D28&lt;&gt;"",OR(COUNTIFS(TransactionsData[Vendor ID],K28,TransactionsData[UEI],"&lt;&gt;"&amp;D28,TransactionsData[UEI],"?*")&gt;0,COUNTIFS(VendorGroups[Record ID],K28,VendorGroups[Source UEI],"&lt;&gt;"&amp;D28,VendorGroups[Source UEI],"?*")&gt;0)),"Conflicting vendor UEIs",IF(I28="",IF(COUNTA(A28,D28,F28:R28)&gt;0,"Missing transaction ID",""),IF(COUNTIFS(TransactionsData[Transaction ID],I28)&lt;&gt;1,"Duplicate transaction ID",IF(OR(NOT(ISNUMBER(A28)),A28&lt;1,A28&gt;DATE(2099,1,1)),"Use a valid date",IF(OR(A28&lt;$B$4,A28&gt;$D$4),"Outside coverage",IF(NOT(ISNUMBER(F28)),"Missing or invalid amount",IF(OR(K28="",L28="",N28=""),"Add vendor and office identities",IF(G28="Exclude",IF(OR(F28&lt;&gt;0,H28=""),"Review nonzero or unexplained exclusion",""),IF(G28&lt;&gt;"Include","Choose Include or Exclude",IF(COUNTIFS(AwardsData[Award ID],J28)&lt;&gt;1,"Award link needs review",IF(INDEX(AwardsData[Input check],MATCH(J28,AwardsData[Award ID],0))&lt;&gt;"","Check award inputs","")))))))))))</f>
        <v/>
      </c>
      <c r="V28" s="55" t="n">
        <f aca="false">IF(AND(I28&lt;&gt;"",U28="",G28="Include"),1,0)</f>
        <v>0</v>
      </c>
      <c r="W28" s="55" t="str">
        <f aca="false">IF(I28="","",IF(COUNTIFS(AwardsData[Award ID],J28)=1,INDEX(AwardsData[Current award type],MATCH(J28,AwardsData[Award ID],0)),"Unlinked"))</f>
        <v/>
      </c>
      <c r="X28" s="55" t="str">
        <f aca="false">IF(I28="","",IF(COUNTIFS(AwardsData[Award ID],J28)=1,INDEX(AwardsData[Current set-aside],MATCH(J28,AwardsData[Award ID],0)),"Unlinked"))</f>
        <v/>
      </c>
      <c r="Y28" s="55" t="str">
        <f aca="false">IF(I28="","",IF(COUNTIFS(AwardsData[Award ID],J28)=1,INDEX(AwardsData[Performance state],MATCH(J28,AwardsData[Award ID],0)),"Unlinked"))</f>
        <v/>
      </c>
      <c r="Z28" s="55" t="n">
        <f aca="false">IF(AND(V28=1,OR(Dashboard!$AB$2="All",K28=Dashboard!$AB$2),OR(Dashboard!$AB$3="All",L28=Dashboard!$AB$3),OR(Dashboard!$N$10="All",W28=Dashboard!$N$10)),1,0)</f>
        <v>0</v>
      </c>
      <c r="AA28" s="55" t="n">
        <f aca="false">IF(AND(Z28=1,OR(Dashboard!$B$7="All",S28=Dashboard!$B$7)),1,0)</f>
        <v>0</v>
      </c>
      <c r="AB28" s="55" t="n">
        <f aca="false">IF(AND(V28=1,F28&lt;&gt;0),1,0)</f>
        <v>0</v>
      </c>
      <c r="AC28" s="55" t="n">
        <f aca="false">IF(AND(AA28=1,AB28=1),IF(COUNTIFS($J$17:J28,J28,$AA$17:AA28,1,$AB$17:AB28,1)=1,1,0),0)</f>
        <v>0</v>
      </c>
      <c r="AD28" s="55" t="n">
        <f aca="false">IF(AND(AA28=1,AB28=1),IF(COUNTIFS($K$17:K28,K28,$AA$17:AA28,1,$AB$17:AB28,1)=1,1,0),0)</f>
        <v>0</v>
      </c>
      <c r="AE28" s="55" t="n">
        <f aca="false">IF(AND(Z28=1,AB28=1),IF(COUNTIFS($J$17:J28,J28,$S$17:S28,S28,$Z$17:Z28,1,$AB$17:AB28,1)=1,1,0),0)</f>
        <v>0</v>
      </c>
      <c r="AF28" s="55" t="n">
        <f aca="false">IF(AND(Z28=1,AB28=1),IF(COUNTIFS($K$17:K28,K28,$S$17:S28,S28,$Z$17:Z28,1,$AB$17:AB28,1)=1,1,0),0)</f>
        <v>0</v>
      </c>
      <c r="AG28" s="55" t="n">
        <f aca="false">IF(AND(AA28=1,AB28=1),IF(COUNTIFS($J$17:J28,J28,$L$17:L28,L28,$AA$17:AA28,1,$AB$17:AB28,1)=1,1,0),0)</f>
        <v>0</v>
      </c>
      <c r="AH28" s="55" t="n">
        <f aca="false">IF(AND(AA28=1,AB28=1),IF(COUNTIFS($J$17:J28,J28,$K$17:K28,K28,$AA$17:AA28,1,$AB$17:AB28,1)=1,1,0),0)</f>
        <v>0</v>
      </c>
      <c r="AI28" s="54" t="n">
        <f aca="false">IF(V28=1,MAX(F28,0),0)</f>
        <v>0</v>
      </c>
      <c r="AJ28" s="54" t="n">
        <f aca="false">IF(V28=1,MIN(F28,0),0)</f>
        <v>0</v>
      </c>
    </row>
    <row r="29" customFormat="false" ht="40" hidden="false" customHeight="true" outlineLevel="0" collapsed="false">
      <c r="A29" s="64"/>
      <c r="B29" s="52" t="str">
        <f aca="false">IF(M29="","",IF(P29="",M29,HYPERLINK(P29,M29)))</f>
        <v/>
      </c>
      <c r="C29" s="52" t="str">
        <f aca="false">IF(N29="","",IF(Q29="",N29,HYPERLINK(Q29,N29)))</f>
        <v/>
      </c>
      <c r="D29" s="58"/>
      <c r="E29" s="52" t="str">
        <f aca="false">IF(O29="","",IF(R29="",O29,HYPERLINK(R29,O29)))</f>
        <v/>
      </c>
      <c r="F29" s="60"/>
      <c r="G29" s="59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5" t="str">
        <f aca="false">IF(ISNUMBER(A29),YEAR(A29)+IF(MONTH(A29)&gt;=10,1,0),"")</f>
        <v/>
      </c>
      <c r="T29" s="55" t="str">
        <f aca="false">IF(ISNUMBER(A29),INT(MOD(MONTH(A29)-10,12)/3)+1,"")</f>
        <v/>
      </c>
      <c r="U29" s="55" t="str">
        <f aca="false">IF(AND(I29&lt;&gt;"",D29&lt;&gt;"",OR(COUNTIFS(TransactionsData[Vendor ID],K29,TransactionsData[UEI],"&lt;&gt;"&amp;D29,TransactionsData[UEI],"?*")&gt;0,COUNTIFS(VendorGroups[Record ID],K29,VendorGroups[Source UEI],"&lt;&gt;"&amp;D29,VendorGroups[Source UEI],"?*")&gt;0)),"Conflicting vendor UEIs",IF(I29="",IF(COUNTA(A29,D29,F29:R29)&gt;0,"Missing transaction ID",""),IF(COUNTIFS(TransactionsData[Transaction ID],I29)&lt;&gt;1,"Duplicate transaction ID",IF(OR(NOT(ISNUMBER(A29)),A29&lt;1,A29&gt;DATE(2099,1,1)),"Use a valid date",IF(OR(A29&lt;$B$4,A29&gt;$D$4),"Outside coverage",IF(NOT(ISNUMBER(F29)),"Missing or invalid amount",IF(OR(K29="",L29="",N29=""),"Add vendor and office identities",IF(G29="Exclude",IF(OR(F29&lt;&gt;0,H29=""),"Review nonzero or unexplained exclusion",""),IF(G29&lt;&gt;"Include","Choose Include or Exclude",IF(COUNTIFS(AwardsData[Award ID],J29)&lt;&gt;1,"Award link needs review",IF(INDEX(AwardsData[Input check],MATCH(J29,AwardsData[Award ID],0))&lt;&gt;"","Check award inputs","")))))))))))</f>
        <v/>
      </c>
      <c r="V29" s="55" t="n">
        <f aca="false">IF(AND(I29&lt;&gt;"",U29="",G29="Include"),1,0)</f>
        <v>0</v>
      </c>
      <c r="W29" s="55" t="str">
        <f aca="false">IF(I29="","",IF(COUNTIFS(AwardsData[Award ID],J29)=1,INDEX(AwardsData[Current award type],MATCH(J29,AwardsData[Award ID],0)),"Unlinked"))</f>
        <v/>
      </c>
      <c r="X29" s="55" t="str">
        <f aca="false">IF(I29="","",IF(COUNTIFS(AwardsData[Award ID],J29)=1,INDEX(AwardsData[Current set-aside],MATCH(J29,AwardsData[Award ID],0)),"Unlinked"))</f>
        <v/>
      </c>
      <c r="Y29" s="55" t="str">
        <f aca="false">IF(I29="","",IF(COUNTIFS(AwardsData[Award ID],J29)=1,INDEX(AwardsData[Performance state],MATCH(J29,AwardsData[Award ID],0)),"Unlinked"))</f>
        <v/>
      </c>
      <c r="Z29" s="55" t="n">
        <f aca="false">IF(AND(V29=1,OR(Dashboard!$AB$2="All",K29=Dashboard!$AB$2),OR(Dashboard!$AB$3="All",L29=Dashboard!$AB$3),OR(Dashboard!$N$10="All",W29=Dashboard!$N$10)),1,0)</f>
        <v>0</v>
      </c>
      <c r="AA29" s="55" t="n">
        <f aca="false">IF(AND(Z29=1,OR(Dashboard!$B$7="All",S29=Dashboard!$B$7)),1,0)</f>
        <v>0</v>
      </c>
      <c r="AB29" s="55" t="n">
        <f aca="false">IF(AND(V29=1,F29&lt;&gt;0),1,0)</f>
        <v>0</v>
      </c>
      <c r="AC29" s="55" t="n">
        <f aca="false">IF(AND(AA29=1,AB29=1),IF(COUNTIFS($J$17:J29,J29,$AA$17:AA29,1,$AB$17:AB29,1)=1,1,0),0)</f>
        <v>0</v>
      </c>
      <c r="AD29" s="55" t="n">
        <f aca="false">IF(AND(AA29=1,AB29=1),IF(COUNTIFS($K$17:K29,K29,$AA$17:AA29,1,$AB$17:AB29,1)=1,1,0),0)</f>
        <v>0</v>
      </c>
      <c r="AE29" s="55" t="n">
        <f aca="false">IF(AND(Z29=1,AB29=1),IF(COUNTIFS($J$17:J29,J29,$S$17:S29,S29,$Z$17:Z29,1,$AB$17:AB29,1)=1,1,0),0)</f>
        <v>0</v>
      </c>
      <c r="AF29" s="55" t="n">
        <f aca="false">IF(AND(Z29=1,AB29=1),IF(COUNTIFS($K$17:K29,K29,$S$17:S29,S29,$Z$17:Z29,1,$AB$17:AB29,1)=1,1,0),0)</f>
        <v>0</v>
      </c>
      <c r="AG29" s="55" t="n">
        <f aca="false">IF(AND(AA29=1,AB29=1),IF(COUNTIFS($J$17:J29,J29,$L$17:L29,L29,$AA$17:AA29,1,$AB$17:AB29,1)=1,1,0),0)</f>
        <v>0</v>
      </c>
      <c r="AH29" s="55" t="n">
        <f aca="false">IF(AND(AA29=1,AB29=1),IF(COUNTIFS($J$17:J29,J29,$K$17:K29,K29,$AA$17:AA29,1,$AB$17:AB29,1)=1,1,0),0)</f>
        <v>0</v>
      </c>
      <c r="AI29" s="54" t="n">
        <f aca="false">IF(V29=1,MAX(F29,0),0)</f>
        <v>0</v>
      </c>
      <c r="AJ29" s="54" t="n">
        <f aca="false">IF(V29=1,MIN(F29,0),0)</f>
        <v>0</v>
      </c>
    </row>
    <row r="30" customFormat="false" ht="40" hidden="false" customHeight="true" outlineLevel="0" collapsed="false">
      <c r="A30" s="64"/>
      <c r="B30" s="52" t="str">
        <f aca="false">IF(M30="","",IF(P30="",M30,HYPERLINK(P30,M30)))</f>
        <v/>
      </c>
      <c r="C30" s="52" t="str">
        <f aca="false">IF(N30="","",IF(Q30="",N30,HYPERLINK(Q30,N30)))</f>
        <v/>
      </c>
      <c r="D30" s="58"/>
      <c r="E30" s="52" t="str">
        <f aca="false">IF(O30="","",IF(R30="",O30,HYPERLINK(R30,O30)))</f>
        <v/>
      </c>
      <c r="F30" s="60"/>
      <c r="G30" s="59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5" t="str">
        <f aca="false">IF(ISNUMBER(A30),YEAR(A30)+IF(MONTH(A30)&gt;=10,1,0),"")</f>
        <v/>
      </c>
      <c r="T30" s="55" t="str">
        <f aca="false">IF(ISNUMBER(A30),INT(MOD(MONTH(A30)-10,12)/3)+1,"")</f>
        <v/>
      </c>
      <c r="U30" s="55" t="str">
        <f aca="false">IF(AND(I30&lt;&gt;"",D30&lt;&gt;"",OR(COUNTIFS(TransactionsData[Vendor ID],K30,TransactionsData[UEI],"&lt;&gt;"&amp;D30,TransactionsData[UEI],"?*")&gt;0,COUNTIFS(VendorGroups[Record ID],K30,VendorGroups[Source UEI],"&lt;&gt;"&amp;D30,VendorGroups[Source UEI],"?*")&gt;0)),"Conflicting vendor UEIs",IF(I30="",IF(COUNTA(A30,D30,F30:R30)&gt;0,"Missing transaction ID",""),IF(COUNTIFS(TransactionsData[Transaction ID],I30)&lt;&gt;1,"Duplicate transaction ID",IF(OR(NOT(ISNUMBER(A30)),A30&lt;1,A30&gt;DATE(2099,1,1)),"Use a valid date",IF(OR(A30&lt;$B$4,A30&gt;$D$4),"Outside coverage",IF(NOT(ISNUMBER(F30)),"Missing or invalid amount",IF(OR(K30="",L30="",N30=""),"Add vendor and office identities",IF(G30="Exclude",IF(OR(F30&lt;&gt;0,H30=""),"Review nonzero or unexplained exclusion",""),IF(G30&lt;&gt;"Include","Choose Include or Exclude",IF(COUNTIFS(AwardsData[Award ID],J30)&lt;&gt;1,"Award link needs review",IF(INDEX(AwardsData[Input check],MATCH(J30,AwardsData[Award ID],0))&lt;&gt;"","Check award inputs","")))))))))))</f>
        <v/>
      </c>
      <c r="V30" s="55" t="n">
        <f aca="false">IF(AND(I30&lt;&gt;"",U30="",G30="Include"),1,0)</f>
        <v>0</v>
      </c>
      <c r="W30" s="55" t="str">
        <f aca="false">IF(I30="","",IF(COUNTIFS(AwardsData[Award ID],J30)=1,INDEX(AwardsData[Current award type],MATCH(J30,AwardsData[Award ID],0)),"Unlinked"))</f>
        <v/>
      </c>
      <c r="X30" s="55" t="str">
        <f aca="false">IF(I30="","",IF(COUNTIFS(AwardsData[Award ID],J30)=1,INDEX(AwardsData[Current set-aside],MATCH(J30,AwardsData[Award ID],0)),"Unlinked"))</f>
        <v/>
      </c>
      <c r="Y30" s="55" t="str">
        <f aca="false">IF(I30="","",IF(COUNTIFS(AwardsData[Award ID],J30)=1,INDEX(AwardsData[Performance state],MATCH(J30,AwardsData[Award ID],0)),"Unlinked"))</f>
        <v/>
      </c>
      <c r="Z30" s="55" t="n">
        <f aca="false">IF(AND(V30=1,OR(Dashboard!$AB$2="All",K30=Dashboard!$AB$2),OR(Dashboard!$AB$3="All",L30=Dashboard!$AB$3),OR(Dashboard!$N$10="All",W30=Dashboard!$N$10)),1,0)</f>
        <v>0</v>
      </c>
      <c r="AA30" s="55" t="n">
        <f aca="false">IF(AND(Z30=1,OR(Dashboard!$B$7="All",S30=Dashboard!$B$7)),1,0)</f>
        <v>0</v>
      </c>
      <c r="AB30" s="55" t="n">
        <f aca="false">IF(AND(V30=1,F30&lt;&gt;0),1,0)</f>
        <v>0</v>
      </c>
      <c r="AC30" s="55" t="n">
        <f aca="false">IF(AND(AA30=1,AB30=1),IF(COUNTIFS($J$17:J30,J30,$AA$17:AA30,1,$AB$17:AB30,1)=1,1,0),0)</f>
        <v>0</v>
      </c>
      <c r="AD30" s="55" t="n">
        <f aca="false">IF(AND(AA30=1,AB30=1),IF(COUNTIFS($K$17:K30,K30,$AA$17:AA30,1,$AB$17:AB30,1)=1,1,0),0)</f>
        <v>0</v>
      </c>
      <c r="AE30" s="55" t="n">
        <f aca="false">IF(AND(Z30=1,AB30=1),IF(COUNTIFS($J$17:J30,J30,$S$17:S30,S30,$Z$17:Z30,1,$AB$17:AB30,1)=1,1,0),0)</f>
        <v>0</v>
      </c>
      <c r="AF30" s="55" t="n">
        <f aca="false">IF(AND(Z30=1,AB30=1),IF(COUNTIFS($K$17:K30,K30,$S$17:S30,S30,$Z$17:Z30,1,$AB$17:AB30,1)=1,1,0),0)</f>
        <v>0</v>
      </c>
      <c r="AG30" s="55" t="n">
        <f aca="false">IF(AND(AA30=1,AB30=1),IF(COUNTIFS($J$17:J30,J30,$L$17:L30,L30,$AA$17:AA30,1,$AB$17:AB30,1)=1,1,0),0)</f>
        <v>0</v>
      </c>
      <c r="AH30" s="55" t="n">
        <f aca="false">IF(AND(AA30=1,AB30=1),IF(COUNTIFS($J$17:J30,J30,$K$17:K30,K30,$AA$17:AA30,1,$AB$17:AB30,1)=1,1,0),0)</f>
        <v>0</v>
      </c>
      <c r="AI30" s="54" t="n">
        <f aca="false">IF(V30=1,MAX(F30,0),0)</f>
        <v>0</v>
      </c>
      <c r="AJ30" s="54" t="n">
        <f aca="false">IF(V30=1,MIN(F30,0),0)</f>
        <v>0</v>
      </c>
    </row>
    <row r="31" customFormat="false" ht="40" hidden="false" customHeight="true" outlineLevel="0" collapsed="false">
      <c r="A31" s="64"/>
      <c r="B31" s="52" t="str">
        <f aca="false">IF(M31="","",IF(P31="",M31,HYPERLINK(P31,M31)))</f>
        <v/>
      </c>
      <c r="C31" s="52" t="str">
        <f aca="false">IF(N31="","",IF(Q31="",N31,HYPERLINK(Q31,N31)))</f>
        <v/>
      </c>
      <c r="D31" s="58"/>
      <c r="E31" s="52" t="str">
        <f aca="false">IF(O31="","",IF(R31="",O31,HYPERLINK(R31,O31)))</f>
        <v/>
      </c>
      <c r="F31" s="60"/>
      <c r="G31" s="59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5" t="str">
        <f aca="false">IF(ISNUMBER(A31),YEAR(A31)+IF(MONTH(A31)&gt;=10,1,0),"")</f>
        <v/>
      </c>
      <c r="T31" s="55" t="str">
        <f aca="false">IF(ISNUMBER(A31),INT(MOD(MONTH(A31)-10,12)/3)+1,"")</f>
        <v/>
      </c>
      <c r="U31" s="55" t="str">
        <f aca="false">IF(AND(I31&lt;&gt;"",D31&lt;&gt;"",OR(COUNTIFS(TransactionsData[Vendor ID],K31,TransactionsData[UEI],"&lt;&gt;"&amp;D31,TransactionsData[UEI],"?*")&gt;0,COUNTIFS(VendorGroups[Record ID],K31,VendorGroups[Source UEI],"&lt;&gt;"&amp;D31,VendorGroups[Source UEI],"?*")&gt;0)),"Conflicting vendor UEIs",IF(I31="",IF(COUNTA(A31,D31,F31:R31)&gt;0,"Missing transaction ID",""),IF(COUNTIFS(TransactionsData[Transaction ID],I31)&lt;&gt;1,"Duplicate transaction ID",IF(OR(NOT(ISNUMBER(A31)),A31&lt;1,A31&gt;DATE(2099,1,1)),"Use a valid date",IF(OR(A31&lt;$B$4,A31&gt;$D$4),"Outside coverage",IF(NOT(ISNUMBER(F31)),"Missing or invalid amount",IF(OR(K31="",L31="",N31=""),"Add vendor and office identities",IF(G31="Exclude",IF(OR(F31&lt;&gt;0,H31=""),"Review nonzero or unexplained exclusion",""),IF(G31&lt;&gt;"Include","Choose Include or Exclude",IF(COUNTIFS(AwardsData[Award ID],J31)&lt;&gt;1,"Award link needs review",IF(INDEX(AwardsData[Input check],MATCH(J31,AwardsData[Award ID],0))&lt;&gt;"","Check award inputs","")))))))))))</f>
        <v/>
      </c>
      <c r="V31" s="55" t="n">
        <f aca="false">IF(AND(I31&lt;&gt;"",U31="",G31="Include"),1,0)</f>
        <v>0</v>
      </c>
      <c r="W31" s="55" t="str">
        <f aca="false">IF(I31="","",IF(COUNTIFS(AwardsData[Award ID],J31)=1,INDEX(AwardsData[Current award type],MATCH(J31,AwardsData[Award ID],0)),"Unlinked"))</f>
        <v/>
      </c>
      <c r="X31" s="55" t="str">
        <f aca="false">IF(I31="","",IF(COUNTIFS(AwardsData[Award ID],J31)=1,INDEX(AwardsData[Current set-aside],MATCH(J31,AwardsData[Award ID],0)),"Unlinked"))</f>
        <v/>
      </c>
      <c r="Y31" s="55" t="str">
        <f aca="false">IF(I31="","",IF(COUNTIFS(AwardsData[Award ID],J31)=1,INDEX(AwardsData[Performance state],MATCH(J31,AwardsData[Award ID],0)),"Unlinked"))</f>
        <v/>
      </c>
      <c r="Z31" s="55" t="n">
        <f aca="false">IF(AND(V31=1,OR(Dashboard!$AB$2="All",K31=Dashboard!$AB$2),OR(Dashboard!$AB$3="All",L31=Dashboard!$AB$3),OR(Dashboard!$N$10="All",W31=Dashboard!$N$10)),1,0)</f>
        <v>0</v>
      </c>
      <c r="AA31" s="55" t="n">
        <f aca="false">IF(AND(Z31=1,OR(Dashboard!$B$7="All",S31=Dashboard!$B$7)),1,0)</f>
        <v>0</v>
      </c>
      <c r="AB31" s="55" t="n">
        <f aca="false">IF(AND(V31=1,F31&lt;&gt;0),1,0)</f>
        <v>0</v>
      </c>
      <c r="AC31" s="55" t="n">
        <f aca="false">IF(AND(AA31=1,AB31=1),IF(COUNTIFS($J$17:J31,J31,$AA$17:AA31,1,$AB$17:AB31,1)=1,1,0),0)</f>
        <v>0</v>
      </c>
      <c r="AD31" s="55" t="n">
        <f aca="false">IF(AND(AA31=1,AB31=1),IF(COUNTIFS($K$17:K31,K31,$AA$17:AA31,1,$AB$17:AB31,1)=1,1,0),0)</f>
        <v>0</v>
      </c>
      <c r="AE31" s="55" t="n">
        <f aca="false">IF(AND(Z31=1,AB31=1),IF(COUNTIFS($J$17:J31,J31,$S$17:S31,S31,$Z$17:Z31,1,$AB$17:AB31,1)=1,1,0),0)</f>
        <v>0</v>
      </c>
      <c r="AF31" s="55" t="n">
        <f aca="false">IF(AND(Z31=1,AB31=1),IF(COUNTIFS($K$17:K31,K31,$S$17:S31,S31,$Z$17:Z31,1,$AB$17:AB31,1)=1,1,0),0)</f>
        <v>0</v>
      </c>
      <c r="AG31" s="55" t="n">
        <f aca="false">IF(AND(AA31=1,AB31=1),IF(COUNTIFS($J$17:J31,J31,$L$17:L31,L31,$AA$17:AA31,1,$AB$17:AB31,1)=1,1,0),0)</f>
        <v>0</v>
      </c>
      <c r="AH31" s="55" t="n">
        <f aca="false">IF(AND(AA31=1,AB31=1),IF(COUNTIFS($J$17:J31,J31,$K$17:K31,K31,$AA$17:AA31,1,$AB$17:AB31,1)=1,1,0),0)</f>
        <v>0</v>
      </c>
      <c r="AI31" s="54" t="n">
        <f aca="false">IF(V31=1,MAX(F31,0),0)</f>
        <v>0</v>
      </c>
      <c r="AJ31" s="54" t="n">
        <f aca="false">IF(V31=1,MIN(F31,0),0)</f>
        <v>0</v>
      </c>
    </row>
    <row r="32" customFormat="false" ht="40" hidden="false" customHeight="true" outlineLevel="0" collapsed="false">
      <c r="A32" s="64"/>
      <c r="B32" s="52" t="str">
        <f aca="false">IF(M32="","",IF(P32="",M32,HYPERLINK(P32,M32)))</f>
        <v/>
      </c>
      <c r="C32" s="52" t="str">
        <f aca="false">IF(N32="","",IF(Q32="",N32,HYPERLINK(Q32,N32)))</f>
        <v/>
      </c>
      <c r="D32" s="58"/>
      <c r="E32" s="52" t="str">
        <f aca="false">IF(O32="","",IF(R32="",O32,HYPERLINK(R32,O32)))</f>
        <v/>
      </c>
      <c r="F32" s="60"/>
      <c r="G32" s="59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5" t="str">
        <f aca="false">IF(ISNUMBER(A32),YEAR(A32)+IF(MONTH(A32)&gt;=10,1,0),"")</f>
        <v/>
      </c>
      <c r="T32" s="55" t="str">
        <f aca="false">IF(ISNUMBER(A32),INT(MOD(MONTH(A32)-10,12)/3)+1,"")</f>
        <v/>
      </c>
      <c r="U32" s="55" t="str">
        <f aca="false">IF(AND(I32&lt;&gt;"",D32&lt;&gt;"",OR(COUNTIFS(TransactionsData[Vendor ID],K32,TransactionsData[UEI],"&lt;&gt;"&amp;D32,TransactionsData[UEI],"?*")&gt;0,COUNTIFS(VendorGroups[Record ID],K32,VendorGroups[Source UEI],"&lt;&gt;"&amp;D32,VendorGroups[Source UEI],"?*")&gt;0)),"Conflicting vendor UEIs",IF(I32="",IF(COUNTA(A32,D32,F32:R32)&gt;0,"Missing transaction ID",""),IF(COUNTIFS(TransactionsData[Transaction ID],I32)&lt;&gt;1,"Duplicate transaction ID",IF(OR(NOT(ISNUMBER(A32)),A32&lt;1,A32&gt;DATE(2099,1,1)),"Use a valid date",IF(OR(A32&lt;$B$4,A32&gt;$D$4),"Outside coverage",IF(NOT(ISNUMBER(F32)),"Missing or invalid amount",IF(OR(K32="",L32="",N32=""),"Add vendor and office identities",IF(G32="Exclude",IF(OR(F32&lt;&gt;0,H32=""),"Review nonzero or unexplained exclusion",""),IF(G32&lt;&gt;"Include","Choose Include or Exclude",IF(COUNTIFS(AwardsData[Award ID],J32)&lt;&gt;1,"Award link needs review",IF(INDEX(AwardsData[Input check],MATCH(J32,AwardsData[Award ID],0))&lt;&gt;"","Check award inputs","")))))))))))</f>
        <v/>
      </c>
      <c r="V32" s="55" t="n">
        <f aca="false">IF(AND(I32&lt;&gt;"",U32="",G32="Include"),1,0)</f>
        <v>0</v>
      </c>
      <c r="W32" s="55" t="str">
        <f aca="false">IF(I32="","",IF(COUNTIFS(AwardsData[Award ID],J32)=1,INDEX(AwardsData[Current award type],MATCH(J32,AwardsData[Award ID],0)),"Unlinked"))</f>
        <v/>
      </c>
      <c r="X32" s="55" t="str">
        <f aca="false">IF(I32="","",IF(COUNTIFS(AwardsData[Award ID],J32)=1,INDEX(AwardsData[Current set-aside],MATCH(J32,AwardsData[Award ID],0)),"Unlinked"))</f>
        <v/>
      </c>
      <c r="Y32" s="55" t="str">
        <f aca="false">IF(I32="","",IF(COUNTIFS(AwardsData[Award ID],J32)=1,INDEX(AwardsData[Performance state],MATCH(J32,AwardsData[Award ID],0)),"Unlinked"))</f>
        <v/>
      </c>
      <c r="Z32" s="55" t="n">
        <f aca="false">IF(AND(V32=1,OR(Dashboard!$AB$2="All",K32=Dashboard!$AB$2),OR(Dashboard!$AB$3="All",L32=Dashboard!$AB$3),OR(Dashboard!$N$10="All",W32=Dashboard!$N$10)),1,0)</f>
        <v>0</v>
      </c>
      <c r="AA32" s="55" t="n">
        <f aca="false">IF(AND(Z32=1,OR(Dashboard!$B$7="All",S32=Dashboard!$B$7)),1,0)</f>
        <v>0</v>
      </c>
      <c r="AB32" s="55" t="n">
        <f aca="false">IF(AND(V32=1,F32&lt;&gt;0),1,0)</f>
        <v>0</v>
      </c>
      <c r="AC32" s="55" t="n">
        <f aca="false">IF(AND(AA32=1,AB32=1),IF(COUNTIFS($J$17:J32,J32,$AA$17:AA32,1,$AB$17:AB32,1)=1,1,0),0)</f>
        <v>0</v>
      </c>
      <c r="AD32" s="55" t="n">
        <f aca="false">IF(AND(AA32=1,AB32=1),IF(COUNTIFS($K$17:K32,K32,$AA$17:AA32,1,$AB$17:AB32,1)=1,1,0),0)</f>
        <v>0</v>
      </c>
      <c r="AE32" s="55" t="n">
        <f aca="false">IF(AND(Z32=1,AB32=1),IF(COUNTIFS($J$17:J32,J32,$S$17:S32,S32,$Z$17:Z32,1,$AB$17:AB32,1)=1,1,0),0)</f>
        <v>0</v>
      </c>
      <c r="AF32" s="55" t="n">
        <f aca="false">IF(AND(Z32=1,AB32=1),IF(COUNTIFS($K$17:K32,K32,$S$17:S32,S32,$Z$17:Z32,1,$AB$17:AB32,1)=1,1,0),0)</f>
        <v>0</v>
      </c>
      <c r="AG32" s="55" t="n">
        <f aca="false">IF(AND(AA32=1,AB32=1),IF(COUNTIFS($J$17:J32,J32,$L$17:L32,L32,$AA$17:AA32,1,$AB$17:AB32,1)=1,1,0),0)</f>
        <v>0</v>
      </c>
      <c r="AH32" s="55" t="n">
        <f aca="false">IF(AND(AA32=1,AB32=1),IF(COUNTIFS($J$17:J32,J32,$K$17:K32,K32,$AA$17:AA32,1,$AB$17:AB32,1)=1,1,0),0)</f>
        <v>0</v>
      </c>
      <c r="AI32" s="54" t="n">
        <f aca="false">IF(V32=1,MAX(F32,0),0)</f>
        <v>0</v>
      </c>
      <c r="AJ32" s="54" t="n">
        <f aca="false">IF(V32=1,MIN(F32,0),0)</f>
        <v>0</v>
      </c>
    </row>
    <row r="33" customFormat="false" ht="40" hidden="false" customHeight="true" outlineLevel="0" collapsed="false">
      <c r="A33" s="64"/>
      <c r="B33" s="52" t="str">
        <f aca="false">IF(M33="","",IF(P33="",M33,HYPERLINK(P33,M33)))</f>
        <v/>
      </c>
      <c r="C33" s="52" t="str">
        <f aca="false">IF(N33="","",IF(Q33="",N33,HYPERLINK(Q33,N33)))</f>
        <v/>
      </c>
      <c r="D33" s="58"/>
      <c r="E33" s="52" t="str">
        <f aca="false">IF(O33="","",IF(R33="",O33,HYPERLINK(R33,O33)))</f>
        <v/>
      </c>
      <c r="F33" s="60"/>
      <c r="G33" s="59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5" t="str">
        <f aca="false">IF(ISNUMBER(A33),YEAR(A33)+IF(MONTH(A33)&gt;=10,1,0),"")</f>
        <v/>
      </c>
      <c r="T33" s="55" t="str">
        <f aca="false">IF(ISNUMBER(A33),INT(MOD(MONTH(A33)-10,12)/3)+1,"")</f>
        <v/>
      </c>
      <c r="U33" s="55" t="str">
        <f aca="false">IF(AND(I33&lt;&gt;"",D33&lt;&gt;"",OR(COUNTIFS(TransactionsData[Vendor ID],K33,TransactionsData[UEI],"&lt;&gt;"&amp;D33,TransactionsData[UEI],"?*")&gt;0,COUNTIFS(VendorGroups[Record ID],K33,VendorGroups[Source UEI],"&lt;&gt;"&amp;D33,VendorGroups[Source UEI],"?*")&gt;0)),"Conflicting vendor UEIs",IF(I33="",IF(COUNTA(A33,D33,F33:R33)&gt;0,"Missing transaction ID",""),IF(COUNTIFS(TransactionsData[Transaction ID],I33)&lt;&gt;1,"Duplicate transaction ID",IF(OR(NOT(ISNUMBER(A33)),A33&lt;1,A33&gt;DATE(2099,1,1)),"Use a valid date",IF(OR(A33&lt;$B$4,A33&gt;$D$4),"Outside coverage",IF(NOT(ISNUMBER(F33)),"Missing or invalid amount",IF(OR(K33="",L33="",N33=""),"Add vendor and office identities",IF(G33="Exclude",IF(OR(F33&lt;&gt;0,H33=""),"Review nonzero or unexplained exclusion",""),IF(G33&lt;&gt;"Include","Choose Include or Exclude",IF(COUNTIFS(AwardsData[Award ID],J33)&lt;&gt;1,"Award link needs review",IF(INDEX(AwardsData[Input check],MATCH(J33,AwardsData[Award ID],0))&lt;&gt;"","Check award inputs","")))))))))))</f>
        <v/>
      </c>
      <c r="V33" s="55" t="n">
        <f aca="false">IF(AND(I33&lt;&gt;"",U33="",G33="Include"),1,0)</f>
        <v>0</v>
      </c>
      <c r="W33" s="55" t="str">
        <f aca="false">IF(I33="","",IF(COUNTIFS(AwardsData[Award ID],J33)=1,INDEX(AwardsData[Current award type],MATCH(J33,AwardsData[Award ID],0)),"Unlinked"))</f>
        <v/>
      </c>
      <c r="X33" s="55" t="str">
        <f aca="false">IF(I33="","",IF(COUNTIFS(AwardsData[Award ID],J33)=1,INDEX(AwardsData[Current set-aside],MATCH(J33,AwardsData[Award ID],0)),"Unlinked"))</f>
        <v/>
      </c>
      <c r="Y33" s="55" t="str">
        <f aca="false">IF(I33="","",IF(COUNTIFS(AwardsData[Award ID],J33)=1,INDEX(AwardsData[Performance state],MATCH(J33,AwardsData[Award ID],0)),"Unlinked"))</f>
        <v/>
      </c>
      <c r="Z33" s="55" t="n">
        <f aca="false">IF(AND(V33=1,OR(Dashboard!$AB$2="All",K33=Dashboard!$AB$2),OR(Dashboard!$AB$3="All",L33=Dashboard!$AB$3),OR(Dashboard!$N$10="All",W33=Dashboard!$N$10)),1,0)</f>
        <v>0</v>
      </c>
      <c r="AA33" s="55" t="n">
        <f aca="false">IF(AND(Z33=1,OR(Dashboard!$B$7="All",S33=Dashboard!$B$7)),1,0)</f>
        <v>0</v>
      </c>
      <c r="AB33" s="55" t="n">
        <f aca="false">IF(AND(V33=1,F33&lt;&gt;0),1,0)</f>
        <v>0</v>
      </c>
      <c r="AC33" s="55" t="n">
        <f aca="false">IF(AND(AA33=1,AB33=1),IF(COUNTIFS($J$17:J33,J33,$AA$17:AA33,1,$AB$17:AB33,1)=1,1,0),0)</f>
        <v>0</v>
      </c>
      <c r="AD33" s="55" t="n">
        <f aca="false">IF(AND(AA33=1,AB33=1),IF(COUNTIFS($K$17:K33,K33,$AA$17:AA33,1,$AB$17:AB33,1)=1,1,0),0)</f>
        <v>0</v>
      </c>
      <c r="AE33" s="55" t="n">
        <f aca="false">IF(AND(Z33=1,AB33=1),IF(COUNTIFS($J$17:J33,J33,$S$17:S33,S33,$Z$17:Z33,1,$AB$17:AB33,1)=1,1,0),0)</f>
        <v>0</v>
      </c>
      <c r="AF33" s="55" t="n">
        <f aca="false">IF(AND(Z33=1,AB33=1),IF(COUNTIFS($K$17:K33,K33,$S$17:S33,S33,$Z$17:Z33,1,$AB$17:AB33,1)=1,1,0),0)</f>
        <v>0</v>
      </c>
      <c r="AG33" s="55" t="n">
        <f aca="false">IF(AND(AA33=1,AB33=1),IF(COUNTIFS($J$17:J33,J33,$L$17:L33,L33,$AA$17:AA33,1,$AB$17:AB33,1)=1,1,0),0)</f>
        <v>0</v>
      </c>
      <c r="AH33" s="55" t="n">
        <f aca="false">IF(AND(AA33=1,AB33=1),IF(COUNTIFS($J$17:J33,J33,$K$17:K33,K33,$AA$17:AA33,1,$AB$17:AB33,1)=1,1,0),0)</f>
        <v>0</v>
      </c>
      <c r="AI33" s="54" t="n">
        <f aca="false">IF(V33=1,MAX(F33,0),0)</f>
        <v>0</v>
      </c>
      <c r="AJ33" s="54" t="n">
        <f aca="false">IF(V33=1,MIN(F33,0),0)</f>
        <v>0</v>
      </c>
    </row>
    <row r="34" customFormat="false" ht="40" hidden="false" customHeight="true" outlineLevel="0" collapsed="false">
      <c r="A34" s="64"/>
      <c r="B34" s="52" t="str">
        <f aca="false">IF(M34="","",IF(P34="",M34,HYPERLINK(P34,M34)))</f>
        <v/>
      </c>
      <c r="C34" s="52" t="str">
        <f aca="false">IF(N34="","",IF(Q34="",N34,HYPERLINK(Q34,N34)))</f>
        <v/>
      </c>
      <c r="D34" s="58"/>
      <c r="E34" s="52" t="str">
        <f aca="false">IF(O34="","",IF(R34="",O34,HYPERLINK(R34,O34)))</f>
        <v/>
      </c>
      <c r="F34" s="60"/>
      <c r="G34" s="59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5" t="str">
        <f aca="false">IF(ISNUMBER(A34),YEAR(A34)+IF(MONTH(A34)&gt;=10,1,0),"")</f>
        <v/>
      </c>
      <c r="T34" s="55" t="str">
        <f aca="false">IF(ISNUMBER(A34),INT(MOD(MONTH(A34)-10,12)/3)+1,"")</f>
        <v/>
      </c>
      <c r="U34" s="55" t="str">
        <f aca="false">IF(AND(I34&lt;&gt;"",D34&lt;&gt;"",OR(COUNTIFS(TransactionsData[Vendor ID],K34,TransactionsData[UEI],"&lt;&gt;"&amp;D34,TransactionsData[UEI],"?*")&gt;0,COUNTIFS(VendorGroups[Record ID],K34,VendorGroups[Source UEI],"&lt;&gt;"&amp;D34,VendorGroups[Source UEI],"?*")&gt;0)),"Conflicting vendor UEIs",IF(I34="",IF(COUNTA(A34,D34,F34:R34)&gt;0,"Missing transaction ID",""),IF(COUNTIFS(TransactionsData[Transaction ID],I34)&lt;&gt;1,"Duplicate transaction ID",IF(OR(NOT(ISNUMBER(A34)),A34&lt;1,A34&gt;DATE(2099,1,1)),"Use a valid date",IF(OR(A34&lt;$B$4,A34&gt;$D$4),"Outside coverage",IF(NOT(ISNUMBER(F34)),"Missing or invalid amount",IF(OR(K34="",L34="",N34=""),"Add vendor and office identities",IF(G34="Exclude",IF(OR(F34&lt;&gt;0,H34=""),"Review nonzero or unexplained exclusion",""),IF(G34&lt;&gt;"Include","Choose Include or Exclude",IF(COUNTIFS(AwardsData[Award ID],J34)&lt;&gt;1,"Award link needs review",IF(INDEX(AwardsData[Input check],MATCH(J34,AwardsData[Award ID],0))&lt;&gt;"","Check award inputs","")))))))))))</f>
        <v/>
      </c>
      <c r="V34" s="55" t="n">
        <f aca="false">IF(AND(I34&lt;&gt;"",U34="",G34="Include"),1,0)</f>
        <v>0</v>
      </c>
      <c r="W34" s="55" t="str">
        <f aca="false">IF(I34="","",IF(COUNTIFS(AwardsData[Award ID],J34)=1,INDEX(AwardsData[Current award type],MATCH(J34,AwardsData[Award ID],0)),"Unlinked"))</f>
        <v/>
      </c>
      <c r="X34" s="55" t="str">
        <f aca="false">IF(I34="","",IF(COUNTIFS(AwardsData[Award ID],J34)=1,INDEX(AwardsData[Current set-aside],MATCH(J34,AwardsData[Award ID],0)),"Unlinked"))</f>
        <v/>
      </c>
      <c r="Y34" s="55" t="str">
        <f aca="false">IF(I34="","",IF(COUNTIFS(AwardsData[Award ID],J34)=1,INDEX(AwardsData[Performance state],MATCH(J34,AwardsData[Award ID],0)),"Unlinked"))</f>
        <v/>
      </c>
      <c r="Z34" s="55" t="n">
        <f aca="false">IF(AND(V34=1,OR(Dashboard!$AB$2="All",K34=Dashboard!$AB$2),OR(Dashboard!$AB$3="All",L34=Dashboard!$AB$3),OR(Dashboard!$N$10="All",W34=Dashboard!$N$10)),1,0)</f>
        <v>0</v>
      </c>
      <c r="AA34" s="55" t="n">
        <f aca="false">IF(AND(Z34=1,OR(Dashboard!$B$7="All",S34=Dashboard!$B$7)),1,0)</f>
        <v>0</v>
      </c>
      <c r="AB34" s="55" t="n">
        <f aca="false">IF(AND(V34=1,F34&lt;&gt;0),1,0)</f>
        <v>0</v>
      </c>
      <c r="AC34" s="55" t="n">
        <f aca="false">IF(AND(AA34=1,AB34=1),IF(COUNTIFS($J$17:J34,J34,$AA$17:AA34,1,$AB$17:AB34,1)=1,1,0),0)</f>
        <v>0</v>
      </c>
      <c r="AD34" s="55" t="n">
        <f aca="false">IF(AND(AA34=1,AB34=1),IF(COUNTIFS($K$17:K34,K34,$AA$17:AA34,1,$AB$17:AB34,1)=1,1,0),0)</f>
        <v>0</v>
      </c>
      <c r="AE34" s="55" t="n">
        <f aca="false">IF(AND(Z34=1,AB34=1),IF(COUNTIFS($J$17:J34,J34,$S$17:S34,S34,$Z$17:Z34,1,$AB$17:AB34,1)=1,1,0),0)</f>
        <v>0</v>
      </c>
      <c r="AF34" s="55" t="n">
        <f aca="false">IF(AND(Z34=1,AB34=1),IF(COUNTIFS($K$17:K34,K34,$S$17:S34,S34,$Z$17:Z34,1,$AB$17:AB34,1)=1,1,0),0)</f>
        <v>0</v>
      </c>
      <c r="AG34" s="55" t="n">
        <f aca="false">IF(AND(AA34=1,AB34=1),IF(COUNTIFS($J$17:J34,J34,$L$17:L34,L34,$AA$17:AA34,1,$AB$17:AB34,1)=1,1,0),0)</f>
        <v>0</v>
      </c>
      <c r="AH34" s="55" t="n">
        <f aca="false">IF(AND(AA34=1,AB34=1),IF(COUNTIFS($J$17:J34,J34,$K$17:K34,K34,$AA$17:AA34,1,$AB$17:AB34,1)=1,1,0),0)</f>
        <v>0</v>
      </c>
      <c r="AI34" s="54" t="n">
        <f aca="false">IF(V34=1,MAX(F34,0),0)</f>
        <v>0</v>
      </c>
      <c r="AJ34" s="54" t="n">
        <f aca="false">IF(V34=1,MIN(F34,0),0)</f>
        <v>0</v>
      </c>
    </row>
    <row r="35" customFormat="false" ht="40" hidden="false" customHeight="true" outlineLevel="0" collapsed="false">
      <c r="A35" s="64"/>
      <c r="B35" s="52" t="str">
        <f aca="false">IF(M35="","",IF(P35="",M35,HYPERLINK(P35,M35)))</f>
        <v/>
      </c>
      <c r="C35" s="52" t="str">
        <f aca="false">IF(N35="","",IF(Q35="",N35,HYPERLINK(Q35,N35)))</f>
        <v/>
      </c>
      <c r="D35" s="58"/>
      <c r="E35" s="52" t="str">
        <f aca="false">IF(O35="","",IF(R35="",O35,HYPERLINK(R35,O35)))</f>
        <v/>
      </c>
      <c r="F35" s="60"/>
      <c r="G35" s="59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5" t="str">
        <f aca="false">IF(ISNUMBER(A35),YEAR(A35)+IF(MONTH(A35)&gt;=10,1,0),"")</f>
        <v/>
      </c>
      <c r="T35" s="55" t="str">
        <f aca="false">IF(ISNUMBER(A35),INT(MOD(MONTH(A35)-10,12)/3)+1,"")</f>
        <v/>
      </c>
      <c r="U35" s="55" t="str">
        <f aca="false">IF(AND(I35&lt;&gt;"",D35&lt;&gt;"",OR(COUNTIFS(TransactionsData[Vendor ID],K35,TransactionsData[UEI],"&lt;&gt;"&amp;D35,TransactionsData[UEI],"?*")&gt;0,COUNTIFS(VendorGroups[Record ID],K35,VendorGroups[Source UEI],"&lt;&gt;"&amp;D35,VendorGroups[Source UEI],"?*")&gt;0)),"Conflicting vendor UEIs",IF(I35="",IF(COUNTA(A35,D35,F35:R35)&gt;0,"Missing transaction ID",""),IF(COUNTIFS(TransactionsData[Transaction ID],I35)&lt;&gt;1,"Duplicate transaction ID",IF(OR(NOT(ISNUMBER(A35)),A35&lt;1,A35&gt;DATE(2099,1,1)),"Use a valid date",IF(OR(A35&lt;$B$4,A35&gt;$D$4),"Outside coverage",IF(NOT(ISNUMBER(F35)),"Missing or invalid amount",IF(OR(K35="",L35="",N35=""),"Add vendor and office identities",IF(G35="Exclude",IF(OR(F35&lt;&gt;0,H35=""),"Review nonzero or unexplained exclusion",""),IF(G35&lt;&gt;"Include","Choose Include or Exclude",IF(COUNTIFS(AwardsData[Award ID],J35)&lt;&gt;1,"Award link needs review",IF(INDEX(AwardsData[Input check],MATCH(J35,AwardsData[Award ID],0))&lt;&gt;"","Check award inputs","")))))))))))</f>
        <v/>
      </c>
      <c r="V35" s="55" t="n">
        <f aca="false">IF(AND(I35&lt;&gt;"",U35="",G35="Include"),1,0)</f>
        <v>0</v>
      </c>
      <c r="W35" s="55" t="str">
        <f aca="false">IF(I35="","",IF(COUNTIFS(AwardsData[Award ID],J35)=1,INDEX(AwardsData[Current award type],MATCH(J35,AwardsData[Award ID],0)),"Unlinked"))</f>
        <v/>
      </c>
      <c r="X35" s="55" t="str">
        <f aca="false">IF(I35="","",IF(COUNTIFS(AwardsData[Award ID],J35)=1,INDEX(AwardsData[Current set-aside],MATCH(J35,AwardsData[Award ID],0)),"Unlinked"))</f>
        <v/>
      </c>
      <c r="Y35" s="55" t="str">
        <f aca="false">IF(I35="","",IF(COUNTIFS(AwardsData[Award ID],J35)=1,INDEX(AwardsData[Performance state],MATCH(J35,AwardsData[Award ID],0)),"Unlinked"))</f>
        <v/>
      </c>
      <c r="Z35" s="55" t="n">
        <f aca="false">IF(AND(V35=1,OR(Dashboard!$AB$2="All",K35=Dashboard!$AB$2),OR(Dashboard!$AB$3="All",L35=Dashboard!$AB$3),OR(Dashboard!$N$10="All",W35=Dashboard!$N$10)),1,0)</f>
        <v>0</v>
      </c>
      <c r="AA35" s="55" t="n">
        <f aca="false">IF(AND(Z35=1,OR(Dashboard!$B$7="All",S35=Dashboard!$B$7)),1,0)</f>
        <v>0</v>
      </c>
      <c r="AB35" s="55" t="n">
        <f aca="false">IF(AND(V35=1,F35&lt;&gt;0),1,0)</f>
        <v>0</v>
      </c>
      <c r="AC35" s="55" t="n">
        <f aca="false">IF(AND(AA35=1,AB35=1),IF(COUNTIFS($J$17:J35,J35,$AA$17:AA35,1,$AB$17:AB35,1)=1,1,0),0)</f>
        <v>0</v>
      </c>
      <c r="AD35" s="55" t="n">
        <f aca="false">IF(AND(AA35=1,AB35=1),IF(COUNTIFS($K$17:K35,K35,$AA$17:AA35,1,$AB$17:AB35,1)=1,1,0),0)</f>
        <v>0</v>
      </c>
      <c r="AE35" s="55" t="n">
        <f aca="false">IF(AND(Z35=1,AB35=1),IF(COUNTIFS($J$17:J35,J35,$S$17:S35,S35,$Z$17:Z35,1,$AB$17:AB35,1)=1,1,0),0)</f>
        <v>0</v>
      </c>
      <c r="AF35" s="55" t="n">
        <f aca="false">IF(AND(Z35=1,AB35=1),IF(COUNTIFS($K$17:K35,K35,$S$17:S35,S35,$Z$17:Z35,1,$AB$17:AB35,1)=1,1,0),0)</f>
        <v>0</v>
      </c>
      <c r="AG35" s="55" t="n">
        <f aca="false">IF(AND(AA35=1,AB35=1),IF(COUNTIFS($J$17:J35,J35,$L$17:L35,L35,$AA$17:AA35,1,$AB$17:AB35,1)=1,1,0),0)</f>
        <v>0</v>
      </c>
      <c r="AH35" s="55" t="n">
        <f aca="false">IF(AND(AA35=1,AB35=1),IF(COUNTIFS($J$17:J35,J35,$K$17:K35,K35,$AA$17:AA35,1,$AB$17:AB35,1)=1,1,0),0)</f>
        <v>0</v>
      </c>
      <c r="AI35" s="54" t="n">
        <f aca="false">IF(V35=1,MAX(F35,0),0)</f>
        <v>0</v>
      </c>
      <c r="AJ35" s="54" t="n">
        <f aca="false">IF(V35=1,MIN(F35,0),0)</f>
        <v>0</v>
      </c>
    </row>
    <row r="36" customFormat="false" ht="40" hidden="false" customHeight="true" outlineLevel="0" collapsed="false">
      <c r="A36" s="64"/>
      <c r="B36" s="52" t="str">
        <f aca="false">IF(M36="","",IF(P36="",M36,HYPERLINK(P36,M36)))</f>
        <v/>
      </c>
      <c r="C36" s="52" t="str">
        <f aca="false">IF(N36="","",IF(Q36="",N36,HYPERLINK(Q36,N36)))</f>
        <v/>
      </c>
      <c r="D36" s="58"/>
      <c r="E36" s="52" t="str">
        <f aca="false">IF(O36="","",IF(R36="",O36,HYPERLINK(R36,O36)))</f>
        <v/>
      </c>
      <c r="F36" s="60"/>
      <c r="G36" s="59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5" t="str">
        <f aca="false">IF(ISNUMBER(A36),YEAR(A36)+IF(MONTH(A36)&gt;=10,1,0),"")</f>
        <v/>
      </c>
      <c r="T36" s="55" t="str">
        <f aca="false">IF(ISNUMBER(A36),INT(MOD(MONTH(A36)-10,12)/3)+1,"")</f>
        <v/>
      </c>
      <c r="U36" s="55" t="str">
        <f aca="false">IF(AND(I36&lt;&gt;"",D36&lt;&gt;"",OR(COUNTIFS(TransactionsData[Vendor ID],K36,TransactionsData[UEI],"&lt;&gt;"&amp;D36,TransactionsData[UEI],"?*")&gt;0,COUNTIFS(VendorGroups[Record ID],K36,VendorGroups[Source UEI],"&lt;&gt;"&amp;D36,VendorGroups[Source UEI],"?*")&gt;0)),"Conflicting vendor UEIs",IF(I36="",IF(COUNTA(A36,D36,F36:R36)&gt;0,"Missing transaction ID",""),IF(COUNTIFS(TransactionsData[Transaction ID],I36)&lt;&gt;1,"Duplicate transaction ID",IF(OR(NOT(ISNUMBER(A36)),A36&lt;1,A36&gt;DATE(2099,1,1)),"Use a valid date",IF(OR(A36&lt;$B$4,A36&gt;$D$4),"Outside coverage",IF(NOT(ISNUMBER(F36)),"Missing or invalid amount",IF(OR(K36="",L36="",N36=""),"Add vendor and office identities",IF(G36="Exclude",IF(OR(F36&lt;&gt;0,H36=""),"Review nonzero or unexplained exclusion",""),IF(G36&lt;&gt;"Include","Choose Include or Exclude",IF(COUNTIFS(AwardsData[Award ID],J36)&lt;&gt;1,"Award link needs review",IF(INDEX(AwardsData[Input check],MATCH(J36,AwardsData[Award ID],0))&lt;&gt;"","Check award inputs","")))))))))))</f>
        <v/>
      </c>
      <c r="V36" s="55" t="n">
        <f aca="false">IF(AND(I36&lt;&gt;"",U36="",G36="Include"),1,0)</f>
        <v>0</v>
      </c>
      <c r="W36" s="55" t="str">
        <f aca="false">IF(I36="","",IF(COUNTIFS(AwardsData[Award ID],J36)=1,INDEX(AwardsData[Current award type],MATCH(J36,AwardsData[Award ID],0)),"Unlinked"))</f>
        <v/>
      </c>
      <c r="X36" s="55" t="str">
        <f aca="false">IF(I36="","",IF(COUNTIFS(AwardsData[Award ID],J36)=1,INDEX(AwardsData[Current set-aside],MATCH(J36,AwardsData[Award ID],0)),"Unlinked"))</f>
        <v/>
      </c>
      <c r="Y36" s="55" t="str">
        <f aca="false">IF(I36="","",IF(COUNTIFS(AwardsData[Award ID],J36)=1,INDEX(AwardsData[Performance state],MATCH(J36,AwardsData[Award ID],0)),"Unlinked"))</f>
        <v/>
      </c>
      <c r="Z36" s="55" t="n">
        <f aca="false">IF(AND(V36=1,OR(Dashboard!$AB$2="All",K36=Dashboard!$AB$2),OR(Dashboard!$AB$3="All",L36=Dashboard!$AB$3),OR(Dashboard!$N$10="All",W36=Dashboard!$N$10)),1,0)</f>
        <v>0</v>
      </c>
      <c r="AA36" s="55" t="n">
        <f aca="false">IF(AND(Z36=1,OR(Dashboard!$B$7="All",S36=Dashboard!$B$7)),1,0)</f>
        <v>0</v>
      </c>
      <c r="AB36" s="55" t="n">
        <f aca="false">IF(AND(V36=1,F36&lt;&gt;0),1,0)</f>
        <v>0</v>
      </c>
      <c r="AC36" s="55" t="n">
        <f aca="false">IF(AND(AA36=1,AB36=1),IF(COUNTIFS($J$17:J36,J36,$AA$17:AA36,1,$AB$17:AB36,1)=1,1,0),0)</f>
        <v>0</v>
      </c>
      <c r="AD36" s="55" t="n">
        <f aca="false">IF(AND(AA36=1,AB36=1),IF(COUNTIFS($K$17:K36,K36,$AA$17:AA36,1,$AB$17:AB36,1)=1,1,0),0)</f>
        <v>0</v>
      </c>
      <c r="AE36" s="55" t="n">
        <f aca="false">IF(AND(Z36=1,AB36=1),IF(COUNTIFS($J$17:J36,J36,$S$17:S36,S36,$Z$17:Z36,1,$AB$17:AB36,1)=1,1,0),0)</f>
        <v>0</v>
      </c>
      <c r="AF36" s="55" t="n">
        <f aca="false">IF(AND(Z36=1,AB36=1),IF(COUNTIFS($K$17:K36,K36,$S$17:S36,S36,$Z$17:Z36,1,$AB$17:AB36,1)=1,1,0),0)</f>
        <v>0</v>
      </c>
      <c r="AG36" s="55" t="n">
        <f aca="false">IF(AND(AA36=1,AB36=1),IF(COUNTIFS($J$17:J36,J36,$L$17:L36,L36,$AA$17:AA36,1,$AB$17:AB36,1)=1,1,0),0)</f>
        <v>0</v>
      </c>
      <c r="AH36" s="55" t="n">
        <f aca="false">IF(AND(AA36=1,AB36=1),IF(COUNTIFS($J$17:J36,J36,$K$17:K36,K36,$AA$17:AA36,1,$AB$17:AB36,1)=1,1,0),0)</f>
        <v>0</v>
      </c>
      <c r="AI36" s="54" t="n">
        <f aca="false">IF(V36=1,MAX(F36,0),0)</f>
        <v>0</v>
      </c>
      <c r="AJ36" s="54" t="n">
        <f aca="false">IF(V36=1,MIN(F36,0),0)</f>
        <v>0</v>
      </c>
    </row>
    <row r="37" customFormat="false" ht="40" hidden="false" customHeight="true" outlineLevel="0" collapsed="false">
      <c r="A37" s="64"/>
      <c r="B37" s="52" t="str">
        <f aca="false">IF(M37="","",IF(P37="",M37,HYPERLINK(P37,M37)))</f>
        <v/>
      </c>
      <c r="C37" s="52" t="str">
        <f aca="false">IF(N37="","",IF(Q37="",N37,HYPERLINK(Q37,N37)))</f>
        <v/>
      </c>
      <c r="D37" s="58"/>
      <c r="E37" s="52" t="str">
        <f aca="false">IF(O37="","",IF(R37="",O37,HYPERLINK(R37,O37)))</f>
        <v/>
      </c>
      <c r="F37" s="60"/>
      <c r="G37" s="59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5" t="str">
        <f aca="false">IF(ISNUMBER(A37),YEAR(A37)+IF(MONTH(A37)&gt;=10,1,0),"")</f>
        <v/>
      </c>
      <c r="T37" s="55" t="str">
        <f aca="false">IF(ISNUMBER(A37),INT(MOD(MONTH(A37)-10,12)/3)+1,"")</f>
        <v/>
      </c>
      <c r="U37" s="55" t="str">
        <f aca="false">IF(AND(I37&lt;&gt;"",D37&lt;&gt;"",OR(COUNTIFS(TransactionsData[Vendor ID],K37,TransactionsData[UEI],"&lt;&gt;"&amp;D37,TransactionsData[UEI],"?*")&gt;0,COUNTIFS(VendorGroups[Record ID],K37,VendorGroups[Source UEI],"&lt;&gt;"&amp;D37,VendorGroups[Source UEI],"?*")&gt;0)),"Conflicting vendor UEIs",IF(I37="",IF(COUNTA(A37,D37,F37:R37)&gt;0,"Missing transaction ID",""),IF(COUNTIFS(TransactionsData[Transaction ID],I37)&lt;&gt;1,"Duplicate transaction ID",IF(OR(NOT(ISNUMBER(A37)),A37&lt;1,A37&gt;DATE(2099,1,1)),"Use a valid date",IF(OR(A37&lt;$B$4,A37&gt;$D$4),"Outside coverage",IF(NOT(ISNUMBER(F37)),"Missing or invalid amount",IF(OR(K37="",L37="",N37=""),"Add vendor and office identities",IF(G37="Exclude",IF(OR(F37&lt;&gt;0,H37=""),"Review nonzero or unexplained exclusion",""),IF(G37&lt;&gt;"Include","Choose Include or Exclude",IF(COUNTIFS(AwardsData[Award ID],J37)&lt;&gt;1,"Award link needs review",IF(INDEX(AwardsData[Input check],MATCH(J37,AwardsData[Award ID],0))&lt;&gt;"","Check award inputs","")))))))))))</f>
        <v/>
      </c>
      <c r="V37" s="55" t="n">
        <f aca="false">IF(AND(I37&lt;&gt;"",U37="",G37="Include"),1,0)</f>
        <v>0</v>
      </c>
      <c r="W37" s="55" t="str">
        <f aca="false">IF(I37="","",IF(COUNTIFS(AwardsData[Award ID],J37)=1,INDEX(AwardsData[Current award type],MATCH(J37,AwardsData[Award ID],0)),"Unlinked"))</f>
        <v/>
      </c>
      <c r="X37" s="55" t="str">
        <f aca="false">IF(I37="","",IF(COUNTIFS(AwardsData[Award ID],J37)=1,INDEX(AwardsData[Current set-aside],MATCH(J37,AwardsData[Award ID],0)),"Unlinked"))</f>
        <v/>
      </c>
      <c r="Y37" s="55" t="str">
        <f aca="false">IF(I37="","",IF(COUNTIFS(AwardsData[Award ID],J37)=1,INDEX(AwardsData[Performance state],MATCH(J37,AwardsData[Award ID],0)),"Unlinked"))</f>
        <v/>
      </c>
      <c r="Z37" s="55" t="n">
        <f aca="false">IF(AND(V37=1,OR(Dashboard!$AB$2="All",K37=Dashboard!$AB$2),OR(Dashboard!$AB$3="All",L37=Dashboard!$AB$3),OR(Dashboard!$N$10="All",W37=Dashboard!$N$10)),1,0)</f>
        <v>0</v>
      </c>
      <c r="AA37" s="55" t="n">
        <f aca="false">IF(AND(Z37=1,OR(Dashboard!$B$7="All",S37=Dashboard!$B$7)),1,0)</f>
        <v>0</v>
      </c>
      <c r="AB37" s="55" t="n">
        <f aca="false">IF(AND(V37=1,F37&lt;&gt;0),1,0)</f>
        <v>0</v>
      </c>
      <c r="AC37" s="55" t="n">
        <f aca="false">IF(AND(AA37=1,AB37=1),IF(COUNTIFS($J$17:J37,J37,$AA$17:AA37,1,$AB$17:AB37,1)=1,1,0),0)</f>
        <v>0</v>
      </c>
      <c r="AD37" s="55" t="n">
        <f aca="false">IF(AND(AA37=1,AB37=1),IF(COUNTIFS($K$17:K37,K37,$AA$17:AA37,1,$AB$17:AB37,1)=1,1,0),0)</f>
        <v>0</v>
      </c>
      <c r="AE37" s="55" t="n">
        <f aca="false">IF(AND(Z37=1,AB37=1),IF(COUNTIFS($J$17:J37,J37,$S$17:S37,S37,$Z$17:Z37,1,$AB$17:AB37,1)=1,1,0),0)</f>
        <v>0</v>
      </c>
      <c r="AF37" s="55" t="n">
        <f aca="false">IF(AND(Z37=1,AB37=1),IF(COUNTIFS($K$17:K37,K37,$S$17:S37,S37,$Z$17:Z37,1,$AB$17:AB37,1)=1,1,0),0)</f>
        <v>0</v>
      </c>
      <c r="AG37" s="55" t="n">
        <f aca="false">IF(AND(AA37=1,AB37=1),IF(COUNTIFS($J$17:J37,J37,$L$17:L37,L37,$AA$17:AA37,1,$AB$17:AB37,1)=1,1,0),0)</f>
        <v>0</v>
      </c>
      <c r="AH37" s="55" t="n">
        <f aca="false">IF(AND(AA37=1,AB37=1),IF(COUNTIFS($J$17:J37,J37,$K$17:K37,K37,$AA$17:AA37,1,$AB$17:AB37,1)=1,1,0),0)</f>
        <v>0</v>
      </c>
      <c r="AI37" s="54" t="n">
        <f aca="false">IF(V37=1,MAX(F37,0),0)</f>
        <v>0</v>
      </c>
      <c r="AJ37" s="54" t="n">
        <f aca="false">IF(V37=1,MIN(F37,0),0)</f>
        <v>0</v>
      </c>
    </row>
    <row r="38" customFormat="false" ht="40" hidden="false" customHeight="true" outlineLevel="0" collapsed="false">
      <c r="A38" s="64"/>
      <c r="B38" s="52" t="str">
        <f aca="false">IF(M38="","",IF(P38="",M38,HYPERLINK(P38,M38)))</f>
        <v/>
      </c>
      <c r="C38" s="52" t="str">
        <f aca="false">IF(N38="","",IF(Q38="",N38,HYPERLINK(Q38,N38)))</f>
        <v/>
      </c>
      <c r="D38" s="58"/>
      <c r="E38" s="52" t="str">
        <f aca="false">IF(O38="","",IF(R38="",O38,HYPERLINK(R38,O38)))</f>
        <v/>
      </c>
      <c r="F38" s="60"/>
      <c r="G38" s="59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5" t="str">
        <f aca="false">IF(ISNUMBER(A38),YEAR(A38)+IF(MONTH(A38)&gt;=10,1,0),"")</f>
        <v/>
      </c>
      <c r="T38" s="55" t="str">
        <f aca="false">IF(ISNUMBER(A38),INT(MOD(MONTH(A38)-10,12)/3)+1,"")</f>
        <v/>
      </c>
      <c r="U38" s="55" t="str">
        <f aca="false">IF(AND(I38&lt;&gt;"",D38&lt;&gt;"",OR(COUNTIFS(TransactionsData[Vendor ID],K38,TransactionsData[UEI],"&lt;&gt;"&amp;D38,TransactionsData[UEI],"?*")&gt;0,COUNTIFS(VendorGroups[Record ID],K38,VendorGroups[Source UEI],"&lt;&gt;"&amp;D38,VendorGroups[Source UEI],"?*")&gt;0)),"Conflicting vendor UEIs",IF(I38="",IF(COUNTA(A38,D38,F38:R38)&gt;0,"Missing transaction ID",""),IF(COUNTIFS(TransactionsData[Transaction ID],I38)&lt;&gt;1,"Duplicate transaction ID",IF(OR(NOT(ISNUMBER(A38)),A38&lt;1,A38&gt;DATE(2099,1,1)),"Use a valid date",IF(OR(A38&lt;$B$4,A38&gt;$D$4),"Outside coverage",IF(NOT(ISNUMBER(F38)),"Missing or invalid amount",IF(OR(K38="",L38="",N38=""),"Add vendor and office identities",IF(G38="Exclude",IF(OR(F38&lt;&gt;0,H38=""),"Review nonzero or unexplained exclusion",""),IF(G38&lt;&gt;"Include","Choose Include or Exclude",IF(COUNTIFS(AwardsData[Award ID],J38)&lt;&gt;1,"Award link needs review",IF(INDEX(AwardsData[Input check],MATCH(J38,AwardsData[Award ID],0))&lt;&gt;"","Check award inputs","")))))))))))</f>
        <v/>
      </c>
      <c r="V38" s="55" t="n">
        <f aca="false">IF(AND(I38&lt;&gt;"",U38="",G38="Include"),1,0)</f>
        <v>0</v>
      </c>
      <c r="W38" s="55" t="str">
        <f aca="false">IF(I38="","",IF(COUNTIFS(AwardsData[Award ID],J38)=1,INDEX(AwardsData[Current award type],MATCH(J38,AwardsData[Award ID],0)),"Unlinked"))</f>
        <v/>
      </c>
      <c r="X38" s="55" t="str">
        <f aca="false">IF(I38="","",IF(COUNTIFS(AwardsData[Award ID],J38)=1,INDEX(AwardsData[Current set-aside],MATCH(J38,AwardsData[Award ID],0)),"Unlinked"))</f>
        <v/>
      </c>
      <c r="Y38" s="55" t="str">
        <f aca="false">IF(I38="","",IF(COUNTIFS(AwardsData[Award ID],J38)=1,INDEX(AwardsData[Performance state],MATCH(J38,AwardsData[Award ID],0)),"Unlinked"))</f>
        <v/>
      </c>
      <c r="Z38" s="55" t="n">
        <f aca="false">IF(AND(V38=1,OR(Dashboard!$AB$2="All",K38=Dashboard!$AB$2),OR(Dashboard!$AB$3="All",L38=Dashboard!$AB$3),OR(Dashboard!$N$10="All",W38=Dashboard!$N$10)),1,0)</f>
        <v>0</v>
      </c>
      <c r="AA38" s="55" t="n">
        <f aca="false">IF(AND(Z38=1,OR(Dashboard!$B$7="All",S38=Dashboard!$B$7)),1,0)</f>
        <v>0</v>
      </c>
      <c r="AB38" s="55" t="n">
        <f aca="false">IF(AND(V38=1,F38&lt;&gt;0),1,0)</f>
        <v>0</v>
      </c>
      <c r="AC38" s="55" t="n">
        <f aca="false">IF(AND(AA38=1,AB38=1),IF(COUNTIFS($J$17:J38,J38,$AA$17:AA38,1,$AB$17:AB38,1)=1,1,0),0)</f>
        <v>0</v>
      </c>
      <c r="AD38" s="55" t="n">
        <f aca="false">IF(AND(AA38=1,AB38=1),IF(COUNTIFS($K$17:K38,K38,$AA$17:AA38,1,$AB$17:AB38,1)=1,1,0),0)</f>
        <v>0</v>
      </c>
      <c r="AE38" s="55" t="n">
        <f aca="false">IF(AND(Z38=1,AB38=1),IF(COUNTIFS($J$17:J38,J38,$S$17:S38,S38,$Z$17:Z38,1,$AB$17:AB38,1)=1,1,0),0)</f>
        <v>0</v>
      </c>
      <c r="AF38" s="55" t="n">
        <f aca="false">IF(AND(Z38=1,AB38=1),IF(COUNTIFS($K$17:K38,K38,$S$17:S38,S38,$Z$17:Z38,1,$AB$17:AB38,1)=1,1,0),0)</f>
        <v>0</v>
      </c>
      <c r="AG38" s="55" t="n">
        <f aca="false">IF(AND(AA38=1,AB38=1),IF(COUNTIFS($J$17:J38,J38,$L$17:L38,L38,$AA$17:AA38,1,$AB$17:AB38,1)=1,1,0),0)</f>
        <v>0</v>
      </c>
      <c r="AH38" s="55" t="n">
        <f aca="false">IF(AND(AA38=1,AB38=1),IF(COUNTIFS($J$17:J38,J38,$K$17:K38,K38,$AA$17:AA38,1,$AB$17:AB38,1)=1,1,0),0)</f>
        <v>0</v>
      </c>
      <c r="AI38" s="54" t="n">
        <f aca="false">IF(V38=1,MAX(F38,0),0)</f>
        <v>0</v>
      </c>
      <c r="AJ38" s="54" t="n">
        <f aca="false">IF(V38=1,MIN(F38,0),0)</f>
        <v>0</v>
      </c>
    </row>
    <row r="39" customFormat="false" ht="40" hidden="false" customHeight="true" outlineLevel="0" collapsed="false">
      <c r="A39" s="64"/>
      <c r="B39" s="52" t="str">
        <f aca="false">IF(M39="","",IF(P39="",M39,HYPERLINK(P39,M39)))</f>
        <v/>
      </c>
      <c r="C39" s="52" t="str">
        <f aca="false">IF(N39="","",IF(Q39="",N39,HYPERLINK(Q39,N39)))</f>
        <v/>
      </c>
      <c r="D39" s="58"/>
      <c r="E39" s="52" t="str">
        <f aca="false">IF(O39="","",IF(R39="",O39,HYPERLINK(R39,O39)))</f>
        <v/>
      </c>
      <c r="F39" s="60"/>
      <c r="G39" s="59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5" t="str">
        <f aca="false">IF(ISNUMBER(A39),YEAR(A39)+IF(MONTH(A39)&gt;=10,1,0),"")</f>
        <v/>
      </c>
      <c r="T39" s="55" t="str">
        <f aca="false">IF(ISNUMBER(A39),INT(MOD(MONTH(A39)-10,12)/3)+1,"")</f>
        <v/>
      </c>
      <c r="U39" s="55" t="str">
        <f aca="false">IF(AND(I39&lt;&gt;"",D39&lt;&gt;"",OR(COUNTIFS(TransactionsData[Vendor ID],K39,TransactionsData[UEI],"&lt;&gt;"&amp;D39,TransactionsData[UEI],"?*")&gt;0,COUNTIFS(VendorGroups[Record ID],K39,VendorGroups[Source UEI],"&lt;&gt;"&amp;D39,VendorGroups[Source UEI],"?*")&gt;0)),"Conflicting vendor UEIs",IF(I39="",IF(COUNTA(A39,D39,F39:R39)&gt;0,"Missing transaction ID",""),IF(COUNTIFS(TransactionsData[Transaction ID],I39)&lt;&gt;1,"Duplicate transaction ID",IF(OR(NOT(ISNUMBER(A39)),A39&lt;1,A39&gt;DATE(2099,1,1)),"Use a valid date",IF(OR(A39&lt;$B$4,A39&gt;$D$4),"Outside coverage",IF(NOT(ISNUMBER(F39)),"Missing or invalid amount",IF(OR(K39="",L39="",N39=""),"Add vendor and office identities",IF(G39="Exclude",IF(OR(F39&lt;&gt;0,H39=""),"Review nonzero or unexplained exclusion",""),IF(G39&lt;&gt;"Include","Choose Include or Exclude",IF(COUNTIFS(AwardsData[Award ID],J39)&lt;&gt;1,"Award link needs review",IF(INDEX(AwardsData[Input check],MATCH(J39,AwardsData[Award ID],0))&lt;&gt;"","Check award inputs","")))))))))))</f>
        <v/>
      </c>
      <c r="V39" s="55" t="n">
        <f aca="false">IF(AND(I39&lt;&gt;"",U39="",G39="Include"),1,0)</f>
        <v>0</v>
      </c>
      <c r="W39" s="55" t="str">
        <f aca="false">IF(I39="","",IF(COUNTIFS(AwardsData[Award ID],J39)=1,INDEX(AwardsData[Current award type],MATCH(J39,AwardsData[Award ID],0)),"Unlinked"))</f>
        <v/>
      </c>
      <c r="X39" s="55" t="str">
        <f aca="false">IF(I39="","",IF(COUNTIFS(AwardsData[Award ID],J39)=1,INDEX(AwardsData[Current set-aside],MATCH(J39,AwardsData[Award ID],0)),"Unlinked"))</f>
        <v/>
      </c>
      <c r="Y39" s="55" t="str">
        <f aca="false">IF(I39="","",IF(COUNTIFS(AwardsData[Award ID],J39)=1,INDEX(AwardsData[Performance state],MATCH(J39,AwardsData[Award ID],0)),"Unlinked"))</f>
        <v/>
      </c>
      <c r="Z39" s="55" t="n">
        <f aca="false">IF(AND(V39=1,OR(Dashboard!$AB$2="All",K39=Dashboard!$AB$2),OR(Dashboard!$AB$3="All",L39=Dashboard!$AB$3),OR(Dashboard!$N$10="All",W39=Dashboard!$N$10)),1,0)</f>
        <v>0</v>
      </c>
      <c r="AA39" s="55" t="n">
        <f aca="false">IF(AND(Z39=1,OR(Dashboard!$B$7="All",S39=Dashboard!$B$7)),1,0)</f>
        <v>0</v>
      </c>
      <c r="AB39" s="55" t="n">
        <f aca="false">IF(AND(V39=1,F39&lt;&gt;0),1,0)</f>
        <v>0</v>
      </c>
      <c r="AC39" s="55" t="n">
        <f aca="false">IF(AND(AA39=1,AB39=1),IF(COUNTIFS($J$17:J39,J39,$AA$17:AA39,1,$AB$17:AB39,1)=1,1,0),0)</f>
        <v>0</v>
      </c>
      <c r="AD39" s="55" t="n">
        <f aca="false">IF(AND(AA39=1,AB39=1),IF(COUNTIFS($K$17:K39,K39,$AA$17:AA39,1,$AB$17:AB39,1)=1,1,0),0)</f>
        <v>0</v>
      </c>
      <c r="AE39" s="55" t="n">
        <f aca="false">IF(AND(Z39=1,AB39=1),IF(COUNTIFS($J$17:J39,J39,$S$17:S39,S39,$Z$17:Z39,1,$AB$17:AB39,1)=1,1,0),0)</f>
        <v>0</v>
      </c>
      <c r="AF39" s="55" t="n">
        <f aca="false">IF(AND(Z39=1,AB39=1),IF(COUNTIFS($K$17:K39,K39,$S$17:S39,S39,$Z$17:Z39,1,$AB$17:AB39,1)=1,1,0),0)</f>
        <v>0</v>
      </c>
      <c r="AG39" s="55" t="n">
        <f aca="false">IF(AND(AA39=1,AB39=1),IF(COUNTIFS($J$17:J39,J39,$L$17:L39,L39,$AA$17:AA39,1,$AB$17:AB39,1)=1,1,0),0)</f>
        <v>0</v>
      </c>
      <c r="AH39" s="55" t="n">
        <f aca="false">IF(AND(AA39=1,AB39=1),IF(COUNTIFS($J$17:J39,J39,$K$17:K39,K39,$AA$17:AA39,1,$AB$17:AB39,1)=1,1,0),0)</f>
        <v>0</v>
      </c>
      <c r="AI39" s="54" t="n">
        <f aca="false">IF(V39=1,MAX(F39,0),0)</f>
        <v>0</v>
      </c>
      <c r="AJ39" s="54" t="n">
        <f aca="false">IF(V39=1,MIN(F39,0),0)</f>
        <v>0</v>
      </c>
    </row>
    <row r="40" customFormat="false" ht="40" hidden="false" customHeight="true" outlineLevel="0" collapsed="false">
      <c r="A40" s="64"/>
      <c r="B40" s="52" t="str">
        <f aca="false">IF(M40="","",IF(P40="",M40,HYPERLINK(P40,M40)))</f>
        <v/>
      </c>
      <c r="C40" s="52" t="str">
        <f aca="false">IF(N40="","",IF(Q40="",N40,HYPERLINK(Q40,N40)))</f>
        <v/>
      </c>
      <c r="D40" s="58"/>
      <c r="E40" s="52" t="str">
        <f aca="false">IF(O40="","",IF(R40="",O40,HYPERLINK(R40,O40)))</f>
        <v/>
      </c>
      <c r="F40" s="60"/>
      <c r="G40" s="59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5" t="str">
        <f aca="false">IF(ISNUMBER(A40),YEAR(A40)+IF(MONTH(A40)&gt;=10,1,0),"")</f>
        <v/>
      </c>
      <c r="T40" s="55" t="str">
        <f aca="false">IF(ISNUMBER(A40),INT(MOD(MONTH(A40)-10,12)/3)+1,"")</f>
        <v/>
      </c>
      <c r="U40" s="55" t="str">
        <f aca="false">IF(AND(I40&lt;&gt;"",D40&lt;&gt;"",OR(COUNTIFS(TransactionsData[Vendor ID],K40,TransactionsData[UEI],"&lt;&gt;"&amp;D40,TransactionsData[UEI],"?*")&gt;0,COUNTIFS(VendorGroups[Record ID],K40,VendorGroups[Source UEI],"&lt;&gt;"&amp;D40,VendorGroups[Source UEI],"?*")&gt;0)),"Conflicting vendor UEIs",IF(I40="",IF(COUNTA(A40,D40,F40:R40)&gt;0,"Missing transaction ID",""),IF(COUNTIFS(TransactionsData[Transaction ID],I40)&lt;&gt;1,"Duplicate transaction ID",IF(OR(NOT(ISNUMBER(A40)),A40&lt;1,A40&gt;DATE(2099,1,1)),"Use a valid date",IF(OR(A40&lt;$B$4,A40&gt;$D$4),"Outside coverage",IF(NOT(ISNUMBER(F40)),"Missing or invalid amount",IF(OR(K40="",L40="",N40=""),"Add vendor and office identities",IF(G40="Exclude",IF(OR(F40&lt;&gt;0,H40=""),"Review nonzero or unexplained exclusion",""),IF(G40&lt;&gt;"Include","Choose Include or Exclude",IF(COUNTIFS(AwardsData[Award ID],J40)&lt;&gt;1,"Award link needs review",IF(INDEX(AwardsData[Input check],MATCH(J40,AwardsData[Award ID],0))&lt;&gt;"","Check award inputs","")))))))))))</f>
        <v/>
      </c>
      <c r="V40" s="55" t="n">
        <f aca="false">IF(AND(I40&lt;&gt;"",U40="",G40="Include"),1,0)</f>
        <v>0</v>
      </c>
      <c r="W40" s="55" t="str">
        <f aca="false">IF(I40="","",IF(COUNTIFS(AwardsData[Award ID],J40)=1,INDEX(AwardsData[Current award type],MATCH(J40,AwardsData[Award ID],0)),"Unlinked"))</f>
        <v/>
      </c>
      <c r="X40" s="55" t="str">
        <f aca="false">IF(I40="","",IF(COUNTIFS(AwardsData[Award ID],J40)=1,INDEX(AwardsData[Current set-aside],MATCH(J40,AwardsData[Award ID],0)),"Unlinked"))</f>
        <v/>
      </c>
      <c r="Y40" s="55" t="str">
        <f aca="false">IF(I40="","",IF(COUNTIFS(AwardsData[Award ID],J40)=1,INDEX(AwardsData[Performance state],MATCH(J40,AwardsData[Award ID],0)),"Unlinked"))</f>
        <v/>
      </c>
      <c r="Z40" s="55" t="n">
        <f aca="false">IF(AND(V40=1,OR(Dashboard!$AB$2="All",K40=Dashboard!$AB$2),OR(Dashboard!$AB$3="All",L40=Dashboard!$AB$3),OR(Dashboard!$N$10="All",W40=Dashboard!$N$10)),1,0)</f>
        <v>0</v>
      </c>
      <c r="AA40" s="55" t="n">
        <f aca="false">IF(AND(Z40=1,OR(Dashboard!$B$7="All",S40=Dashboard!$B$7)),1,0)</f>
        <v>0</v>
      </c>
      <c r="AB40" s="55" t="n">
        <f aca="false">IF(AND(V40=1,F40&lt;&gt;0),1,0)</f>
        <v>0</v>
      </c>
      <c r="AC40" s="55" t="n">
        <f aca="false">IF(AND(AA40=1,AB40=1),IF(COUNTIFS($J$17:J40,J40,$AA$17:AA40,1,$AB$17:AB40,1)=1,1,0),0)</f>
        <v>0</v>
      </c>
      <c r="AD40" s="55" t="n">
        <f aca="false">IF(AND(AA40=1,AB40=1),IF(COUNTIFS($K$17:K40,K40,$AA$17:AA40,1,$AB$17:AB40,1)=1,1,0),0)</f>
        <v>0</v>
      </c>
      <c r="AE40" s="55" t="n">
        <f aca="false">IF(AND(Z40=1,AB40=1),IF(COUNTIFS($J$17:J40,J40,$S$17:S40,S40,$Z$17:Z40,1,$AB$17:AB40,1)=1,1,0),0)</f>
        <v>0</v>
      </c>
      <c r="AF40" s="55" t="n">
        <f aca="false">IF(AND(Z40=1,AB40=1),IF(COUNTIFS($K$17:K40,K40,$S$17:S40,S40,$Z$17:Z40,1,$AB$17:AB40,1)=1,1,0),0)</f>
        <v>0</v>
      </c>
      <c r="AG40" s="55" t="n">
        <f aca="false">IF(AND(AA40=1,AB40=1),IF(COUNTIFS($J$17:J40,J40,$L$17:L40,L40,$AA$17:AA40,1,$AB$17:AB40,1)=1,1,0),0)</f>
        <v>0</v>
      </c>
      <c r="AH40" s="55" t="n">
        <f aca="false">IF(AND(AA40=1,AB40=1),IF(COUNTIFS($J$17:J40,J40,$K$17:K40,K40,$AA$17:AA40,1,$AB$17:AB40,1)=1,1,0),0)</f>
        <v>0</v>
      </c>
      <c r="AI40" s="54" t="n">
        <f aca="false">IF(V40=1,MAX(F40,0),0)</f>
        <v>0</v>
      </c>
      <c r="AJ40" s="54" t="n">
        <f aca="false">IF(V40=1,MIN(F40,0),0)</f>
        <v>0</v>
      </c>
    </row>
    <row r="41" customFormat="false" ht="40" hidden="false" customHeight="true" outlineLevel="0" collapsed="false">
      <c r="A41" s="64"/>
      <c r="B41" s="52" t="str">
        <f aca="false">IF(M41="","",IF(P41="",M41,HYPERLINK(P41,M41)))</f>
        <v/>
      </c>
      <c r="C41" s="52" t="str">
        <f aca="false">IF(N41="","",IF(Q41="",N41,HYPERLINK(Q41,N41)))</f>
        <v/>
      </c>
      <c r="D41" s="58"/>
      <c r="E41" s="52" t="str">
        <f aca="false">IF(O41="","",IF(R41="",O41,HYPERLINK(R41,O41)))</f>
        <v/>
      </c>
      <c r="F41" s="60"/>
      <c r="G41" s="59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5" t="str">
        <f aca="false">IF(ISNUMBER(A41),YEAR(A41)+IF(MONTH(A41)&gt;=10,1,0),"")</f>
        <v/>
      </c>
      <c r="T41" s="55" t="str">
        <f aca="false">IF(ISNUMBER(A41),INT(MOD(MONTH(A41)-10,12)/3)+1,"")</f>
        <v/>
      </c>
      <c r="U41" s="55" t="str">
        <f aca="false">IF(AND(I41&lt;&gt;"",D41&lt;&gt;"",OR(COUNTIFS(TransactionsData[Vendor ID],K41,TransactionsData[UEI],"&lt;&gt;"&amp;D41,TransactionsData[UEI],"?*")&gt;0,COUNTIFS(VendorGroups[Record ID],K41,VendorGroups[Source UEI],"&lt;&gt;"&amp;D41,VendorGroups[Source UEI],"?*")&gt;0)),"Conflicting vendor UEIs",IF(I41="",IF(COUNTA(A41,D41,F41:R41)&gt;0,"Missing transaction ID",""),IF(COUNTIFS(TransactionsData[Transaction ID],I41)&lt;&gt;1,"Duplicate transaction ID",IF(OR(NOT(ISNUMBER(A41)),A41&lt;1,A41&gt;DATE(2099,1,1)),"Use a valid date",IF(OR(A41&lt;$B$4,A41&gt;$D$4),"Outside coverage",IF(NOT(ISNUMBER(F41)),"Missing or invalid amount",IF(OR(K41="",L41="",N41=""),"Add vendor and office identities",IF(G41="Exclude",IF(OR(F41&lt;&gt;0,H41=""),"Review nonzero or unexplained exclusion",""),IF(G41&lt;&gt;"Include","Choose Include or Exclude",IF(COUNTIFS(AwardsData[Award ID],J41)&lt;&gt;1,"Award link needs review",IF(INDEX(AwardsData[Input check],MATCH(J41,AwardsData[Award ID],0))&lt;&gt;"","Check award inputs","")))))))))))</f>
        <v/>
      </c>
      <c r="V41" s="55" t="n">
        <f aca="false">IF(AND(I41&lt;&gt;"",U41="",G41="Include"),1,0)</f>
        <v>0</v>
      </c>
      <c r="W41" s="55" t="str">
        <f aca="false">IF(I41="","",IF(COUNTIFS(AwardsData[Award ID],J41)=1,INDEX(AwardsData[Current award type],MATCH(J41,AwardsData[Award ID],0)),"Unlinked"))</f>
        <v/>
      </c>
      <c r="X41" s="55" t="str">
        <f aca="false">IF(I41="","",IF(COUNTIFS(AwardsData[Award ID],J41)=1,INDEX(AwardsData[Current set-aside],MATCH(J41,AwardsData[Award ID],0)),"Unlinked"))</f>
        <v/>
      </c>
      <c r="Y41" s="55" t="str">
        <f aca="false">IF(I41="","",IF(COUNTIFS(AwardsData[Award ID],J41)=1,INDEX(AwardsData[Performance state],MATCH(J41,AwardsData[Award ID],0)),"Unlinked"))</f>
        <v/>
      </c>
      <c r="Z41" s="55" t="n">
        <f aca="false">IF(AND(V41=1,OR(Dashboard!$AB$2="All",K41=Dashboard!$AB$2),OR(Dashboard!$AB$3="All",L41=Dashboard!$AB$3),OR(Dashboard!$N$10="All",W41=Dashboard!$N$10)),1,0)</f>
        <v>0</v>
      </c>
      <c r="AA41" s="55" t="n">
        <f aca="false">IF(AND(Z41=1,OR(Dashboard!$B$7="All",S41=Dashboard!$B$7)),1,0)</f>
        <v>0</v>
      </c>
      <c r="AB41" s="55" t="n">
        <f aca="false">IF(AND(V41=1,F41&lt;&gt;0),1,0)</f>
        <v>0</v>
      </c>
      <c r="AC41" s="55" t="n">
        <f aca="false">IF(AND(AA41=1,AB41=1),IF(COUNTIFS($J$17:J41,J41,$AA$17:AA41,1,$AB$17:AB41,1)=1,1,0),0)</f>
        <v>0</v>
      </c>
      <c r="AD41" s="55" t="n">
        <f aca="false">IF(AND(AA41=1,AB41=1),IF(COUNTIFS($K$17:K41,K41,$AA$17:AA41,1,$AB$17:AB41,1)=1,1,0),0)</f>
        <v>0</v>
      </c>
      <c r="AE41" s="55" t="n">
        <f aca="false">IF(AND(Z41=1,AB41=1),IF(COUNTIFS($J$17:J41,J41,$S$17:S41,S41,$Z$17:Z41,1,$AB$17:AB41,1)=1,1,0),0)</f>
        <v>0</v>
      </c>
      <c r="AF41" s="55" t="n">
        <f aca="false">IF(AND(Z41=1,AB41=1),IF(COUNTIFS($K$17:K41,K41,$S$17:S41,S41,$Z$17:Z41,1,$AB$17:AB41,1)=1,1,0),0)</f>
        <v>0</v>
      </c>
      <c r="AG41" s="55" t="n">
        <f aca="false">IF(AND(AA41=1,AB41=1),IF(COUNTIFS($J$17:J41,J41,$L$17:L41,L41,$AA$17:AA41,1,$AB$17:AB41,1)=1,1,0),0)</f>
        <v>0</v>
      </c>
      <c r="AH41" s="55" t="n">
        <f aca="false">IF(AND(AA41=1,AB41=1),IF(COUNTIFS($J$17:J41,J41,$K$17:K41,K41,$AA$17:AA41,1,$AB$17:AB41,1)=1,1,0),0)</f>
        <v>0</v>
      </c>
      <c r="AI41" s="54" t="n">
        <f aca="false">IF(V41=1,MAX(F41,0),0)</f>
        <v>0</v>
      </c>
      <c r="AJ41" s="54" t="n">
        <f aca="false">IF(V41=1,MIN(F41,0),0)</f>
        <v>0</v>
      </c>
    </row>
    <row r="42" customFormat="false" ht="40" hidden="false" customHeight="true" outlineLevel="0" collapsed="false">
      <c r="A42" s="64"/>
      <c r="B42" s="52" t="str">
        <f aca="false">IF(M42="","",IF(P42="",M42,HYPERLINK(P42,M42)))</f>
        <v/>
      </c>
      <c r="C42" s="52" t="str">
        <f aca="false">IF(N42="","",IF(Q42="",N42,HYPERLINK(Q42,N42)))</f>
        <v/>
      </c>
      <c r="D42" s="58"/>
      <c r="E42" s="52" t="str">
        <f aca="false">IF(O42="","",IF(R42="",O42,HYPERLINK(R42,O42)))</f>
        <v/>
      </c>
      <c r="F42" s="60"/>
      <c r="G42" s="59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5" t="str">
        <f aca="false">IF(ISNUMBER(A42),YEAR(A42)+IF(MONTH(A42)&gt;=10,1,0),"")</f>
        <v/>
      </c>
      <c r="T42" s="55" t="str">
        <f aca="false">IF(ISNUMBER(A42),INT(MOD(MONTH(A42)-10,12)/3)+1,"")</f>
        <v/>
      </c>
      <c r="U42" s="55" t="str">
        <f aca="false">IF(AND(I42&lt;&gt;"",D42&lt;&gt;"",OR(COUNTIFS(TransactionsData[Vendor ID],K42,TransactionsData[UEI],"&lt;&gt;"&amp;D42,TransactionsData[UEI],"?*")&gt;0,COUNTIFS(VendorGroups[Record ID],K42,VendorGroups[Source UEI],"&lt;&gt;"&amp;D42,VendorGroups[Source UEI],"?*")&gt;0)),"Conflicting vendor UEIs",IF(I42="",IF(COUNTA(A42,D42,F42:R42)&gt;0,"Missing transaction ID",""),IF(COUNTIFS(TransactionsData[Transaction ID],I42)&lt;&gt;1,"Duplicate transaction ID",IF(OR(NOT(ISNUMBER(A42)),A42&lt;1,A42&gt;DATE(2099,1,1)),"Use a valid date",IF(OR(A42&lt;$B$4,A42&gt;$D$4),"Outside coverage",IF(NOT(ISNUMBER(F42)),"Missing or invalid amount",IF(OR(K42="",L42="",N42=""),"Add vendor and office identities",IF(G42="Exclude",IF(OR(F42&lt;&gt;0,H42=""),"Review nonzero or unexplained exclusion",""),IF(G42&lt;&gt;"Include","Choose Include or Exclude",IF(COUNTIFS(AwardsData[Award ID],J42)&lt;&gt;1,"Award link needs review",IF(INDEX(AwardsData[Input check],MATCH(J42,AwardsData[Award ID],0))&lt;&gt;"","Check award inputs","")))))))))))</f>
        <v/>
      </c>
      <c r="V42" s="55" t="n">
        <f aca="false">IF(AND(I42&lt;&gt;"",U42="",G42="Include"),1,0)</f>
        <v>0</v>
      </c>
      <c r="W42" s="55" t="str">
        <f aca="false">IF(I42="","",IF(COUNTIFS(AwardsData[Award ID],J42)=1,INDEX(AwardsData[Current award type],MATCH(J42,AwardsData[Award ID],0)),"Unlinked"))</f>
        <v/>
      </c>
      <c r="X42" s="55" t="str">
        <f aca="false">IF(I42="","",IF(COUNTIFS(AwardsData[Award ID],J42)=1,INDEX(AwardsData[Current set-aside],MATCH(J42,AwardsData[Award ID],0)),"Unlinked"))</f>
        <v/>
      </c>
      <c r="Y42" s="55" t="str">
        <f aca="false">IF(I42="","",IF(COUNTIFS(AwardsData[Award ID],J42)=1,INDEX(AwardsData[Performance state],MATCH(J42,AwardsData[Award ID],0)),"Unlinked"))</f>
        <v/>
      </c>
      <c r="Z42" s="55" t="n">
        <f aca="false">IF(AND(V42=1,OR(Dashboard!$AB$2="All",K42=Dashboard!$AB$2),OR(Dashboard!$AB$3="All",L42=Dashboard!$AB$3),OR(Dashboard!$N$10="All",W42=Dashboard!$N$10)),1,0)</f>
        <v>0</v>
      </c>
      <c r="AA42" s="55" t="n">
        <f aca="false">IF(AND(Z42=1,OR(Dashboard!$B$7="All",S42=Dashboard!$B$7)),1,0)</f>
        <v>0</v>
      </c>
      <c r="AB42" s="55" t="n">
        <f aca="false">IF(AND(V42=1,F42&lt;&gt;0),1,0)</f>
        <v>0</v>
      </c>
      <c r="AC42" s="55" t="n">
        <f aca="false">IF(AND(AA42=1,AB42=1),IF(COUNTIFS($J$17:J42,J42,$AA$17:AA42,1,$AB$17:AB42,1)=1,1,0),0)</f>
        <v>0</v>
      </c>
      <c r="AD42" s="55" t="n">
        <f aca="false">IF(AND(AA42=1,AB42=1),IF(COUNTIFS($K$17:K42,K42,$AA$17:AA42,1,$AB$17:AB42,1)=1,1,0),0)</f>
        <v>0</v>
      </c>
      <c r="AE42" s="55" t="n">
        <f aca="false">IF(AND(Z42=1,AB42=1),IF(COUNTIFS($J$17:J42,J42,$S$17:S42,S42,$Z$17:Z42,1,$AB$17:AB42,1)=1,1,0),0)</f>
        <v>0</v>
      </c>
      <c r="AF42" s="55" t="n">
        <f aca="false">IF(AND(Z42=1,AB42=1),IF(COUNTIFS($K$17:K42,K42,$S$17:S42,S42,$Z$17:Z42,1,$AB$17:AB42,1)=1,1,0),0)</f>
        <v>0</v>
      </c>
      <c r="AG42" s="55" t="n">
        <f aca="false">IF(AND(AA42=1,AB42=1),IF(COUNTIFS($J$17:J42,J42,$L$17:L42,L42,$AA$17:AA42,1,$AB$17:AB42,1)=1,1,0),0)</f>
        <v>0</v>
      </c>
      <c r="AH42" s="55" t="n">
        <f aca="false">IF(AND(AA42=1,AB42=1),IF(COUNTIFS($J$17:J42,J42,$K$17:K42,K42,$AA$17:AA42,1,$AB$17:AB42,1)=1,1,0),0)</f>
        <v>0</v>
      </c>
      <c r="AI42" s="54" t="n">
        <f aca="false">IF(V42=1,MAX(F42,0),0)</f>
        <v>0</v>
      </c>
      <c r="AJ42" s="54" t="n">
        <f aca="false">IF(V42=1,MIN(F42,0),0)</f>
        <v>0</v>
      </c>
    </row>
    <row r="43" customFormat="false" ht="40" hidden="false" customHeight="true" outlineLevel="0" collapsed="false">
      <c r="A43" s="64"/>
      <c r="B43" s="52" t="str">
        <f aca="false">IF(M43="","",IF(P43="",M43,HYPERLINK(P43,M43)))</f>
        <v/>
      </c>
      <c r="C43" s="52" t="str">
        <f aca="false">IF(N43="","",IF(Q43="",N43,HYPERLINK(Q43,N43)))</f>
        <v/>
      </c>
      <c r="D43" s="58"/>
      <c r="E43" s="52" t="str">
        <f aca="false">IF(O43="","",IF(R43="",O43,HYPERLINK(R43,O43)))</f>
        <v/>
      </c>
      <c r="F43" s="60"/>
      <c r="G43" s="59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5" t="str">
        <f aca="false">IF(ISNUMBER(A43),YEAR(A43)+IF(MONTH(A43)&gt;=10,1,0),"")</f>
        <v/>
      </c>
      <c r="T43" s="55" t="str">
        <f aca="false">IF(ISNUMBER(A43),INT(MOD(MONTH(A43)-10,12)/3)+1,"")</f>
        <v/>
      </c>
      <c r="U43" s="55" t="str">
        <f aca="false">IF(AND(I43&lt;&gt;"",D43&lt;&gt;"",OR(COUNTIFS(TransactionsData[Vendor ID],K43,TransactionsData[UEI],"&lt;&gt;"&amp;D43,TransactionsData[UEI],"?*")&gt;0,COUNTIFS(VendorGroups[Record ID],K43,VendorGroups[Source UEI],"&lt;&gt;"&amp;D43,VendorGroups[Source UEI],"?*")&gt;0)),"Conflicting vendor UEIs",IF(I43="",IF(COUNTA(A43,D43,F43:R43)&gt;0,"Missing transaction ID",""),IF(COUNTIFS(TransactionsData[Transaction ID],I43)&lt;&gt;1,"Duplicate transaction ID",IF(OR(NOT(ISNUMBER(A43)),A43&lt;1,A43&gt;DATE(2099,1,1)),"Use a valid date",IF(OR(A43&lt;$B$4,A43&gt;$D$4),"Outside coverage",IF(NOT(ISNUMBER(F43)),"Missing or invalid amount",IF(OR(K43="",L43="",N43=""),"Add vendor and office identities",IF(G43="Exclude",IF(OR(F43&lt;&gt;0,H43=""),"Review nonzero or unexplained exclusion",""),IF(G43&lt;&gt;"Include","Choose Include or Exclude",IF(COUNTIFS(AwardsData[Award ID],J43)&lt;&gt;1,"Award link needs review",IF(INDEX(AwardsData[Input check],MATCH(J43,AwardsData[Award ID],0))&lt;&gt;"","Check award inputs","")))))))))))</f>
        <v/>
      </c>
      <c r="V43" s="55" t="n">
        <f aca="false">IF(AND(I43&lt;&gt;"",U43="",G43="Include"),1,0)</f>
        <v>0</v>
      </c>
      <c r="W43" s="55" t="str">
        <f aca="false">IF(I43="","",IF(COUNTIFS(AwardsData[Award ID],J43)=1,INDEX(AwardsData[Current award type],MATCH(J43,AwardsData[Award ID],0)),"Unlinked"))</f>
        <v/>
      </c>
      <c r="X43" s="55" t="str">
        <f aca="false">IF(I43="","",IF(COUNTIFS(AwardsData[Award ID],J43)=1,INDEX(AwardsData[Current set-aside],MATCH(J43,AwardsData[Award ID],0)),"Unlinked"))</f>
        <v/>
      </c>
      <c r="Y43" s="55" t="str">
        <f aca="false">IF(I43="","",IF(COUNTIFS(AwardsData[Award ID],J43)=1,INDEX(AwardsData[Performance state],MATCH(J43,AwardsData[Award ID],0)),"Unlinked"))</f>
        <v/>
      </c>
      <c r="Z43" s="55" t="n">
        <f aca="false">IF(AND(V43=1,OR(Dashboard!$AB$2="All",K43=Dashboard!$AB$2),OR(Dashboard!$AB$3="All",L43=Dashboard!$AB$3),OR(Dashboard!$N$10="All",W43=Dashboard!$N$10)),1,0)</f>
        <v>0</v>
      </c>
      <c r="AA43" s="55" t="n">
        <f aca="false">IF(AND(Z43=1,OR(Dashboard!$B$7="All",S43=Dashboard!$B$7)),1,0)</f>
        <v>0</v>
      </c>
      <c r="AB43" s="55" t="n">
        <f aca="false">IF(AND(V43=1,F43&lt;&gt;0),1,0)</f>
        <v>0</v>
      </c>
      <c r="AC43" s="55" t="n">
        <f aca="false">IF(AND(AA43=1,AB43=1),IF(COUNTIFS($J$17:J43,J43,$AA$17:AA43,1,$AB$17:AB43,1)=1,1,0),0)</f>
        <v>0</v>
      </c>
      <c r="AD43" s="55" t="n">
        <f aca="false">IF(AND(AA43=1,AB43=1),IF(COUNTIFS($K$17:K43,K43,$AA$17:AA43,1,$AB$17:AB43,1)=1,1,0),0)</f>
        <v>0</v>
      </c>
      <c r="AE43" s="55" t="n">
        <f aca="false">IF(AND(Z43=1,AB43=1),IF(COUNTIFS($J$17:J43,J43,$S$17:S43,S43,$Z$17:Z43,1,$AB$17:AB43,1)=1,1,0),0)</f>
        <v>0</v>
      </c>
      <c r="AF43" s="55" t="n">
        <f aca="false">IF(AND(Z43=1,AB43=1),IF(COUNTIFS($K$17:K43,K43,$S$17:S43,S43,$Z$17:Z43,1,$AB$17:AB43,1)=1,1,0),0)</f>
        <v>0</v>
      </c>
      <c r="AG43" s="55" t="n">
        <f aca="false">IF(AND(AA43=1,AB43=1),IF(COUNTIFS($J$17:J43,J43,$L$17:L43,L43,$AA$17:AA43,1,$AB$17:AB43,1)=1,1,0),0)</f>
        <v>0</v>
      </c>
      <c r="AH43" s="55" t="n">
        <f aca="false">IF(AND(AA43=1,AB43=1),IF(COUNTIFS($J$17:J43,J43,$K$17:K43,K43,$AA$17:AA43,1,$AB$17:AB43,1)=1,1,0),0)</f>
        <v>0</v>
      </c>
      <c r="AI43" s="54" t="n">
        <f aca="false">IF(V43=1,MAX(F43,0),0)</f>
        <v>0</v>
      </c>
      <c r="AJ43" s="54" t="n">
        <f aca="false">IF(V43=1,MIN(F43,0),0)</f>
        <v>0</v>
      </c>
    </row>
    <row r="44" customFormat="false" ht="40" hidden="false" customHeight="true" outlineLevel="0" collapsed="false">
      <c r="A44" s="64"/>
      <c r="B44" s="52" t="str">
        <f aca="false">IF(M44="","",IF(P44="",M44,HYPERLINK(P44,M44)))</f>
        <v/>
      </c>
      <c r="C44" s="52" t="str">
        <f aca="false">IF(N44="","",IF(Q44="",N44,HYPERLINK(Q44,N44)))</f>
        <v/>
      </c>
      <c r="D44" s="58"/>
      <c r="E44" s="52" t="str">
        <f aca="false">IF(O44="","",IF(R44="",O44,HYPERLINK(R44,O44)))</f>
        <v/>
      </c>
      <c r="F44" s="60"/>
      <c r="G44" s="59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5" t="str">
        <f aca="false">IF(ISNUMBER(A44),YEAR(A44)+IF(MONTH(A44)&gt;=10,1,0),"")</f>
        <v/>
      </c>
      <c r="T44" s="55" t="str">
        <f aca="false">IF(ISNUMBER(A44),INT(MOD(MONTH(A44)-10,12)/3)+1,"")</f>
        <v/>
      </c>
      <c r="U44" s="55" t="str">
        <f aca="false">IF(AND(I44&lt;&gt;"",D44&lt;&gt;"",OR(COUNTIFS(TransactionsData[Vendor ID],K44,TransactionsData[UEI],"&lt;&gt;"&amp;D44,TransactionsData[UEI],"?*")&gt;0,COUNTIFS(VendorGroups[Record ID],K44,VendorGroups[Source UEI],"&lt;&gt;"&amp;D44,VendorGroups[Source UEI],"?*")&gt;0)),"Conflicting vendor UEIs",IF(I44="",IF(COUNTA(A44,D44,F44:R44)&gt;0,"Missing transaction ID",""),IF(COUNTIFS(TransactionsData[Transaction ID],I44)&lt;&gt;1,"Duplicate transaction ID",IF(OR(NOT(ISNUMBER(A44)),A44&lt;1,A44&gt;DATE(2099,1,1)),"Use a valid date",IF(OR(A44&lt;$B$4,A44&gt;$D$4),"Outside coverage",IF(NOT(ISNUMBER(F44)),"Missing or invalid amount",IF(OR(K44="",L44="",N44=""),"Add vendor and office identities",IF(G44="Exclude",IF(OR(F44&lt;&gt;0,H44=""),"Review nonzero or unexplained exclusion",""),IF(G44&lt;&gt;"Include","Choose Include or Exclude",IF(COUNTIFS(AwardsData[Award ID],J44)&lt;&gt;1,"Award link needs review",IF(INDEX(AwardsData[Input check],MATCH(J44,AwardsData[Award ID],0))&lt;&gt;"","Check award inputs","")))))))))))</f>
        <v/>
      </c>
      <c r="V44" s="55" t="n">
        <f aca="false">IF(AND(I44&lt;&gt;"",U44="",G44="Include"),1,0)</f>
        <v>0</v>
      </c>
      <c r="W44" s="55" t="str">
        <f aca="false">IF(I44="","",IF(COUNTIFS(AwardsData[Award ID],J44)=1,INDEX(AwardsData[Current award type],MATCH(J44,AwardsData[Award ID],0)),"Unlinked"))</f>
        <v/>
      </c>
      <c r="X44" s="55" t="str">
        <f aca="false">IF(I44="","",IF(COUNTIFS(AwardsData[Award ID],J44)=1,INDEX(AwardsData[Current set-aside],MATCH(J44,AwardsData[Award ID],0)),"Unlinked"))</f>
        <v/>
      </c>
      <c r="Y44" s="55" t="str">
        <f aca="false">IF(I44="","",IF(COUNTIFS(AwardsData[Award ID],J44)=1,INDEX(AwardsData[Performance state],MATCH(J44,AwardsData[Award ID],0)),"Unlinked"))</f>
        <v/>
      </c>
      <c r="Z44" s="55" t="n">
        <f aca="false">IF(AND(V44=1,OR(Dashboard!$AB$2="All",K44=Dashboard!$AB$2),OR(Dashboard!$AB$3="All",L44=Dashboard!$AB$3),OR(Dashboard!$N$10="All",W44=Dashboard!$N$10)),1,0)</f>
        <v>0</v>
      </c>
      <c r="AA44" s="55" t="n">
        <f aca="false">IF(AND(Z44=1,OR(Dashboard!$B$7="All",S44=Dashboard!$B$7)),1,0)</f>
        <v>0</v>
      </c>
      <c r="AB44" s="55" t="n">
        <f aca="false">IF(AND(V44=1,F44&lt;&gt;0),1,0)</f>
        <v>0</v>
      </c>
      <c r="AC44" s="55" t="n">
        <f aca="false">IF(AND(AA44=1,AB44=1),IF(COUNTIFS($J$17:J44,J44,$AA$17:AA44,1,$AB$17:AB44,1)=1,1,0),0)</f>
        <v>0</v>
      </c>
      <c r="AD44" s="55" t="n">
        <f aca="false">IF(AND(AA44=1,AB44=1),IF(COUNTIFS($K$17:K44,K44,$AA$17:AA44,1,$AB$17:AB44,1)=1,1,0),0)</f>
        <v>0</v>
      </c>
      <c r="AE44" s="55" t="n">
        <f aca="false">IF(AND(Z44=1,AB44=1),IF(COUNTIFS($J$17:J44,J44,$S$17:S44,S44,$Z$17:Z44,1,$AB$17:AB44,1)=1,1,0),0)</f>
        <v>0</v>
      </c>
      <c r="AF44" s="55" t="n">
        <f aca="false">IF(AND(Z44=1,AB44=1),IF(COUNTIFS($K$17:K44,K44,$S$17:S44,S44,$Z$17:Z44,1,$AB$17:AB44,1)=1,1,0),0)</f>
        <v>0</v>
      </c>
      <c r="AG44" s="55" t="n">
        <f aca="false">IF(AND(AA44=1,AB44=1),IF(COUNTIFS($J$17:J44,J44,$L$17:L44,L44,$AA$17:AA44,1,$AB$17:AB44,1)=1,1,0),0)</f>
        <v>0</v>
      </c>
      <c r="AH44" s="55" t="n">
        <f aca="false">IF(AND(AA44=1,AB44=1),IF(COUNTIFS($J$17:J44,J44,$K$17:K44,K44,$AA$17:AA44,1,$AB$17:AB44,1)=1,1,0),0)</f>
        <v>0</v>
      </c>
      <c r="AI44" s="54" t="n">
        <f aca="false">IF(V44=1,MAX(F44,0),0)</f>
        <v>0</v>
      </c>
      <c r="AJ44" s="54" t="n">
        <f aca="false">IF(V44=1,MIN(F44,0),0)</f>
        <v>0</v>
      </c>
    </row>
    <row r="45" customFormat="false" ht="40" hidden="false" customHeight="true" outlineLevel="0" collapsed="false">
      <c r="A45" s="64"/>
      <c r="B45" s="52" t="str">
        <f aca="false">IF(M45="","",IF(P45="",M45,HYPERLINK(P45,M45)))</f>
        <v/>
      </c>
      <c r="C45" s="52" t="str">
        <f aca="false">IF(N45="","",IF(Q45="",N45,HYPERLINK(Q45,N45)))</f>
        <v/>
      </c>
      <c r="D45" s="58"/>
      <c r="E45" s="52" t="str">
        <f aca="false">IF(O45="","",IF(R45="",O45,HYPERLINK(R45,O45)))</f>
        <v/>
      </c>
      <c r="F45" s="60"/>
      <c r="G45" s="59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5" t="str">
        <f aca="false">IF(ISNUMBER(A45),YEAR(A45)+IF(MONTH(A45)&gt;=10,1,0),"")</f>
        <v/>
      </c>
      <c r="T45" s="55" t="str">
        <f aca="false">IF(ISNUMBER(A45),INT(MOD(MONTH(A45)-10,12)/3)+1,"")</f>
        <v/>
      </c>
      <c r="U45" s="55" t="str">
        <f aca="false">IF(AND(I45&lt;&gt;"",D45&lt;&gt;"",OR(COUNTIFS(TransactionsData[Vendor ID],K45,TransactionsData[UEI],"&lt;&gt;"&amp;D45,TransactionsData[UEI],"?*")&gt;0,COUNTIFS(VendorGroups[Record ID],K45,VendorGroups[Source UEI],"&lt;&gt;"&amp;D45,VendorGroups[Source UEI],"?*")&gt;0)),"Conflicting vendor UEIs",IF(I45="",IF(COUNTA(A45,D45,F45:R45)&gt;0,"Missing transaction ID",""),IF(COUNTIFS(TransactionsData[Transaction ID],I45)&lt;&gt;1,"Duplicate transaction ID",IF(OR(NOT(ISNUMBER(A45)),A45&lt;1,A45&gt;DATE(2099,1,1)),"Use a valid date",IF(OR(A45&lt;$B$4,A45&gt;$D$4),"Outside coverage",IF(NOT(ISNUMBER(F45)),"Missing or invalid amount",IF(OR(K45="",L45="",N45=""),"Add vendor and office identities",IF(G45="Exclude",IF(OR(F45&lt;&gt;0,H45=""),"Review nonzero or unexplained exclusion",""),IF(G45&lt;&gt;"Include","Choose Include or Exclude",IF(COUNTIFS(AwardsData[Award ID],J45)&lt;&gt;1,"Award link needs review",IF(INDEX(AwardsData[Input check],MATCH(J45,AwardsData[Award ID],0))&lt;&gt;"","Check award inputs","")))))))))))</f>
        <v/>
      </c>
      <c r="V45" s="55" t="n">
        <f aca="false">IF(AND(I45&lt;&gt;"",U45="",G45="Include"),1,0)</f>
        <v>0</v>
      </c>
      <c r="W45" s="55" t="str">
        <f aca="false">IF(I45="","",IF(COUNTIFS(AwardsData[Award ID],J45)=1,INDEX(AwardsData[Current award type],MATCH(J45,AwardsData[Award ID],0)),"Unlinked"))</f>
        <v/>
      </c>
      <c r="X45" s="55" t="str">
        <f aca="false">IF(I45="","",IF(COUNTIFS(AwardsData[Award ID],J45)=1,INDEX(AwardsData[Current set-aside],MATCH(J45,AwardsData[Award ID],0)),"Unlinked"))</f>
        <v/>
      </c>
      <c r="Y45" s="55" t="str">
        <f aca="false">IF(I45="","",IF(COUNTIFS(AwardsData[Award ID],J45)=1,INDEX(AwardsData[Performance state],MATCH(J45,AwardsData[Award ID],0)),"Unlinked"))</f>
        <v/>
      </c>
      <c r="Z45" s="55" t="n">
        <f aca="false">IF(AND(V45=1,OR(Dashboard!$AB$2="All",K45=Dashboard!$AB$2),OR(Dashboard!$AB$3="All",L45=Dashboard!$AB$3),OR(Dashboard!$N$10="All",W45=Dashboard!$N$10)),1,0)</f>
        <v>0</v>
      </c>
      <c r="AA45" s="55" t="n">
        <f aca="false">IF(AND(Z45=1,OR(Dashboard!$B$7="All",S45=Dashboard!$B$7)),1,0)</f>
        <v>0</v>
      </c>
      <c r="AB45" s="55" t="n">
        <f aca="false">IF(AND(V45=1,F45&lt;&gt;0),1,0)</f>
        <v>0</v>
      </c>
      <c r="AC45" s="55" t="n">
        <f aca="false">IF(AND(AA45=1,AB45=1),IF(COUNTIFS($J$17:J45,J45,$AA$17:AA45,1,$AB$17:AB45,1)=1,1,0),0)</f>
        <v>0</v>
      </c>
      <c r="AD45" s="55" t="n">
        <f aca="false">IF(AND(AA45=1,AB45=1),IF(COUNTIFS($K$17:K45,K45,$AA$17:AA45,1,$AB$17:AB45,1)=1,1,0),0)</f>
        <v>0</v>
      </c>
      <c r="AE45" s="55" t="n">
        <f aca="false">IF(AND(Z45=1,AB45=1),IF(COUNTIFS($J$17:J45,J45,$S$17:S45,S45,$Z$17:Z45,1,$AB$17:AB45,1)=1,1,0),0)</f>
        <v>0</v>
      </c>
      <c r="AF45" s="55" t="n">
        <f aca="false">IF(AND(Z45=1,AB45=1),IF(COUNTIFS($K$17:K45,K45,$S$17:S45,S45,$Z$17:Z45,1,$AB$17:AB45,1)=1,1,0),0)</f>
        <v>0</v>
      </c>
      <c r="AG45" s="55" t="n">
        <f aca="false">IF(AND(AA45=1,AB45=1),IF(COUNTIFS($J$17:J45,J45,$L$17:L45,L45,$AA$17:AA45,1,$AB$17:AB45,1)=1,1,0),0)</f>
        <v>0</v>
      </c>
      <c r="AH45" s="55" t="n">
        <f aca="false">IF(AND(AA45=1,AB45=1),IF(COUNTIFS($J$17:J45,J45,$K$17:K45,K45,$AA$17:AA45,1,$AB$17:AB45,1)=1,1,0),0)</f>
        <v>0</v>
      </c>
      <c r="AI45" s="54" t="n">
        <f aca="false">IF(V45=1,MAX(F45,0),0)</f>
        <v>0</v>
      </c>
      <c r="AJ45" s="54" t="n">
        <f aca="false">IF(V45=1,MIN(F45,0),0)</f>
        <v>0</v>
      </c>
    </row>
    <row r="46" customFormat="false" ht="40" hidden="false" customHeight="true" outlineLevel="0" collapsed="false">
      <c r="A46" s="64"/>
      <c r="B46" s="52" t="str">
        <f aca="false">IF(M46="","",IF(P46="",M46,HYPERLINK(P46,M46)))</f>
        <v/>
      </c>
      <c r="C46" s="52" t="str">
        <f aca="false">IF(N46="","",IF(Q46="",N46,HYPERLINK(Q46,N46)))</f>
        <v/>
      </c>
      <c r="D46" s="58"/>
      <c r="E46" s="52" t="str">
        <f aca="false">IF(O46="","",IF(R46="",O46,HYPERLINK(R46,O46)))</f>
        <v/>
      </c>
      <c r="F46" s="60"/>
      <c r="G46" s="59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5" t="str">
        <f aca="false">IF(ISNUMBER(A46),YEAR(A46)+IF(MONTH(A46)&gt;=10,1,0),"")</f>
        <v/>
      </c>
      <c r="T46" s="55" t="str">
        <f aca="false">IF(ISNUMBER(A46),INT(MOD(MONTH(A46)-10,12)/3)+1,"")</f>
        <v/>
      </c>
      <c r="U46" s="55" t="str">
        <f aca="false">IF(AND(I46&lt;&gt;"",D46&lt;&gt;"",OR(COUNTIFS(TransactionsData[Vendor ID],K46,TransactionsData[UEI],"&lt;&gt;"&amp;D46,TransactionsData[UEI],"?*")&gt;0,COUNTIFS(VendorGroups[Record ID],K46,VendorGroups[Source UEI],"&lt;&gt;"&amp;D46,VendorGroups[Source UEI],"?*")&gt;0)),"Conflicting vendor UEIs",IF(I46="",IF(COUNTA(A46,D46,F46:R46)&gt;0,"Missing transaction ID",""),IF(COUNTIFS(TransactionsData[Transaction ID],I46)&lt;&gt;1,"Duplicate transaction ID",IF(OR(NOT(ISNUMBER(A46)),A46&lt;1,A46&gt;DATE(2099,1,1)),"Use a valid date",IF(OR(A46&lt;$B$4,A46&gt;$D$4),"Outside coverage",IF(NOT(ISNUMBER(F46)),"Missing or invalid amount",IF(OR(K46="",L46="",N46=""),"Add vendor and office identities",IF(G46="Exclude",IF(OR(F46&lt;&gt;0,H46=""),"Review nonzero or unexplained exclusion",""),IF(G46&lt;&gt;"Include","Choose Include or Exclude",IF(COUNTIFS(AwardsData[Award ID],J46)&lt;&gt;1,"Award link needs review",IF(INDEX(AwardsData[Input check],MATCH(J46,AwardsData[Award ID],0))&lt;&gt;"","Check award inputs","")))))))))))</f>
        <v/>
      </c>
      <c r="V46" s="55" t="n">
        <f aca="false">IF(AND(I46&lt;&gt;"",U46="",G46="Include"),1,0)</f>
        <v>0</v>
      </c>
      <c r="W46" s="55" t="str">
        <f aca="false">IF(I46="","",IF(COUNTIFS(AwardsData[Award ID],J46)=1,INDEX(AwardsData[Current award type],MATCH(J46,AwardsData[Award ID],0)),"Unlinked"))</f>
        <v/>
      </c>
      <c r="X46" s="55" t="str">
        <f aca="false">IF(I46="","",IF(COUNTIFS(AwardsData[Award ID],J46)=1,INDEX(AwardsData[Current set-aside],MATCH(J46,AwardsData[Award ID],0)),"Unlinked"))</f>
        <v/>
      </c>
      <c r="Y46" s="55" t="str">
        <f aca="false">IF(I46="","",IF(COUNTIFS(AwardsData[Award ID],J46)=1,INDEX(AwardsData[Performance state],MATCH(J46,AwardsData[Award ID],0)),"Unlinked"))</f>
        <v/>
      </c>
      <c r="Z46" s="55" t="n">
        <f aca="false">IF(AND(V46=1,OR(Dashboard!$AB$2="All",K46=Dashboard!$AB$2),OR(Dashboard!$AB$3="All",L46=Dashboard!$AB$3),OR(Dashboard!$N$10="All",W46=Dashboard!$N$10)),1,0)</f>
        <v>0</v>
      </c>
      <c r="AA46" s="55" t="n">
        <f aca="false">IF(AND(Z46=1,OR(Dashboard!$B$7="All",S46=Dashboard!$B$7)),1,0)</f>
        <v>0</v>
      </c>
      <c r="AB46" s="55" t="n">
        <f aca="false">IF(AND(V46=1,F46&lt;&gt;0),1,0)</f>
        <v>0</v>
      </c>
      <c r="AC46" s="55" t="n">
        <f aca="false">IF(AND(AA46=1,AB46=1),IF(COUNTIFS($J$17:J46,J46,$AA$17:AA46,1,$AB$17:AB46,1)=1,1,0),0)</f>
        <v>0</v>
      </c>
      <c r="AD46" s="55" t="n">
        <f aca="false">IF(AND(AA46=1,AB46=1),IF(COUNTIFS($K$17:K46,K46,$AA$17:AA46,1,$AB$17:AB46,1)=1,1,0),0)</f>
        <v>0</v>
      </c>
      <c r="AE46" s="55" t="n">
        <f aca="false">IF(AND(Z46=1,AB46=1),IF(COUNTIFS($J$17:J46,J46,$S$17:S46,S46,$Z$17:Z46,1,$AB$17:AB46,1)=1,1,0),0)</f>
        <v>0</v>
      </c>
      <c r="AF46" s="55" t="n">
        <f aca="false">IF(AND(Z46=1,AB46=1),IF(COUNTIFS($K$17:K46,K46,$S$17:S46,S46,$Z$17:Z46,1,$AB$17:AB46,1)=1,1,0),0)</f>
        <v>0</v>
      </c>
      <c r="AG46" s="55" t="n">
        <f aca="false">IF(AND(AA46=1,AB46=1),IF(COUNTIFS($J$17:J46,J46,$L$17:L46,L46,$AA$17:AA46,1,$AB$17:AB46,1)=1,1,0),0)</f>
        <v>0</v>
      </c>
      <c r="AH46" s="55" t="n">
        <f aca="false">IF(AND(AA46=1,AB46=1),IF(COUNTIFS($J$17:J46,J46,$K$17:K46,K46,$AA$17:AA46,1,$AB$17:AB46,1)=1,1,0),0)</f>
        <v>0</v>
      </c>
      <c r="AI46" s="54" t="n">
        <f aca="false">IF(V46=1,MAX(F46,0),0)</f>
        <v>0</v>
      </c>
      <c r="AJ46" s="54" t="n">
        <f aca="false">IF(V46=1,MIN(F46,0),0)</f>
        <v>0</v>
      </c>
    </row>
  </sheetData>
  <mergeCells count="7">
    <mergeCell ref="A2:E2"/>
    <mergeCell ref="B3:D3"/>
    <mergeCell ref="A6:G6"/>
    <mergeCell ref="A7:G7"/>
    <mergeCell ref="A12:G12"/>
    <mergeCell ref="A14:G14"/>
    <mergeCell ref="A15:G15"/>
  </mergeCells>
  <conditionalFormatting sqref="U17:U46">
    <cfRule type="expression" priority="2" aboveAverage="0" equalAverage="0" bottom="0" percent="0" rank="0" text="" dxfId="9">
      <formula>LEN(U17)&gt;0</formula>
    </cfRule>
  </conditionalFormatting>
  <dataValidations count="1">
    <dataValidation type="list" allowBlank="1" showErrorMessage="1" errorStyle="stop" errorTitle="Check this input" error="Choose a value from this list." sqref="G17:G46">
      <formula1>"Include,Exclude"</formula1>
    </dataValidation>
  </dataValidations>
  <printOptions horizontalCentered="1" gridLines="0" headings="0"/>
  <pageMargins left="0.25" right="0.25" top="0.3" bottom="0.35" header="0.1" footer="0.12"/>
  <pageSetup paperSize="1" orientation="landscape" fitToWidth="1" fitToHeight="0" pageOrder="downThenOver"/>
  <headerFooter>
    <oddHeader>&amp;L&amp;"Arial,Bold"&amp;11Transactions</oddHeader>
    <oddFooter>&amp;LTransactions&amp;RPage &amp;P of &amp;N</oddFooter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GovTribe</Application>
  <AppVersion>GovTribe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GovTribe</dc:creator>
  <dc:description/>
  <dc:language>en-US</dc:language>
  <cp:lastModifiedBy>GovTribe</cp:lastModifiedBy>
  <cp:revision>0</cp:revision>
  <dc:subject/>
  <dc:title/>
</cp:coreProperties>
</file>