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ummary" sheetId="1" state="visible" r:id="rId3"/>
    <sheet name="Assumptions" sheetId="2" state="visible" r:id="rId4"/>
    <sheet name="Staffing" sheetId="3" state="visible" r:id="rId5"/>
    <sheet name="Labor Rates" sheetId="4" state="visible" r:id="rId6"/>
    <sheet name="Pricing" sheetId="5" state="visible" r:id="rId7"/>
    <sheet name="Source Data" sheetId="6" state="visible" r:id="rId8"/>
  </sheets>
  <definedNames>
    <definedName function="false" hidden="false" localSheetId="1" name="_xlnm.Print_Area" vbProcedure="false">Assumptions!$C$2:$I$58</definedName>
    <definedName function="false" hidden="false" localSheetId="1" name="_xlnm.Print_Titles" vbProcedure="false">Assumptions!$2:$5</definedName>
    <definedName function="false" hidden="false" localSheetId="3" name="_xlnm.Print_Area" vbProcedure="false">'Labor Rates'!$C$2:$I$146</definedName>
    <definedName function="false" hidden="false" localSheetId="3" name="_xlnm.Print_Titles" vbProcedure="false">'Labor Rates'!$2:$5</definedName>
    <definedName function="false" hidden="false" localSheetId="4" name="_xlnm.Print_Area" vbProcedure="false">Pricing!$C$2:$I$76</definedName>
    <definedName function="false" hidden="false" localSheetId="4" name="_xlnm.Print_Titles" vbProcedure="false">Pricing!$2:$5</definedName>
    <definedName function="false" hidden="false" localSheetId="5" name="_xlnm.Print_Area" vbProcedure="false">'Source Data'!$C$2:$I$78</definedName>
    <definedName function="false" hidden="false" localSheetId="5" name="_xlnm.Print_Titles" vbProcedure="false">'Source Data'!$2:$5</definedName>
    <definedName function="false" hidden="false" localSheetId="2" name="_xlnm.Print_Area" vbProcedure="false">Staffing!$C$2:$I$80</definedName>
    <definedName function="false" hidden="false" localSheetId="2" name="_xlnm.Print_Titles" vbProcedure="false">Staffing!$2:$5</definedName>
    <definedName function="false" hidden="false" localSheetId="0" name="_xlnm.Print_Area" vbProcedure="false">Summary!$C$2:$I$34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<sst xmlns="http://schemas.openxmlformats.org/spreadsheetml/2006/main" count="475" uniqueCount="139">
  <si>
    <t xml:space="preserve">Labor pricing &amp; staffing</t>
  </si>
  <si>
    <t xml:space="preserve">Scenario</t>
  </si>
  <si>
    <t xml:space="preserve">GovTribe, Inc. · UEI EDJBUPNLCCL5</t>
  </si>
  <si>
    <t xml:space="preserve">Buyer</t>
  </si>
  <si>
    <t xml:space="preserve">Project</t>
  </si>
  <si>
    <t xml:space="preserve">Solicitation</t>
  </si>
  <si>
    <t xml:space="preserve">Location</t>
  </si>
  <si>
    <t xml:space="preserve">As of</t>
  </si>
  <si>
    <t xml:space="preserve">GovTribe’s identity is real; scenario assumptions and past performance are illustrative. Fictional buyer.</t>
  </si>
  <si>
    <t xml:space="preserve">Period</t>
  </si>
  <si>
    <t xml:space="preserve">Pricing hours</t>
  </si>
  <si>
    <t xml:space="preserve">Est. positions</t>
  </si>
  <si>
    <t xml:space="preserve">Paid FTE</t>
  </si>
  <si>
    <t xml:space="preserve">Price</t>
  </si>
  <si>
    <t xml:space="preserve">Modeled cost</t>
  </si>
  <si>
    <t xml:space="preserve">Profit</t>
  </si>
  <si>
    <t xml:space="preserve">Base</t>
  </si>
  <si>
    <t xml:space="preserve">Option 1</t>
  </si>
  <si>
    <t xml:space="preserve">Option 2</t>
  </si>
  <si>
    <t xml:space="preserve">Option 3</t>
  </si>
  <si>
    <t xml:space="preserve">Option 4</t>
  </si>
  <si>
    <t xml:space="preserve">Extension</t>
  </si>
  <si>
    <t xml:space="preserve">Five-year total</t>
  </si>
  <si>
    <t xml:space="preserve">Extension — separate</t>
  </si>
  <si>
    <t xml:space="preserve">Model status</t>
  </si>
  <si>
    <t xml:space="preserve">Paid FTE includes capacity for nonbillable time; it is not a count of named people. Prices use requested hours and do not represent guaranteed orders.</t>
  </si>
  <si>
    <t xml:space="preserve">Edit amber inputs in Source Data and Assumptions. Use Staffing for FTE overrides and Labor Rates for period-rate overrides.</t>
  </si>
  <si>
    <t xml:space="preserve">Input key: blue = editable input; black = calculation; green = linked input. Missing values remain incomplete; n.a. means cost or profit is unavailable.</t>
  </si>
  <si>
    <t xml:space="preserve">Assumptions</t>
  </si>
  <si>
    <t xml:space="preserve">Annual paid hours</t>
  </si>
  <si>
    <t xml:space="preserve">Annual nonbillable hours</t>
  </si>
  <si>
    <t xml:space="preserve">Additional benefit / paid hour</t>
  </si>
  <si>
    <t xml:space="preserve">Profit or margin</t>
  </si>
  <si>
    <t xml:space="preserve">Profit calculation</t>
  </si>
  <si>
    <t xml:space="preserve">Profit on cost</t>
  </si>
  <si>
    <t xml:space="preserve">Nonbillable time includes paid leave; fringe excludes it. Management is included in indirect costs. Duration uses complete months plus actual-day fractions of the final month, with inclusive end dates.</t>
  </si>
  <si>
    <t xml:space="preserve">Period starts</t>
  </si>
  <si>
    <t xml:space="preserve">Period ends</t>
  </si>
  <si>
    <t xml:space="preserve">Years of staffing</t>
  </si>
  <si>
    <t xml:space="preserve">Complete months</t>
  </si>
  <si>
    <t xml:space="preserve">Partial month</t>
  </si>
  <si>
    <t xml:space="preserve">Annual wage escalation — active</t>
  </si>
  <si>
    <t xml:space="preserve">Low</t>
  </si>
  <si>
    <t xml:space="preserve">High</t>
  </si>
  <si>
    <t xml:space="preserve">Fringe, excluding paid leave — active</t>
  </si>
  <si>
    <t xml:space="preserve">Overhead — active</t>
  </si>
  <si>
    <t xml:space="preserve">G&amp;A — active</t>
  </si>
  <si>
    <t xml:space="preserve">Supplied-rate escalation — active</t>
  </si>
  <si>
    <t xml:space="preserve">Wage escalation: fixed annual assumption. The base wage is adjusted from its benchmark year to the first pricing year; each later option uses that period’s active rate.</t>
  </si>
  <si>
    <t xml:space="preserve">Supplied-rate escalation: applies only to a supplied loaded base rate. Zero holds it flat. A period override replaces only that period; the extension defaults to Option 4’s final rate.</t>
  </si>
  <si>
    <t xml:space="preserve">Low/Base/High company-cost assumptions are illustrative. Dates must be consecutive. The extension inherits Option 4 cost assumptions; its quantities and duration remain separate.</t>
  </si>
  <si>
    <t xml:space="preserve">Staffing</t>
  </si>
  <si>
    <t xml:space="preserve">R01</t>
  </si>
  <si>
    <t xml:space="preserve">Requested hours</t>
  </si>
  <si>
    <t xml:space="preserve">Estimated positions</t>
  </si>
  <si>
    <t xml:space="preserve">Required paid FTE</t>
  </si>
  <si>
    <t xml:space="preserve">Proposed FTE override</t>
  </si>
  <si>
    <t xml:space="preserve">Paid FTE used</t>
  </si>
  <si>
    <t xml:space="preserve">Available billable hours</t>
  </si>
  <si>
    <t xml:space="preserve">Hours above / (below) need</t>
  </si>
  <si>
    <t xml:space="preserve">Paid hours for cost</t>
  </si>
  <si>
    <t xml:space="preserve">Input status</t>
  </si>
  <si>
    <t xml:space="preserve">R02</t>
  </si>
  <si>
    <t xml:space="preserve">R03</t>
  </si>
  <si>
    <t xml:space="preserve">R04</t>
  </si>
  <si>
    <t xml:space="preserve">R05</t>
  </si>
  <si>
    <t xml:space="preserve">R06</t>
  </si>
  <si>
    <t xml:space="preserve">Labor Rates</t>
  </si>
  <si>
    <t xml:space="preserve">Rate basis</t>
  </si>
  <si>
    <t xml:space="preserve">Benchmark wage / hour</t>
  </si>
  <si>
    <t xml:space="preserve">Benchmark year</t>
  </si>
  <si>
    <t xml:space="preserve">Wage adjustment factor</t>
  </si>
  <si>
    <t xml:space="preserve">Adjusted wage / hour</t>
  </si>
  <si>
    <t xml:space="preserve">Paid labor cost</t>
  </si>
  <si>
    <t xml:space="preserve">Fringe benefits</t>
  </si>
  <si>
    <t xml:space="preserve">Additional hourly benefits</t>
  </si>
  <si>
    <t xml:space="preserve">Labor plus benefits</t>
  </si>
  <si>
    <t xml:space="preserve">Overhead</t>
  </si>
  <si>
    <t xml:space="preserve">Labor, benefits, overhead</t>
  </si>
  <si>
    <t xml:space="preserve">G&amp;A</t>
  </si>
  <si>
    <t xml:space="preserve">Total modeled cost</t>
  </si>
  <si>
    <t xml:space="preserve">Target profit</t>
  </si>
  <si>
    <t xml:space="preserve">Calculated rate / hour</t>
  </si>
  <si>
    <t xml:space="preserve">Period-rate override</t>
  </si>
  <si>
    <t xml:space="preserve">Selling rate / hour</t>
  </si>
  <si>
    <t xml:space="preserve">Pricing</t>
  </si>
  <si>
    <t xml:space="preserve">Role ID</t>
  </si>
  <si>
    <t xml:space="preserve">Labor category</t>
  </si>
  <si>
    <t xml:space="preserve">Hours</t>
  </si>
  <si>
    <t xml:space="preserve">Rate / hour</t>
  </si>
  <si>
    <t xml:space="preserve">Total</t>
  </si>
  <si>
    <t xml:space="preserve">Source Data</t>
  </si>
  <si>
    <t xml:space="preserve">Federal Enterprise Finance Office</t>
  </si>
  <si>
    <t xml:space="preserve">Financial Oversight and Program Support</t>
  </si>
  <si>
    <t xml:space="preserve">DEMO-LABOR-001</t>
  </si>
  <si>
    <t xml:space="preserve">Washington, DC</t>
  </si>
  <si>
    <t xml:space="preserve">Starts</t>
  </si>
  <si>
    <t xml:space="preserve">Ends</t>
  </si>
  <si>
    <t xml:space="preserve">Positions</t>
  </si>
  <si>
    <t xml:space="preserve">Wage / hr</t>
  </si>
  <si>
    <t xml:space="preserve">Wage year</t>
  </si>
  <si>
    <t xml:space="preserve">Loaded rate / hr</t>
  </si>
  <si>
    <t xml:space="preserve">On-Site Supervisor</t>
  </si>
  <si>
    <t xml:space="preserve">Build from wage</t>
  </si>
  <si>
    <t xml:space="preserve">Financial Analyst</t>
  </si>
  <si>
    <t xml:space="preserve">Administrative Assistant</t>
  </si>
  <si>
    <t xml:space="preserve">Program Analyst I</t>
  </si>
  <si>
    <t xml:space="preserve">Program Analyst II</t>
  </si>
  <si>
    <t xml:space="preserve">Program Analyst III</t>
  </si>
  <si>
    <t xml:space="preserve">Requested pricing hours</t>
  </si>
  <si>
    <t xml:space="preserve">Role definitions and wage evidence</t>
  </si>
  <si>
    <t xml:space="preserve">Qualifications</t>
  </si>
  <si>
    <t xml:space="preserve">Supervises an administrative and analytical team; coordinates staffing, schedules and quality checks.</t>
  </si>
  <si>
    <t xml:space="preserve">Wage source</t>
  </si>
  <si>
    <t xml:space="preserve">First-Line Supervisors of Office and Administrative Support Workers (431011), Senior; 2025. Washington-Arlington-Alexandria, DC-VA-MD-WV.</t>
  </si>
  <si>
    <t xml:space="preserve">Limits</t>
  </si>
  <si>
    <t xml:space="preserve">Administrative-supervisor wage proxy; does not establish a financial-management salary.</t>
  </si>
  <si>
    <t xml:space="preserve">Bachelor’s degree in finance, accounting or related field; evaluates financial statements, credit exposure and risk.</t>
  </si>
  <si>
    <t xml:space="preserve">Financial Risk Specialists (132054), Journeyman; 2025. Washington-Arlington-Alexandria, DC-VA-MD-WV.</t>
  </si>
  <si>
    <t xml:space="preserve">Financial-risk occupation is a proxy for the proposed oversight duties, not a buyer-mandated classification.</t>
  </si>
  <si>
    <t xml:space="preserve">High school diploma and office-support experience; scheduling, correspondence, document preparation and records.</t>
  </si>
  <si>
    <t xml:space="preserve">Secretaries and Administrative Assistants, Except Legal, Medical, and Executive (436014), Journeyman; 2025. Washington-Arlington-Alexandria, DC-VA-MD-WV.</t>
  </si>
  <si>
    <t xml:space="preserve">General administrative-support occupation; no executive, legal or medical specialization assumed.</t>
  </si>
  <si>
    <t xml:space="preserve">Bachelor’s degree or equivalent; 1–2 years of analysis, reporting or project-support experience.</t>
  </si>
  <si>
    <t xml:space="preserve">Management Analysts (131111), Junior; 2025. Washington-Arlington-Alexandria, DC-VA-MD-WV.</t>
  </si>
  <si>
    <t xml:space="preserve">Management-analyst wage proxy at the Junior level (25th percentile).</t>
  </si>
  <si>
    <t xml:space="preserve">Bachelor’s degree or equivalent; 2–3 years of experience independently preparing analyses and program reports.</t>
  </si>
  <si>
    <t xml:space="preserve">Management Analysts (131111), Journeyman; 2025. Washington-Arlington-Alexandria, DC-VA-MD-WV.</t>
  </si>
  <si>
    <t xml:space="preserve">Management-analyst wage proxy at the Journeyman level (50th percentile).</t>
  </si>
  <si>
    <t xml:space="preserve">Bachelor’s degree or equivalent; 3+ years of progressive experience leading complex program analyses.</t>
  </si>
  <si>
    <t xml:space="preserve">Management Analysts (131111), Senior; 2025. Washington-Arlington-Alexandria, DC-VA-MD-WV.</t>
  </si>
  <si>
    <t xml:space="preserve">Management-analyst wage proxy at the Senior level (75th percentile).</t>
  </si>
  <si>
    <t xml:space="preserve">References</t>
  </si>
  <si>
    <t xml:space="preserve">Wages: 2025 BLS series, retrieved through GovTribe / GSA CALC+ on September 11, 2026. All Industries. Levels: Junior 25th percentile; Journeyman 50th; Senior 75th.</t>
  </si>
  <si>
    <t xml:space="preserve">Wages</t>
  </si>
  <si>
    <t xml:space="preserve">Staffing quantities are adapted from SBA solicitation 47QACA26R0306, Attachment B, Cost Estimate rows 6–11 and 55–60. The buyer, project, dates and solicitation shown here are fictional.</t>
  </si>
  <si>
    <t xml:space="preserve">Company benefits, indirect costs, profit, nonbillable time and escalation are editable assumptions. Wages are not selling prices or proof of wage-determination compliance.</t>
  </si>
  <si>
    <t xml:space="preserve">Structure</t>
  </si>
  <si>
    <t xml:space="preserve">Definitions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</si>
</sst>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mmm\ d&quot;, &quot;yyyy"/>
    <numFmt numFmtId="166" formatCode="#,##0;\(#,##0\);\—"/>
    <numFmt numFmtId="167" formatCode="0.00;\(0.00\);\—"/>
    <numFmt numFmtId="168" formatCode="\$#,##0.00;&quot;($&quot;#,##0.00\);\—"/>
    <numFmt numFmtId="169" formatCode="\$0.00;&quot;($&quot;0.00\);\—"/>
    <numFmt numFmtId="170" formatCode="0.0%;\(0.0%\);\—"/>
    <numFmt numFmtId="171" formatCode="0.0000"/>
    <numFmt numFmtId="172" formatCode="0"/>
    <numFmt numFmtId="173" formatCode="\$0.0000;&quot;($&quot;0.0000\);\—"/>
  </numFmts>
  <fonts count="1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sz val="10"/>
      <color rgb="FF172B46"/>
      <name val="Arial"/>
      <family val="0"/>
      <charset val="1"/>
    </font>
    <font>
      <b val="true"/>
      <sz val="16"/>
      <color rgb="FF172B46"/>
      <name val="Arial"/>
      <family val="0"/>
      <charset val="1"/>
    </font>
    <font>
      <sz val="10"/>
      <color rgb="FF287747"/>
      <name val="Arial"/>
      <family val="0"/>
      <charset val="1"/>
    </font>
    <font>
      <sz val="10"/>
      <color rgb="FF34465B"/>
      <name val="Arial"/>
      <family val="0"/>
      <charset val="1"/>
    </font>
    <font>
      <sz val="9"/>
      <color rgb="FF34465B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72B46"/>
      <name val="Arial"/>
      <family val="0"/>
      <charset val="1"/>
    </font>
    <font>
      <sz val="10"/>
      <color rgb="FF526271"/>
      <name val="Arial"/>
      <family val="0"/>
      <charset val="1"/>
    </font>
    <font>
      <sz val="10"/>
      <color rgb="FF1765AC"/>
      <name val="Arial"/>
      <family val="0"/>
      <charset val="1"/>
    </font>
    <font>
      <sz val="10"/>
      <color rgb="FF111111"/>
      <name val="Arial"/>
      <family val="0"/>
      <charset val="1"/>
    </font>
    <font>
      <b val="true"/>
      <sz val="10"/>
      <color rgb="FF11111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72B46"/>
        <bgColor rgb="FF111111"/>
      </patternFill>
    </fill>
    <fill>
      <patternFill patternType="solid">
        <fgColor rgb="FFEFF3F6"/>
        <bgColor rgb="FFFFF6DF"/>
      </patternFill>
    </fill>
    <fill>
      <patternFill patternType="solid">
        <fgColor rgb="FFFFF6DF"/>
        <bgColor rgb="FFFFF2CC"/>
      </patternFill>
    </fill>
  </fills>
  <borders count="5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CFD7DF"/>
      </bottom>
      <diagonal/>
    </border>
    <border diagonalUp="false" diagonalDown="false">
      <left style="dotted">
        <color rgb="FFCFD7DF"/>
      </left>
      <right style="dotted">
        <color rgb="FFCFD7DF"/>
      </right>
      <top style="dotted">
        <color rgb="FFCFD7DF"/>
      </top>
      <bottom style="dotted">
        <color rgb="FFCFD7DF"/>
      </bottom>
      <diagonal/>
    </border>
    <border diagonalUp="false" diagonalDown="false">
      <left/>
      <right/>
      <top style="thin">
        <color rgb="FFCFD7DF"/>
      </top>
      <bottom/>
      <diagonal/>
    </border>
    <border diagonalUp="false" diagonalDown="false">
      <left/>
      <right/>
      <top/>
      <bottom style="double">
        <color rgb="FFCFD7DF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8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2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2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2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0" borderId="0" xfId="2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2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2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5" fillId="0" borderId="0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5" fillId="0" borderId="0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5" fillId="0" borderId="0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3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5" fillId="3" borderId="0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5" fillId="3" borderId="0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5" fillId="3" borderId="0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0" borderId="3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1" fillId="0" borderId="3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0" borderId="3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1" fillId="0" borderId="3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1" fillId="0" borderId="0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0" borderId="0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1" fillId="0" borderId="0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0" xfId="2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4" borderId="2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3" fillId="4" borderId="0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3" fillId="4" borderId="0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13" fillId="4" borderId="0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4" borderId="0" xfId="2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2" borderId="0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0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14" fillId="0" borderId="0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14" fillId="0" borderId="0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3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15" fillId="3" borderId="0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14" fillId="0" borderId="0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2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2" borderId="0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0" borderId="0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3" borderId="0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7" fillId="0" borderId="0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3" fillId="4" borderId="0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4" fillId="0" borderId="0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0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2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9" fontId="7" fillId="3" borderId="0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0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7" fillId="3" borderId="0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14" fillId="3" borderId="0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4" fillId="0" borderId="0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4" fillId="0" borderId="0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7" fillId="3" borderId="0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7" fillId="0" borderId="0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4" fillId="3" borderId="0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7" fillId="3" borderId="0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13" fillId="4" borderId="0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3" borderId="4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3" fontId="15" fillId="3" borderId="4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0" xfId="2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9" fontId="7" fillId="0" borderId="0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3" borderId="0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7" fillId="0" borderId="0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4" fillId="3" borderId="0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7" fillId="0" borderId="0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0" borderId="4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3" fontId="15" fillId="0" borderId="4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3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0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2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0" xfId="2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5" fillId="0" borderId="3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5" fillId="0" borderId="3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3" fillId="4" borderId="0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3" fillId="4" borderId="0" xfId="2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9" fontId="13" fillId="4" borderId="0" xfId="2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3" fillId="4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13" fillId="4" borderId="0" xfId="2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5" fillId="0" borderId="0" xfId="2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0" borderId="0" xfId="2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dxfs count="18">
    <dxf>
      <font>
        <b val="1"/>
        <color rgb="FF9C2424"/>
      </font>
      <fill>
        <patternFill>
          <bgColor rgb="FFFCE4E4"/>
        </patternFill>
      </fill>
    </dxf>
    <dxf>
      <font>
        <color rgb="FF9C2424"/>
      </font>
      <fill>
        <patternFill>
          <bgColor rgb="FFFCE4E4"/>
        </patternFill>
      </fill>
    </dxf>
    <dxf>
      <font>
        <b val="1"/>
        <color rgb="FF9C2424"/>
      </font>
      <fill>
        <patternFill>
          <bgColor rgb="FFFCE4E4"/>
        </patternFill>
      </fill>
    </dxf>
    <dxf>
      <font>
        <color rgb="FF9C2424"/>
      </font>
      <fill>
        <patternFill>
          <bgColor rgb="FFFCE4E4"/>
        </patternFill>
      </fill>
    </dxf>
    <dxf>
      <font>
        <b val="1"/>
        <color rgb="FF9C2424"/>
      </font>
      <fill>
        <patternFill>
          <bgColor rgb="FFFCE4E4"/>
        </patternFill>
      </fill>
    </dxf>
    <dxf>
      <font>
        <color rgb="FF9C2424"/>
      </font>
      <fill>
        <patternFill>
          <bgColor rgb="FFFCE4E4"/>
        </patternFill>
      </fill>
    </dxf>
    <dxf>
      <font>
        <b val="1"/>
        <color rgb="FF9C2424"/>
      </font>
      <fill>
        <patternFill>
          <bgColor rgb="FFFCE4E4"/>
        </patternFill>
      </fill>
    </dxf>
    <dxf>
      <font>
        <color rgb="FF9C2424"/>
      </font>
      <fill>
        <patternFill>
          <bgColor rgb="FFFCE4E4"/>
        </patternFill>
      </fill>
    </dxf>
    <dxf>
      <font>
        <b val="1"/>
        <color rgb="FF9C2424"/>
      </font>
      <fill>
        <patternFill>
          <bgColor rgb="FFFCE4E4"/>
        </patternFill>
      </fill>
    </dxf>
    <dxf>
      <font>
        <color rgb="FF9C2424"/>
      </font>
      <fill>
        <patternFill>
          <bgColor rgb="FFFCE4E4"/>
        </patternFill>
      </fill>
    </dxf>
    <dxf>
      <font>
        <b val="1"/>
        <color rgb="FF9C2424"/>
      </font>
      <fill>
        <patternFill>
          <bgColor rgb="FFFCE4E4"/>
        </patternFill>
      </fill>
    </dxf>
    <dxf>
      <font>
        <color rgb="FF9C2424"/>
      </font>
      <fill>
        <patternFill>
          <bgColor rgb="FFFCE4E4"/>
        </patternFill>
      </fill>
    </dxf>
    <dxf>
      <font>
        <color rgb="FF9C2424"/>
      </font>
      <fill>
        <patternFill>
          <bgColor rgb="FFFFF2CC"/>
        </patternFill>
      </fill>
    </dxf>
    <dxf>
      <font>
        <color rgb="FF9C2424"/>
      </font>
      <fill>
        <patternFill>
          <bgColor rgb="FFFFF2CC"/>
        </patternFill>
      </fill>
    </dxf>
    <dxf>
      <font>
        <color rgb="FF9C2424"/>
      </font>
      <fill>
        <patternFill>
          <bgColor rgb="FFFFF2CC"/>
        </patternFill>
      </fill>
    </dxf>
    <dxf>
      <font>
        <color rgb="FF9C2424"/>
      </font>
      <fill>
        <patternFill>
          <bgColor rgb="FFFFF2CC"/>
        </patternFill>
      </fill>
    </dxf>
    <dxf>
      <font>
        <color rgb="FF9C2424"/>
      </font>
      <fill>
        <patternFill>
          <bgColor rgb="FFFFF2CC"/>
        </patternFill>
      </fill>
    </dxf>
    <dxf>
      <font>
        <color rgb="FF9C2424"/>
      </font>
      <fill>
        <patternFill>
          <bgColor rgb="FFFFF2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426687"/>
      <rgbColor rgb="FF9999FF"/>
      <rgbColor rgb="FF993366"/>
      <rgbColor rgb="FFFFF6DF"/>
      <rgbColor rgb="FFEFF3F6"/>
      <rgbColor rgb="FF660066"/>
      <rgbColor rgb="FFFF8080"/>
      <rgbColor rgb="FF1765AC"/>
      <rgbColor rgb="FFCFD7D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2CC"/>
      <rgbColor rgb="FF99CCFF"/>
      <rgbColor rgb="FFFF99CC"/>
      <rgbColor rgb="FFCC99FF"/>
      <rgbColor rgb="FFFCE4E4"/>
      <rgbColor rgb="FF3366FF"/>
      <rgbColor rgb="FF33CCCC"/>
      <rgbColor rgb="FF99CC00"/>
      <rgbColor rgb="FFFFCC00"/>
      <rgbColor rgb="FFFF9900"/>
      <rgbColor rgb="FFFF6600"/>
      <rgbColor rgb="FF526271"/>
      <rgbColor rgb="FF969696"/>
      <rgbColor rgb="FF172B46"/>
      <rgbColor rgb="FF287747"/>
      <rgbColor rgb="FF111111"/>
      <rgbColor rgb="FF333300"/>
      <rgbColor rgb="FF9C2424"/>
      <rgbColor rgb="FF993366"/>
      <rgbColor rgb="FF333399"/>
      <rgbColor rgb="FF34465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1</xdr:row>
      <xdr:rowOff>0</xdr:rowOff>
    </xdr:from>
    <xdr:to>
      <xdr:col>7</xdr:col>
      <xdr:colOff>279720</xdr:colOff>
      <xdr:row>1</xdr:row>
      <xdr:rowOff>189360</xdr:rowOff>
    </xdr:to>
    <xdr:pic>
      <xdr:nvPicPr>
        <xdr:cNvPr id="1" name="241fd85d-dab0-4997-9c54-3e00d0247f19"/>
        <xdr:cNvPicPr/>
      </xdr:nvPicPr>
      <xdr:blipFill>
        <a:blip r:embed="rId1"/>
        <a:stretch/>
      </xdr:blipFill>
      <xdr:spPr>
        <a:xfrm>
          <a:off x="6766560" y="177840"/>
          <a:ext cx="1618920" cy="1893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72B46"/>
    <pageSetUpPr fitToPage="true"/>
  </sheetPr>
  <dimension ref="A1:J3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2"/>
    <col collapsed="false" customWidth="true" hidden="false" outlineLevel="0" max="3" min="3" style="0" width="34"/>
    <col collapsed="false" customWidth="true" hidden="false" outlineLevel="0" max="4" min="4" style="0" width="21"/>
    <col collapsed="false" customWidth="true" hidden="false" outlineLevel="0" max="5" min="5" style="0" width="18"/>
    <col collapsed="false" customWidth="true" hidden="false" outlineLevel="0" max="8" min="6" style="0" width="19"/>
    <col collapsed="false" customWidth="true" hidden="false" outlineLevel="0" max="9" min="9" style="0" width="20"/>
    <col collapsed="false" customWidth="true" hidden="false" outlineLevel="0" max="10" min="10" style="0" width="2"/>
  </cols>
  <sheetData>
    <row r="1" customFormat="false" ht="14" hidden="false" customHeight="true" outlineLevel="0" collapsed="false">
      <c r="A1" s="1"/>
      <c r="B1" s="1"/>
      <c r="C1" s="2"/>
      <c r="D1" s="3"/>
      <c r="E1" s="3"/>
      <c r="F1" s="3"/>
      <c r="G1" s="3"/>
      <c r="H1" s="3"/>
      <c r="I1" s="3"/>
      <c r="J1" s="1"/>
    </row>
    <row r="2" customFormat="false" ht="26" hidden="false" customHeight="true" outlineLevel="0" collapsed="false">
      <c r="A2" s="1"/>
      <c r="B2" s="1"/>
      <c r="C2" s="4" t="s">
        <v>0</v>
      </c>
      <c r="D2" s="3"/>
      <c r="E2" s="3"/>
      <c r="F2" s="3"/>
      <c r="G2" s="3"/>
      <c r="H2" s="3"/>
      <c r="I2" s="3"/>
      <c r="J2" s="1"/>
    </row>
    <row r="3" customFormat="false" ht="14" hidden="false" customHeight="true" outlineLevel="0" collapsed="false">
      <c r="A3" s="1"/>
      <c r="B3" s="1"/>
      <c r="C3" s="5"/>
      <c r="D3" s="6"/>
      <c r="E3" s="6"/>
      <c r="F3" s="6"/>
      <c r="G3" s="6"/>
      <c r="H3" s="6"/>
      <c r="I3" s="6"/>
      <c r="J3" s="1"/>
    </row>
    <row r="4" customFormat="false" ht="14" hidden="false" customHeight="true" outlineLevel="0" collapsed="false">
      <c r="A4" s="1"/>
      <c r="B4" s="1"/>
      <c r="C4" s="2" t="s">
        <v>1</v>
      </c>
      <c r="D4" s="7" t="str">
        <f aca="false">Assumptions!$D$4</f>
        <v>Base</v>
      </c>
      <c r="E4" s="8" t="s">
        <v>2</v>
      </c>
      <c r="F4" s="8"/>
      <c r="G4" s="8"/>
      <c r="H4" s="8"/>
      <c r="I4" s="8"/>
      <c r="J4" s="1"/>
    </row>
    <row r="5" customFormat="false" ht="14" hidden="false" customHeight="true" outlineLevel="0" collapsed="false">
      <c r="A5" s="1"/>
      <c r="B5" s="1"/>
      <c r="C5" s="2"/>
      <c r="D5" s="3"/>
      <c r="E5" s="3"/>
      <c r="F5" s="3"/>
      <c r="G5" s="3"/>
      <c r="H5" s="3"/>
      <c r="I5" s="3"/>
      <c r="J5" s="1"/>
    </row>
    <row r="6" customFormat="false" ht="14" hidden="false" customHeight="true" outlineLevel="0" collapsed="false">
      <c r="A6" s="1"/>
      <c r="B6" s="1"/>
      <c r="C6" s="2"/>
      <c r="D6" s="3"/>
      <c r="E6" s="3"/>
      <c r="F6" s="3"/>
      <c r="G6" s="3"/>
      <c r="H6" s="3"/>
      <c r="I6" s="3"/>
      <c r="J6" s="1"/>
    </row>
    <row r="7" customFormat="false" ht="14" hidden="false" customHeight="true" outlineLevel="0" collapsed="false">
      <c r="A7" s="1"/>
      <c r="B7" s="1"/>
      <c r="C7" s="2" t="s">
        <v>3</v>
      </c>
      <c r="D7" s="9" t="str">
        <f aca="false">IF('Source Data'!D6="","",'Source Data'!D6)</f>
        <v>Federal Enterprise Finance Office</v>
      </c>
      <c r="E7" s="9"/>
      <c r="F7" s="9"/>
      <c r="G7" s="9"/>
      <c r="H7" s="9"/>
      <c r="I7" s="9"/>
      <c r="J7" s="1"/>
    </row>
    <row r="8" customFormat="false" ht="14" hidden="false" customHeight="true" outlineLevel="0" collapsed="false">
      <c r="A8" s="1"/>
      <c r="B8" s="1"/>
      <c r="C8" s="2" t="s">
        <v>4</v>
      </c>
      <c r="D8" s="9" t="str">
        <f aca="false">IF('Source Data'!D7="","",'Source Data'!D7)</f>
        <v>Financial Oversight and Program Support</v>
      </c>
      <c r="E8" s="9"/>
      <c r="F8" s="9"/>
      <c r="G8" s="9"/>
      <c r="H8" s="9"/>
      <c r="I8" s="9"/>
      <c r="J8" s="1"/>
    </row>
    <row r="9" customFormat="false" ht="14" hidden="false" customHeight="true" outlineLevel="0" collapsed="false">
      <c r="A9" s="1"/>
      <c r="B9" s="1"/>
      <c r="C9" s="2" t="s">
        <v>5</v>
      </c>
      <c r="D9" s="9" t="str">
        <f aca="false">IF('Source Data'!D8="","",'Source Data'!D8)</f>
        <v>DEMO-LABOR-001</v>
      </c>
      <c r="E9" s="9"/>
      <c r="F9" s="9"/>
      <c r="G9" s="9"/>
      <c r="H9" s="9"/>
      <c r="I9" s="9"/>
      <c r="J9" s="1"/>
    </row>
    <row r="10" customFormat="false" ht="14" hidden="false" customHeight="true" outlineLevel="0" collapsed="false">
      <c r="A10" s="1"/>
      <c r="B10" s="1"/>
      <c r="C10" s="2" t="s">
        <v>6</v>
      </c>
      <c r="D10" s="9" t="str">
        <f aca="false">IF('Source Data'!D9="","",'Source Data'!D9)</f>
        <v>Washington, DC</v>
      </c>
      <c r="E10" s="9"/>
      <c r="F10" s="9"/>
      <c r="G10" s="9"/>
      <c r="H10" s="9"/>
      <c r="I10" s="9"/>
      <c r="J10" s="1"/>
    </row>
    <row r="11" customFormat="false" ht="14" hidden="false" customHeight="true" outlineLevel="0" collapsed="false">
      <c r="A11" s="1"/>
      <c r="B11" s="1"/>
      <c r="C11" s="2" t="s">
        <v>7</v>
      </c>
      <c r="D11" s="10" t="n">
        <f aca="false">IF('Source Data'!D10="","",'Source Data'!D10)</f>
        <v>46276</v>
      </c>
      <c r="E11" s="10"/>
      <c r="F11" s="10"/>
      <c r="G11" s="10"/>
      <c r="H11" s="10"/>
      <c r="I11" s="10"/>
      <c r="J11" s="1"/>
    </row>
    <row r="12" customFormat="false" ht="14" hidden="false" customHeight="true" outlineLevel="0" collapsed="false">
      <c r="A12" s="1"/>
      <c r="B12" s="1"/>
      <c r="C12" s="2"/>
      <c r="D12" s="3"/>
      <c r="E12" s="3"/>
      <c r="F12" s="3"/>
      <c r="G12" s="3"/>
      <c r="H12" s="3"/>
      <c r="I12" s="3"/>
      <c r="J12" s="1"/>
    </row>
    <row r="13" customFormat="false" ht="28" hidden="false" customHeight="true" outlineLevel="0" collapsed="false">
      <c r="A13" s="1"/>
      <c r="B13" s="1"/>
      <c r="C13" s="11" t="s">
        <v>8</v>
      </c>
      <c r="D13" s="11"/>
      <c r="E13" s="11"/>
      <c r="F13" s="11"/>
      <c r="G13" s="11"/>
      <c r="H13" s="11"/>
      <c r="I13" s="11"/>
      <c r="J13" s="1"/>
    </row>
    <row r="14" customFormat="false" ht="14" hidden="false" customHeight="true" outlineLevel="0" collapsed="false">
      <c r="A14" s="1"/>
      <c r="B14" s="1"/>
      <c r="C14" s="2"/>
      <c r="D14" s="3"/>
      <c r="E14" s="3"/>
      <c r="F14" s="3"/>
      <c r="G14" s="3"/>
      <c r="H14" s="3"/>
      <c r="I14" s="3"/>
      <c r="J14" s="1"/>
    </row>
    <row r="15" customFormat="false" ht="14" hidden="false" customHeight="true" outlineLevel="0" collapsed="false">
      <c r="A15" s="1"/>
      <c r="B15" s="1"/>
      <c r="C15" s="2"/>
      <c r="D15" s="3"/>
      <c r="E15" s="3"/>
      <c r="F15" s="3"/>
      <c r="G15" s="3"/>
      <c r="H15" s="3"/>
      <c r="I15" s="3"/>
      <c r="J15" s="1"/>
    </row>
    <row r="16" customFormat="false" ht="26" hidden="false" customHeight="true" outlineLevel="0" collapsed="false">
      <c r="A16" s="1"/>
      <c r="B16" s="1"/>
      <c r="C16" s="12" t="s">
        <v>9</v>
      </c>
      <c r="D16" s="12" t="s">
        <v>10</v>
      </c>
      <c r="E16" s="12" t="s">
        <v>11</v>
      </c>
      <c r="F16" s="12" t="s">
        <v>12</v>
      </c>
      <c r="G16" s="12" t="s">
        <v>13</v>
      </c>
      <c r="H16" s="12" t="s">
        <v>14</v>
      </c>
      <c r="I16" s="12" t="s">
        <v>15</v>
      </c>
      <c r="J16" s="1"/>
    </row>
    <row r="17" customFormat="false" ht="14" hidden="false" customHeight="true" outlineLevel="0" collapsed="false">
      <c r="A17" s="1"/>
      <c r="B17" s="1"/>
      <c r="C17" s="2" t="s">
        <v>16</v>
      </c>
      <c r="D17" s="13" t="n">
        <f aca="false">IF(Pricing!E16="","",Pricing!E16)</f>
        <v>16640</v>
      </c>
      <c r="E17" s="13" t="n">
        <f aca="false">IF(COUNT('Source Data'!E21:E26)&lt;6,"",SUM('Source Data'!E21:E26))</f>
        <v>8</v>
      </c>
      <c r="F17" s="14" t="n">
        <f aca="false">IF(COUNT(Staffing!D13,Staffing!D25,Staffing!D37,Staffing!D49,Staffing!D61,Staffing!D73)&lt;6,"",SUM(Staffing!D13,Staffing!D25,Staffing!D37,Staffing!D49,Staffing!D61,Staffing!D73))</f>
        <v>9.04347826086957</v>
      </c>
      <c r="G17" s="15" t="n">
        <f aca="false">IF(Pricing!G16="","",Pricing!G16)</f>
        <v>1771701.78</v>
      </c>
      <c r="H17" s="15" t="n">
        <f aca="false">IF(Pricing!H16="","",Pricing!H16)</f>
        <v>1610637.93</v>
      </c>
      <c r="I17" s="15" t="n">
        <f aca="false">IF(Pricing!I16="","",Pricing!I16)</f>
        <v>161063.85</v>
      </c>
      <c r="J17" s="1"/>
    </row>
    <row r="18" customFormat="false" ht="14" hidden="false" customHeight="true" outlineLevel="0" collapsed="false">
      <c r="A18" s="1"/>
      <c r="B18" s="1"/>
      <c r="C18" s="16" t="s">
        <v>17</v>
      </c>
      <c r="D18" s="17" t="n">
        <f aca="false">IF(Pricing!E27="","",Pricing!E27)</f>
        <v>16640</v>
      </c>
      <c r="E18" s="17" t="n">
        <f aca="false">IF(COUNT('Source Data'!E21:E26)&lt;6,"",SUM('Source Data'!E21:E26))</f>
        <v>8</v>
      </c>
      <c r="F18" s="18" t="n">
        <f aca="false">IF(COUNT(Staffing!E13,Staffing!E25,Staffing!E37,Staffing!E49,Staffing!E61,Staffing!E73)&lt;6,"",SUM(Staffing!E13,Staffing!E25,Staffing!E37,Staffing!E49,Staffing!E61,Staffing!E73))</f>
        <v>9.04347826086957</v>
      </c>
      <c r="G18" s="19" t="n">
        <f aca="false">IF(Pricing!G27="","",Pricing!G27)</f>
        <v>1824852.64</v>
      </c>
      <c r="H18" s="19" t="n">
        <f aca="false">IF(Pricing!H27="","",Pricing!H27)</f>
        <v>1658957.06</v>
      </c>
      <c r="I18" s="19" t="n">
        <f aca="false">IF(Pricing!I27="","",Pricing!I27)</f>
        <v>165895.58</v>
      </c>
      <c r="J18" s="1"/>
    </row>
    <row r="19" customFormat="false" ht="14" hidden="false" customHeight="true" outlineLevel="0" collapsed="false">
      <c r="A19" s="1"/>
      <c r="B19" s="1"/>
      <c r="C19" s="2" t="s">
        <v>18</v>
      </c>
      <c r="D19" s="13" t="n">
        <f aca="false">IF(Pricing!E38="","",Pricing!E38)</f>
        <v>16640</v>
      </c>
      <c r="E19" s="13" t="n">
        <f aca="false">IF(COUNT('Source Data'!E21:E26)&lt;6,"",SUM('Source Data'!E21:E26))</f>
        <v>8</v>
      </c>
      <c r="F19" s="14" t="n">
        <f aca="false">IF(COUNT(Staffing!F13,Staffing!F25,Staffing!F37,Staffing!F49,Staffing!F61,Staffing!F73)&lt;6,"",SUM(Staffing!F13,Staffing!F25,Staffing!F37,Staffing!F49,Staffing!F61,Staffing!F73))</f>
        <v>9.04347826086957</v>
      </c>
      <c r="G19" s="15" t="n">
        <f aca="false">IF(Pricing!G38="","",Pricing!G38)</f>
        <v>1879598.45</v>
      </c>
      <c r="H19" s="15" t="n">
        <f aca="false">IF(Pricing!H38="","",Pricing!H38)</f>
        <v>1708725.78</v>
      </c>
      <c r="I19" s="15" t="n">
        <f aca="false">IF(Pricing!I38="","",Pricing!I38)</f>
        <v>170872.67</v>
      </c>
      <c r="J19" s="1"/>
    </row>
    <row r="20" customFormat="false" ht="14" hidden="false" customHeight="true" outlineLevel="0" collapsed="false">
      <c r="A20" s="1"/>
      <c r="B20" s="1"/>
      <c r="C20" s="16" t="s">
        <v>19</v>
      </c>
      <c r="D20" s="17" t="n">
        <f aca="false">IF(Pricing!E49="","",Pricing!E49)</f>
        <v>16640</v>
      </c>
      <c r="E20" s="17" t="n">
        <f aca="false">IF(COUNT('Source Data'!E21:E26)&lt;6,"",SUM('Source Data'!E21:E26))</f>
        <v>8</v>
      </c>
      <c r="F20" s="18" t="n">
        <f aca="false">IF(COUNT(Staffing!G13,Staffing!G25,Staffing!G37,Staffing!G49,Staffing!G61,Staffing!G73)&lt;6,"",SUM(Staffing!G13,Staffing!G25,Staffing!G37,Staffing!G49,Staffing!G61,Staffing!G73))</f>
        <v>9.04347826086957</v>
      </c>
      <c r="G20" s="19" t="n">
        <f aca="false">IF(Pricing!G49="","",Pricing!G49)</f>
        <v>1935986.42</v>
      </c>
      <c r="H20" s="19" t="n">
        <f aca="false">IF(Pricing!H49="","",Pricing!H49)</f>
        <v>1759987.54</v>
      </c>
      <c r="I20" s="19" t="n">
        <f aca="false">IF(Pricing!I49="","",Pricing!I49)</f>
        <v>175998.88</v>
      </c>
      <c r="J20" s="1"/>
    </row>
    <row r="21" customFormat="false" ht="14" hidden="false" customHeight="true" outlineLevel="0" collapsed="false">
      <c r="A21" s="1"/>
      <c r="B21" s="1"/>
      <c r="C21" s="2" t="s">
        <v>20</v>
      </c>
      <c r="D21" s="13" t="n">
        <f aca="false">IF(Pricing!E60="","",Pricing!E60)</f>
        <v>16640</v>
      </c>
      <c r="E21" s="13" t="n">
        <f aca="false">IF(COUNT('Source Data'!E21:E26)&lt;6,"",SUM('Source Data'!E21:E26))</f>
        <v>8</v>
      </c>
      <c r="F21" s="14" t="n">
        <f aca="false">IF(COUNT(Staffing!H13,Staffing!H25,Staffing!H37,Staffing!H49,Staffing!H61,Staffing!H73)&lt;6,"",SUM(Staffing!H13,Staffing!H25,Staffing!H37,Staffing!H49,Staffing!H61,Staffing!H73))</f>
        <v>9.04347826086957</v>
      </c>
      <c r="G21" s="15" t="n">
        <f aca="false">IF(Pricing!G60="","",Pricing!G60)</f>
        <v>1994065.84</v>
      </c>
      <c r="H21" s="15" t="n">
        <f aca="false">IF(Pricing!H60="","",Pricing!H60)</f>
        <v>1812787.17</v>
      </c>
      <c r="I21" s="15" t="n">
        <f aca="false">IF(Pricing!I60="","",Pricing!I60)</f>
        <v>181278.67</v>
      </c>
      <c r="J21" s="1"/>
    </row>
    <row r="22" customFormat="false" ht="14" hidden="false" customHeight="true" outlineLevel="0" collapsed="false">
      <c r="A22" s="1"/>
      <c r="B22" s="1"/>
      <c r="C22" s="16" t="s">
        <v>21</v>
      </c>
      <c r="D22" s="17" t="n">
        <f aca="false">IF(Pricing!E71="","",Pricing!E71)</f>
        <v>8320</v>
      </c>
      <c r="E22" s="17" t="n">
        <f aca="false">IF(COUNT('Source Data'!E21:E26)&lt;6,"",SUM('Source Data'!E21:E26))</f>
        <v>8</v>
      </c>
      <c r="F22" s="18" t="n">
        <f aca="false">IF(COUNT(Staffing!I13,Staffing!I25,Staffing!I37,Staffing!I49,Staffing!I61,Staffing!I73)&lt;6,"",SUM(Staffing!I13,Staffing!I25,Staffing!I37,Staffing!I49,Staffing!I61,Staffing!I73))</f>
        <v>9.04347826086957</v>
      </c>
      <c r="G22" s="19" t="n">
        <f aca="false">IF(Pricing!G71="","",Pricing!G71)</f>
        <v>997032.92</v>
      </c>
      <c r="H22" s="19" t="n">
        <f aca="false">IF(Pricing!H71="","",Pricing!H71)</f>
        <v>906393.59</v>
      </c>
      <c r="I22" s="19" t="n">
        <f aca="false">IF(Pricing!I71="","",Pricing!I71)</f>
        <v>90639.33</v>
      </c>
      <c r="J22" s="1"/>
    </row>
    <row r="23" customFormat="false" ht="14" hidden="false" customHeight="true" outlineLevel="0" collapsed="false">
      <c r="A23" s="1"/>
      <c r="B23" s="1"/>
      <c r="C23" s="2"/>
      <c r="D23" s="13"/>
      <c r="E23" s="13"/>
      <c r="F23" s="3"/>
      <c r="G23" s="15"/>
      <c r="H23" s="15"/>
      <c r="I23" s="15"/>
      <c r="J23" s="1"/>
    </row>
    <row r="24" customFormat="false" ht="14" hidden="false" customHeight="true" outlineLevel="0" collapsed="false">
      <c r="A24" s="1"/>
      <c r="B24" s="1"/>
      <c r="C24" s="20" t="s">
        <v>22</v>
      </c>
      <c r="D24" s="21" t="n">
        <f aca="false">IF(COUNT(D17:D21)&lt;5,"",SUM(D17:D21))</f>
        <v>83200</v>
      </c>
      <c r="E24" s="21"/>
      <c r="F24" s="22"/>
      <c r="G24" s="23" t="n">
        <f aca="false">IF(COUNT(G17:G21)&lt;5,"",SUM(G17:G21))</f>
        <v>9406205.13</v>
      </c>
      <c r="H24" s="23" t="n">
        <f aca="false">IF(COUNT(H17:H21)&lt;5,"n.a.",SUM(H17:H21))</f>
        <v>8551095.48</v>
      </c>
      <c r="I24" s="23" t="n">
        <f aca="false">IF(COUNT(I17:I21)&lt;5,"n.a.",SUM(I17:I21))</f>
        <v>855109.65</v>
      </c>
      <c r="J24" s="1"/>
    </row>
    <row r="25" customFormat="false" ht="14" hidden="false" customHeight="true" outlineLevel="0" collapsed="false">
      <c r="A25" s="1"/>
      <c r="B25" s="1"/>
      <c r="C25" s="24" t="s">
        <v>23</v>
      </c>
      <c r="D25" s="25" t="n">
        <f aca="false">IF(D22="","",D22)</f>
        <v>8320</v>
      </c>
      <c r="E25" s="25"/>
      <c r="F25" s="26"/>
      <c r="G25" s="27" t="n">
        <f aca="false">IF(G22="","",G22)</f>
        <v>997032.92</v>
      </c>
      <c r="H25" s="27" t="n">
        <f aca="false">IF(H22="","",H22)</f>
        <v>906393.59</v>
      </c>
      <c r="I25" s="27" t="n">
        <f aca="false">IF(I22="","",I22)</f>
        <v>90639.33</v>
      </c>
      <c r="J25" s="1"/>
    </row>
    <row r="26" customFormat="false" ht="14" hidden="false" customHeight="true" outlineLevel="0" collapsed="false">
      <c r="A26" s="1"/>
      <c r="B26" s="1"/>
      <c r="C26" s="2"/>
      <c r="D26" s="3"/>
      <c r="E26" s="3"/>
      <c r="F26" s="3"/>
      <c r="G26" s="3"/>
      <c r="H26" s="3"/>
      <c r="I26" s="3"/>
      <c r="J26" s="1"/>
    </row>
    <row r="27" customFormat="false" ht="14" hidden="false" customHeight="true" outlineLevel="0" collapsed="false">
      <c r="A27" s="1"/>
      <c r="B27" s="1"/>
      <c r="C27" s="2"/>
      <c r="D27" s="3"/>
      <c r="E27" s="3"/>
      <c r="F27" s="3"/>
      <c r="G27" s="3"/>
      <c r="H27" s="3"/>
      <c r="I27" s="3"/>
      <c r="J27" s="1"/>
    </row>
    <row r="28" customFormat="false" ht="26" hidden="false" customHeight="true" outlineLevel="0" collapsed="false">
      <c r="A28" s="1"/>
      <c r="B28" s="1"/>
      <c r="C28" s="2" t="s">
        <v>24</v>
      </c>
      <c r="D28" s="28" t="str">
        <f aca="false">IF(OR('Source Data'!D6="",'Source Data'!D7="",'Source Data'!D8="",'Source Data'!D9="",NOT(ISNUMBER('Source Data'!D10))),"Complete the project inputs",IF(COUNT(Assumptions!D19:I19)&lt;6,"Check period dates in Source Data",IF(SUM(IF('Labor Rates'!D27="Staffing shortfall",1,0),IF('Labor Rates'!E27="Staffing shortfall",1,0),IF('Labor Rates'!F27="Staffing shortfall",1,0),IF('Labor Rates'!G27="Staffing shortfall",1,0),IF('Labor Rates'!H27="Staffing shortfall",1,0),IF('Labor Rates'!I27="Staffing shortfall",1,0),IF('Labor Rates'!D50="Staffing shortfall",1,0),IF('Labor Rates'!E50="Staffing shortfall",1,0),IF('Labor Rates'!F50="Staffing shortfall",1,0),IF('Labor Rates'!G50="Staffing shortfall",1,0),IF('Labor Rates'!H50="Staffing shortfall",1,0),IF('Labor Rates'!I50="Staffing shortfall",1,0),IF('Labor Rates'!D73="Staffing shortfall",1,0),IF('Labor Rates'!E73="Staffing shortfall",1,0),IF('Labor Rates'!F73="Staffing shortfall",1,0),IF('Labor Rates'!G73="Staffing shortfall",1,0),IF('Labor Rates'!H73="Staffing shortfall",1,0),IF('Labor Rates'!I73="Staffing shortfall",1,0),IF('Labor Rates'!D96="Staffing shortfall",1,0),IF('Labor Rates'!E96="Staffing shortfall",1,0),IF('Labor Rates'!F96="Staffing shortfall",1,0),IF('Labor Rates'!G96="Staffing shortfall",1,0),IF('Labor Rates'!H96="Staffing shortfall",1,0),IF('Labor Rates'!I96="Staffing shortfall",1,0),IF('Labor Rates'!D119="Staffing shortfall",1,0),IF('Labor Rates'!E119="Staffing shortfall",1,0),IF('Labor Rates'!F119="Staffing shortfall",1,0),IF('Labor Rates'!G119="Staffing shortfall",1,0),IF('Labor Rates'!H119="Staffing shortfall",1,0),IF('Labor Rates'!I119="Staffing shortfall",1,0),IF('Labor Rates'!D142="Staffing shortfall",1,0),IF('Labor Rates'!E142="Staffing shortfall",1,0),IF('Labor Rates'!F142="Staffing shortfall",1,0),IF('Labor Rates'!G142="Staffing shortfall",1,0),IF('Labor Rates'!H142="Staffing shortfall",1,0),IF('Labor Rates'!I142="Staffing shortfall",1,0))&gt;0,"Staffing shortfall — review Staffing",IF(SUM(IF(OR('Labor Rates'!D27="Complete",'Labor Rates'!D27="Zero hours"),0,1),IF(OR('Labor Rates'!E27="Complete",'Labor Rates'!E27="Zero hours"),0,1),IF(OR('Labor Rates'!F27="Complete",'Labor Rates'!F27="Zero hours"),0,1),IF(OR('Labor Rates'!G27="Complete",'Labor Rates'!G27="Zero hours"),0,1),IF(OR('Labor Rates'!H27="Complete",'Labor Rates'!H27="Zero hours"),0,1),IF(OR('Labor Rates'!I27="Complete",'Labor Rates'!I27="Zero hours"),0,1),IF(OR('Labor Rates'!D50="Complete",'Labor Rates'!D50="Zero hours"),0,1),IF(OR('Labor Rates'!E50="Complete",'Labor Rates'!E50="Zero hours"),0,1),IF(OR('Labor Rates'!F50="Complete",'Labor Rates'!F50="Zero hours"),0,1),IF(OR('Labor Rates'!G50="Complete",'Labor Rates'!G50="Zero hours"),0,1),IF(OR('Labor Rates'!H50="Complete",'Labor Rates'!H50="Zero hours"),0,1),IF(OR('Labor Rates'!I50="Complete",'Labor Rates'!I50="Zero hours"),0,1),IF(OR('Labor Rates'!D73="Complete",'Labor Rates'!D73="Zero hours"),0,1),IF(OR('Labor Rates'!E73="Complete",'Labor Rates'!E73="Zero hours"),0,1),IF(OR('Labor Rates'!F73="Complete",'Labor Rates'!F73="Zero hours"),0,1),IF(OR('Labor Rates'!G73="Complete",'Labor Rates'!G73="Zero hours"),0,1),IF(OR('Labor Rates'!H73="Complete",'Labor Rates'!H73="Zero hours"),0,1),IF(OR('Labor Rates'!I73="Complete",'Labor Rates'!I73="Zero hours"),0,1),IF(OR('Labor Rates'!D96="Complete",'Labor Rates'!D96="Zero hours"),0,1),IF(OR('Labor Rates'!E96="Complete",'Labor Rates'!E96="Zero hours"),0,1),IF(OR('Labor Rates'!F96="Complete",'Labor Rates'!F96="Zero hours"),0,1),IF(OR('Labor Rates'!G96="Complete",'Labor Rates'!G96="Zero hours"),0,1),IF(OR('Labor Rates'!H96="Complete",'Labor Rates'!H96="Zero hours"),0,1),IF(OR('Labor Rates'!I96="Complete",'Labor Rates'!I96="Zero hours"),0,1),IF(OR('Labor Rates'!D119="Complete",'Labor Rates'!D119="Zero hours"),0,1),IF(OR('Labor Rates'!E119="Complete",'Labor Rates'!E119="Zero hours"),0,1),IF(OR('Labor Rates'!F119="Complete",'Labor Rates'!F119="Zero hours"),0,1),IF(OR('Labor Rates'!G119="Complete",'Labor Rates'!G119="Zero hours"),0,1),IF(OR('Labor Rates'!H119="Complete",'Labor Rates'!H119="Zero hours"),0,1),IF(OR('Labor Rates'!I119="Complete",'Labor Rates'!I119="Zero hours"),0,1),IF(OR('Labor Rates'!D142="Complete",'Labor Rates'!D142="Zero hours"),0,1),IF(OR('Labor Rates'!E142="Complete",'Labor Rates'!E142="Zero hours"),0,1),IF(OR('Labor Rates'!F142="Complete",'Labor Rates'!F142="Zero hours"),0,1),IF(OR('Labor Rates'!G142="Complete",'Labor Rates'!G142="Zero hours"),0,1),IF(OR('Labor Rates'!H142="Complete",'Labor Rates'!H142="Zero hours"),0,1),IF(OR('Labor Rates'!I142="Complete",'Labor Rates'!I142="Zero hours"),0,1))&gt;0,"Missing or invalid inputs — review detail","Calculated"))))</f>
        <v>Calculated</v>
      </c>
      <c r="E28" s="28"/>
      <c r="F28" s="28"/>
      <c r="G28" s="28"/>
      <c r="H28" s="28"/>
      <c r="I28" s="28"/>
      <c r="J28" s="1"/>
    </row>
    <row r="29" customFormat="false" ht="14" hidden="false" customHeight="true" outlineLevel="0" collapsed="false">
      <c r="A29" s="1"/>
      <c r="B29" s="1"/>
      <c r="C29" s="2"/>
      <c r="D29" s="3"/>
      <c r="E29" s="3"/>
      <c r="F29" s="3"/>
      <c r="G29" s="3"/>
      <c r="H29" s="3"/>
      <c r="I29" s="3"/>
      <c r="J29" s="1"/>
    </row>
    <row r="30" customFormat="false" ht="26" hidden="false" customHeight="true" outlineLevel="0" collapsed="false">
      <c r="A30" s="1"/>
      <c r="B30" s="1"/>
      <c r="C30" s="29" t="s">
        <v>25</v>
      </c>
      <c r="D30" s="29"/>
      <c r="E30" s="29"/>
      <c r="F30" s="29"/>
      <c r="G30" s="29"/>
      <c r="H30" s="29"/>
      <c r="I30" s="29"/>
      <c r="J30" s="1"/>
    </row>
    <row r="31" customFormat="false" ht="14" hidden="false" customHeight="true" outlineLevel="0" collapsed="false">
      <c r="A31" s="1"/>
      <c r="B31" s="1"/>
      <c r="C31" s="2"/>
      <c r="D31" s="3"/>
      <c r="E31" s="3"/>
      <c r="F31" s="3"/>
      <c r="G31" s="3"/>
      <c r="H31" s="3"/>
      <c r="I31" s="3"/>
      <c r="J31" s="1"/>
    </row>
    <row r="32" customFormat="false" ht="26" hidden="false" customHeight="true" outlineLevel="0" collapsed="false">
      <c r="A32" s="1"/>
      <c r="B32" s="1"/>
      <c r="C32" s="30" t="s">
        <v>26</v>
      </c>
      <c r="D32" s="30"/>
      <c r="E32" s="30"/>
      <c r="F32" s="30"/>
      <c r="G32" s="30"/>
      <c r="H32" s="30"/>
      <c r="I32" s="30"/>
      <c r="J32" s="1"/>
    </row>
    <row r="33" customFormat="false" ht="14" hidden="false" customHeight="true" outlineLevel="0" collapsed="false">
      <c r="A33" s="1"/>
      <c r="B33" s="1"/>
      <c r="C33" s="2"/>
      <c r="D33" s="3"/>
      <c r="E33" s="3"/>
      <c r="F33" s="3"/>
      <c r="G33" s="3"/>
      <c r="H33" s="3"/>
      <c r="I33" s="3"/>
      <c r="J33" s="1"/>
    </row>
    <row r="34" customFormat="false" ht="26" hidden="false" customHeight="true" outlineLevel="0" collapsed="false">
      <c r="A34" s="1"/>
      <c r="B34" s="1"/>
      <c r="C34" s="30" t="s">
        <v>27</v>
      </c>
      <c r="D34" s="30"/>
      <c r="E34" s="30"/>
      <c r="F34" s="30"/>
      <c r="G34" s="30"/>
      <c r="H34" s="30"/>
      <c r="I34" s="30"/>
      <c r="J34" s="1"/>
    </row>
    <row r="35" customFormat="false" ht="18" hidden="false" customHeight="true" outlineLevel="0" collapsed="false">
      <c r="A35" s="1"/>
      <c r="B35" s="1"/>
      <c r="C35" s="2"/>
      <c r="D35" s="3"/>
      <c r="E35" s="3"/>
      <c r="F35" s="3"/>
      <c r="G35" s="3"/>
      <c r="H35" s="3"/>
      <c r="I35" s="3"/>
      <c r="J35" s="1"/>
    </row>
    <row r="36" customFormat="false" ht="18" hidden="false" customHeight="true" outlineLevel="0" collapsed="false">
      <c r="A36" s="1"/>
      <c r="B36" s="1"/>
      <c r="C36" s="2"/>
      <c r="D36" s="3"/>
      <c r="E36" s="3"/>
      <c r="F36" s="3"/>
      <c r="G36" s="3"/>
      <c r="H36" s="3"/>
      <c r="I36" s="3"/>
      <c r="J36" s="1"/>
    </row>
    <row r="37" customFormat="false" ht="18" hidden="false" customHeight="true" outlineLevel="0" collapsed="false">
      <c r="A37" s="1"/>
      <c r="B37" s="1"/>
      <c r="C37" s="2"/>
      <c r="D37" s="3"/>
      <c r="E37" s="3"/>
      <c r="F37" s="3"/>
      <c r="G37" s="3"/>
      <c r="H37" s="3"/>
      <c r="I37" s="3"/>
      <c r="J37" s="1"/>
    </row>
    <row r="38" customFormat="false" ht="18" hidden="false" customHeight="true" outlineLevel="0" collapsed="false">
      <c r="A38" s="1"/>
      <c r="B38" s="1"/>
      <c r="C38" s="2"/>
      <c r="D38" s="3"/>
      <c r="E38" s="3"/>
      <c r="F38" s="3"/>
      <c r="G38" s="3"/>
      <c r="H38" s="3"/>
      <c r="I38" s="3"/>
      <c r="J38" s="1"/>
    </row>
  </sheetData>
  <mergeCells count="11">
    <mergeCell ref="E4:I4"/>
    <mergeCell ref="D7:I7"/>
    <mergeCell ref="D8:I8"/>
    <mergeCell ref="D9:I9"/>
    <mergeCell ref="D10:I10"/>
    <mergeCell ref="D11:I11"/>
    <mergeCell ref="C13:I13"/>
    <mergeCell ref="D28:I28"/>
    <mergeCell ref="C30:I30"/>
    <mergeCell ref="C32:I32"/>
    <mergeCell ref="C34:I34"/>
  </mergeCells>
  <printOptions headings="false" gridLines="false" gridLinesSet="true" horizontalCentered="true" verticalCentered="false"/>
  <pageMargins left="0.3" right="0.3" top="0.3" bottom="0.3" header="0.511811023622047" footer="0.1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&amp;R&amp;"Calibri"&amp;11Page &amp;P of &amp;N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26687"/>
    <pageSetUpPr fitToPage="true"/>
  </sheetPr>
  <dimension ref="A1:J5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2"/>
    <col collapsed="false" customWidth="true" hidden="false" outlineLevel="0" max="3" min="3" style="0" width="38"/>
    <col collapsed="false" customWidth="true" hidden="false" outlineLevel="0" max="9" min="4" style="0" width="18"/>
    <col collapsed="false" customWidth="true" hidden="false" outlineLevel="0" max="10" min="10" style="0" width="2"/>
  </cols>
  <sheetData>
    <row r="1" customFormat="false" ht="18" hidden="false" customHeight="true" outlineLevel="0" collapsed="false">
      <c r="A1" s="1"/>
      <c r="B1" s="1"/>
      <c r="C1" s="2"/>
      <c r="D1" s="3"/>
      <c r="E1" s="3"/>
      <c r="F1" s="3"/>
      <c r="G1" s="3"/>
      <c r="H1" s="3"/>
      <c r="I1" s="3"/>
      <c r="J1" s="1"/>
    </row>
    <row r="2" customFormat="false" ht="28" hidden="false" customHeight="true" outlineLevel="0" collapsed="false">
      <c r="A2" s="1"/>
      <c r="B2" s="1"/>
      <c r="C2" s="4" t="s">
        <v>28</v>
      </c>
      <c r="D2" s="3"/>
      <c r="E2" s="3"/>
      <c r="F2" s="3"/>
      <c r="G2" s="3"/>
      <c r="H2" s="3"/>
      <c r="I2" s="3"/>
      <c r="J2" s="1"/>
    </row>
    <row r="3" customFormat="false" ht="6" hidden="false" customHeight="true" outlineLevel="0" collapsed="false">
      <c r="A3" s="1"/>
      <c r="B3" s="1"/>
      <c r="C3" s="5"/>
      <c r="D3" s="6"/>
      <c r="E3" s="6"/>
      <c r="F3" s="6"/>
      <c r="G3" s="6"/>
      <c r="H3" s="6"/>
      <c r="I3" s="6"/>
      <c r="J3" s="1"/>
    </row>
    <row r="4" customFormat="false" ht="18" hidden="false" customHeight="true" outlineLevel="0" collapsed="false">
      <c r="A4" s="1"/>
      <c r="B4" s="1"/>
      <c r="C4" s="2" t="s">
        <v>1</v>
      </c>
      <c r="D4" s="31" t="s">
        <v>16</v>
      </c>
      <c r="E4" s="3"/>
      <c r="F4" s="3"/>
      <c r="G4" s="3"/>
      <c r="H4" s="3"/>
      <c r="I4" s="3"/>
      <c r="J4" s="1"/>
    </row>
    <row r="5" customFormat="false" ht="18" hidden="false" customHeight="true" outlineLevel="0" collapsed="false">
      <c r="A5" s="1"/>
      <c r="B5" s="1"/>
      <c r="C5" s="2"/>
      <c r="D5" s="3"/>
      <c r="E5" s="3"/>
      <c r="F5" s="3"/>
      <c r="G5" s="3"/>
      <c r="H5" s="3"/>
      <c r="I5" s="3"/>
      <c r="J5" s="1"/>
    </row>
    <row r="6" customFormat="false" ht="18" hidden="false" customHeight="true" outlineLevel="0" collapsed="false">
      <c r="A6" s="1"/>
      <c r="B6" s="1"/>
      <c r="C6" s="2"/>
      <c r="D6" s="3"/>
      <c r="E6" s="3"/>
      <c r="F6" s="3"/>
      <c r="G6" s="3"/>
      <c r="H6" s="3"/>
      <c r="I6" s="3"/>
      <c r="J6" s="1"/>
    </row>
    <row r="7" customFormat="false" ht="18" hidden="false" customHeight="true" outlineLevel="0" collapsed="false">
      <c r="A7" s="1"/>
      <c r="B7" s="1"/>
      <c r="C7" s="2" t="s">
        <v>29</v>
      </c>
      <c r="D7" s="32" t="n">
        <v>2080</v>
      </c>
      <c r="E7" s="3"/>
      <c r="F7" s="3"/>
      <c r="G7" s="3"/>
      <c r="H7" s="3"/>
      <c r="I7" s="3"/>
      <c r="J7" s="1"/>
    </row>
    <row r="8" customFormat="false" ht="18" hidden="false" customHeight="true" outlineLevel="0" collapsed="false">
      <c r="A8" s="1"/>
      <c r="B8" s="1"/>
      <c r="C8" s="2" t="s">
        <v>30</v>
      </c>
      <c r="D8" s="32" t="n">
        <v>240</v>
      </c>
      <c r="E8" s="3"/>
      <c r="F8" s="3"/>
      <c r="G8" s="3"/>
      <c r="H8" s="3"/>
      <c r="I8" s="3"/>
      <c r="J8" s="1"/>
    </row>
    <row r="9" customFormat="false" ht="18" hidden="false" customHeight="true" outlineLevel="0" collapsed="false">
      <c r="A9" s="1"/>
      <c r="B9" s="1"/>
      <c r="C9" s="2" t="s">
        <v>31</v>
      </c>
      <c r="D9" s="33" t="n">
        <v>0</v>
      </c>
      <c r="E9" s="3"/>
      <c r="F9" s="3"/>
      <c r="G9" s="3"/>
      <c r="H9" s="3"/>
      <c r="I9" s="3"/>
      <c r="J9" s="1"/>
    </row>
    <row r="10" customFormat="false" ht="18" hidden="false" customHeight="true" outlineLevel="0" collapsed="false">
      <c r="A10" s="1"/>
      <c r="B10" s="1"/>
      <c r="C10" s="2" t="s">
        <v>32</v>
      </c>
      <c r="D10" s="34" t="n">
        <v>0.1</v>
      </c>
      <c r="E10" s="3"/>
      <c r="F10" s="3"/>
      <c r="G10" s="3"/>
      <c r="H10" s="3"/>
      <c r="I10" s="3"/>
      <c r="J10" s="1"/>
    </row>
    <row r="11" customFormat="false" ht="30" hidden="false" customHeight="true" outlineLevel="0" collapsed="false">
      <c r="A11" s="1"/>
      <c r="B11" s="1"/>
      <c r="C11" s="2" t="s">
        <v>33</v>
      </c>
      <c r="D11" s="35" t="s">
        <v>34</v>
      </c>
      <c r="E11" s="3"/>
      <c r="F11" s="3"/>
      <c r="G11" s="3"/>
      <c r="H11" s="3"/>
      <c r="I11" s="3"/>
      <c r="J11" s="1"/>
    </row>
    <row r="12" customFormat="false" ht="35" hidden="false" customHeight="true" outlineLevel="0" collapsed="false">
      <c r="A12" s="1"/>
      <c r="B12" s="1"/>
      <c r="C12" s="30" t="s">
        <v>35</v>
      </c>
      <c r="D12" s="30"/>
      <c r="E12" s="30"/>
      <c r="F12" s="30"/>
      <c r="G12" s="30"/>
      <c r="H12" s="30"/>
      <c r="I12" s="30"/>
      <c r="J12" s="1"/>
    </row>
    <row r="13" customFormat="false" ht="18" hidden="false" customHeight="true" outlineLevel="0" collapsed="false">
      <c r="A13" s="1"/>
      <c r="B13" s="1"/>
      <c r="C13" s="2"/>
      <c r="D13" s="3"/>
      <c r="E13" s="3"/>
      <c r="F13" s="3"/>
      <c r="G13" s="3"/>
      <c r="H13" s="3"/>
      <c r="I13" s="3"/>
      <c r="J13" s="1"/>
    </row>
    <row r="14" customFormat="false" ht="18" hidden="false" customHeight="true" outlineLevel="0" collapsed="false">
      <c r="A14" s="1"/>
      <c r="B14" s="1"/>
      <c r="C14" s="2"/>
      <c r="D14" s="3"/>
      <c r="E14" s="3"/>
      <c r="F14" s="3"/>
      <c r="G14" s="3"/>
      <c r="H14" s="3"/>
      <c r="I14" s="3"/>
      <c r="J14" s="1"/>
    </row>
    <row r="15" customFormat="false" ht="18" hidden="false" customHeight="true" outlineLevel="0" collapsed="false">
      <c r="A15" s="1"/>
      <c r="B15" s="1"/>
      <c r="C15" s="2"/>
      <c r="D15" s="3"/>
      <c r="E15" s="3"/>
      <c r="F15" s="3"/>
      <c r="G15" s="3"/>
      <c r="H15" s="3"/>
      <c r="I15" s="3"/>
      <c r="J15" s="1"/>
    </row>
    <row r="16" customFormat="false" ht="18" hidden="false" customHeight="true" outlineLevel="0" collapsed="false">
      <c r="A16" s="1"/>
      <c r="B16" s="1"/>
      <c r="C16" s="2"/>
      <c r="D16" s="36" t="s">
        <v>16</v>
      </c>
      <c r="E16" s="36" t="s">
        <v>17</v>
      </c>
      <c r="F16" s="36" t="s">
        <v>18</v>
      </c>
      <c r="G16" s="36" t="s">
        <v>19</v>
      </c>
      <c r="H16" s="36" t="s">
        <v>20</v>
      </c>
      <c r="I16" s="36" t="s">
        <v>21</v>
      </c>
      <c r="J16" s="1"/>
    </row>
    <row r="17" customFormat="false" ht="18" hidden="false" customHeight="true" outlineLevel="0" collapsed="false">
      <c r="A17" s="1"/>
      <c r="B17" s="1"/>
      <c r="C17" s="2" t="s">
        <v>36</v>
      </c>
      <c r="D17" s="37" t="n">
        <f aca="false">IF('Source Data'!D15="","",'Source Data'!D15)</f>
        <v>46296</v>
      </c>
      <c r="E17" s="37" t="n">
        <f aca="false">IF('Source Data'!E15="","",'Source Data'!E15)</f>
        <v>46661</v>
      </c>
      <c r="F17" s="37" t="n">
        <f aca="false">IF('Source Data'!F15="","",'Source Data'!F15)</f>
        <v>47027</v>
      </c>
      <c r="G17" s="37" t="n">
        <f aca="false">IF('Source Data'!G15="","",'Source Data'!G15)</f>
        <v>47392</v>
      </c>
      <c r="H17" s="37" t="n">
        <f aca="false">IF('Source Data'!H15="","",'Source Data'!H15)</f>
        <v>47757</v>
      </c>
      <c r="I17" s="37" t="n">
        <f aca="false">IF('Source Data'!I15="","",'Source Data'!I15)</f>
        <v>48122</v>
      </c>
      <c r="J17" s="1"/>
    </row>
    <row r="18" customFormat="false" ht="18" hidden="false" customHeight="true" outlineLevel="0" collapsed="false">
      <c r="A18" s="1"/>
      <c r="B18" s="1"/>
      <c r="C18" s="2" t="s">
        <v>37</v>
      </c>
      <c r="D18" s="37" t="n">
        <f aca="false">IF('Source Data'!D16="","",'Source Data'!D16)</f>
        <v>46660</v>
      </c>
      <c r="E18" s="37" t="n">
        <f aca="false">IF('Source Data'!E16="","",'Source Data'!E16)</f>
        <v>47026</v>
      </c>
      <c r="F18" s="37" t="n">
        <f aca="false">IF('Source Data'!F16="","",'Source Data'!F16)</f>
        <v>47391</v>
      </c>
      <c r="G18" s="37" t="n">
        <f aca="false">IF('Source Data'!G16="","",'Source Data'!G16)</f>
        <v>47756</v>
      </c>
      <c r="H18" s="37" t="n">
        <f aca="false">IF('Source Data'!H16="","",'Source Data'!H16)</f>
        <v>48121</v>
      </c>
      <c r="I18" s="37" t="n">
        <f aca="false">IF('Source Data'!I16="","",'Source Data'!I16)</f>
        <v>48304</v>
      </c>
      <c r="J18" s="1"/>
    </row>
    <row r="19" customFormat="false" ht="18" hidden="false" customHeight="true" outlineLevel="0" collapsed="false">
      <c r="A19" s="1"/>
      <c r="B19" s="1"/>
      <c r="C19" s="2" t="s">
        <v>38</v>
      </c>
      <c r="D19" s="38" t="n">
        <f aca="false">IF(COUNT(D20:D21)&lt;2,"",SUM(D20:D21)/12)</f>
        <v>1</v>
      </c>
      <c r="E19" s="38" t="n">
        <f aca="false">IF(COUNT(E20:E21)&lt;2,"",SUM(E20:E21)/12)</f>
        <v>1</v>
      </c>
      <c r="F19" s="38" t="n">
        <f aca="false">IF(COUNT(F20:F21)&lt;2,"",SUM(F20:F21)/12)</f>
        <v>1</v>
      </c>
      <c r="G19" s="38" t="n">
        <f aca="false">IF(COUNT(G20:G21)&lt;2,"",SUM(G20:G21)/12)</f>
        <v>1</v>
      </c>
      <c r="H19" s="38" t="n">
        <f aca="false">IF(COUNT(H20:H21)&lt;2,"",SUM(H20:H21)/12)</f>
        <v>1</v>
      </c>
      <c r="I19" s="38" t="n">
        <f aca="false">IF(COUNT(I20:I21)&lt;2,"",SUM(I20:I21)/12)</f>
        <v>0.5</v>
      </c>
      <c r="J19" s="1"/>
    </row>
    <row r="20" customFormat="false" ht="18" hidden="false" customHeight="true" outlineLevel="0" collapsed="false">
      <c r="A20" s="1"/>
      <c r="B20" s="1"/>
      <c r="C20" s="2" t="s">
        <v>39</v>
      </c>
      <c r="D20" s="39" t="n">
        <f aca="false">IF(COUNT(D17:D18)&lt;2,"",IF(NOT(AND(D17&gt;0,D18&gt;=D17,D17=INT(D17),D18=INT(D18),D18&lt;2958465)),"",(12*(YEAR(D18+1)-YEAR(D17))+MONTH(D18+1)-MONTH(D17))-IF(EDATE(D17,(12*(YEAR(D18+1)-YEAR(D17))+MONTH(D18+1)-MONTH(D17)))&gt;D18+1,1,0)))</f>
        <v>12</v>
      </c>
      <c r="E20" s="39" t="n">
        <f aca="false">IF(COUNT(E17:E18,D18)&lt;3,"",IF(NOT(AND(E17&gt;0,E18&gt;=E17,E17=INT(E17),E18=INT(E18),E18&lt;2958465,ISNUMBER(D18),E17=D18+1)),"",(12*(YEAR(E18+1)-YEAR(E17))+MONTH(E18+1)-MONTH(E17))-IF(EDATE(E17,(12*(YEAR(E18+1)-YEAR(E17))+MONTH(E18+1)-MONTH(E17)))&gt;E18+1,1,0)))</f>
        <v>12</v>
      </c>
      <c r="F20" s="39" t="n">
        <f aca="false">IF(COUNT(F17:F18,E18)&lt;3,"",IF(NOT(AND(F17&gt;0,F18&gt;=F17,F17=INT(F17),F18=INT(F18),F18&lt;2958465,ISNUMBER(E18),F17=E18+1)),"",(12*(YEAR(F18+1)-YEAR(F17))+MONTH(F18+1)-MONTH(F17))-IF(EDATE(F17,(12*(YEAR(F18+1)-YEAR(F17))+MONTH(F18+1)-MONTH(F17)))&gt;F18+1,1,0)))</f>
        <v>12</v>
      </c>
      <c r="G20" s="39" t="n">
        <f aca="false">IF(COUNT(G17:G18,F18)&lt;3,"",IF(NOT(AND(G17&gt;0,G18&gt;=G17,G17=INT(G17),G18=INT(G18),G18&lt;2958465,ISNUMBER(F18),G17=F18+1)),"",(12*(YEAR(G18+1)-YEAR(G17))+MONTH(G18+1)-MONTH(G17))-IF(EDATE(G17,(12*(YEAR(G18+1)-YEAR(G17))+MONTH(G18+1)-MONTH(G17)))&gt;G18+1,1,0)))</f>
        <v>12</v>
      </c>
      <c r="H20" s="39" t="n">
        <f aca="false">IF(COUNT(H17:H18,G18)&lt;3,"",IF(NOT(AND(H17&gt;0,H18&gt;=H17,H17=INT(H17),H18=INT(H18),H18&lt;2958465,ISNUMBER(G18),H17=G18+1)),"",(12*(YEAR(H18+1)-YEAR(H17))+MONTH(H18+1)-MONTH(H17))-IF(EDATE(H17,(12*(YEAR(H18+1)-YEAR(H17))+MONTH(H18+1)-MONTH(H17)))&gt;H18+1,1,0)))</f>
        <v>12</v>
      </c>
      <c r="I20" s="39" t="n">
        <f aca="false">IF(COUNT(I17:I18,H18)&lt;3,"",IF(NOT(AND(I17&gt;0,I18&gt;=I17,I17=INT(I17),I18=INT(I18),I18&lt;2958465,ISNUMBER(H18),I17=H18+1)),"",(12*(YEAR(I18+1)-YEAR(I17))+MONTH(I18+1)-MONTH(I17))-IF(EDATE(I17,(12*(YEAR(I18+1)-YEAR(I17))+MONTH(I18+1)-MONTH(I17)))&gt;I18+1,1,0)))</f>
        <v>6</v>
      </c>
      <c r="J20" s="1"/>
    </row>
    <row r="21" customFormat="false" ht="18" hidden="false" customHeight="true" outlineLevel="0" collapsed="false">
      <c r="A21" s="1"/>
      <c r="B21" s="1"/>
      <c r="C21" s="2" t="s">
        <v>40</v>
      </c>
      <c r="D21" s="38" t="n">
        <f aca="false">IF(NOT(ISNUMBER(D20)),"",(D18+1-EDATE(D17,D20))/(EDATE(D17,D20+1)-EDATE(D17,D20)))</f>
        <v>0</v>
      </c>
      <c r="E21" s="38" t="n">
        <f aca="false">IF(NOT(ISNUMBER(E20)),"",(E18+1-EDATE(E17,E20))/(EDATE(E17,E20+1)-EDATE(E17,E20)))</f>
        <v>0</v>
      </c>
      <c r="F21" s="38" t="n">
        <f aca="false">IF(NOT(ISNUMBER(F20)),"",(F18+1-EDATE(F17,F20))/(EDATE(F17,F20+1)-EDATE(F17,F20)))</f>
        <v>0</v>
      </c>
      <c r="G21" s="38" t="n">
        <f aca="false">IF(NOT(ISNUMBER(G20)),"",(G18+1-EDATE(G17,G20))/(EDATE(G17,G20+1)-EDATE(G17,G20)))</f>
        <v>0</v>
      </c>
      <c r="H21" s="38" t="n">
        <f aca="false">IF(NOT(ISNUMBER(H20)),"",(H18+1-EDATE(H17,H20))/(EDATE(H17,H20+1)-EDATE(H17,H20)))</f>
        <v>0</v>
      </c>
      <c r="I21" s="38" t="n">
        <f aca="false">IF(NOT(ISNUMBER(I20)),"",(I18+1-EDATE(I17,I20))/(EDATE(I17,I20+1)-EDATE(I17,I20)))</f>
        <v>0</v>
      </c>
      <c r="J21" s="1"/>
    </row>
    <row r="22" customFormat="false" ht="18" hidden="false" customHeight="true" outlineLevel="0" collapsed="false">
      <c r="A22" s="1"/>
      <c r="B22" s="1"/>
      <c r="C22" s="40" t="s">
        <v>41</v>
      </c>
      <c r="D22" s="41" t="n">
        <f aca="false">IF(ISNA(MATCH($D$4,$C$23:$C$25,0)),"",IF(INDEX(D23:D25,MATCH($D$4,$C$23:$C$25,0))="","",INDEX(D23:D25,MATCH($D$4,$C$23:$C$25,0))))</f>
        <v>0.03</v>
      </c>
      <c r="E22" s="41" t="n">
        <f aca="false">IF(ISNA(MATCH($D$4,$C$23:$C$25,0)),"",IF(INDEX(E23:E25,MATCH($D$4,$C$23:$C$25,0))="","",INDEX(E23:E25,MATCH($D$4,$C$23:$C$25,0))))</f>
        <v>0.03</v>
      </c>
      <c r="F22" s="41" t="n">
        <f aca="false">IF(ISNA(MATCH($D$4,$C$23:$C$25,0)),"",IF(INDEX(F23:F25,MATCH($D$4,$C$23:$C$25,0))="","",INDEX(F23:F25,MATCH($D$4,$C$23:$C$25,0))))</f>
        <v>0.03</v>
      </c>
      <c r="G22" s="41" t="n">
        <f aca="false">IF(ISNA(MATCH($D$4,$C$23:$C$25,0)),"",IF(INDEX(G23:G25,MATCH($D$4,$C$23:$C$25,0))="","",INDEX(G23:G25,MATCH($D$4,$C$23:$C$25,0))))</f>
        <v>0.03</v>
      </c>
      <c r="H22" s="41" t="n">
        <f aca="false">IF(ISNA(MATCH($D$4,$C$23:$C$25,0)),"",IF(INDEX(H23:H25,MATCH($D$4,$C$23:$C$25,0))="","",INDEX(H23:H25,MATCH($D$4,$C$23:$C$25,0))))</f>
        <v>0.03</v>
      </c>
      <c r="I22" s="41" t="n">
        <f aca="false">IF(H22="","",H22)</f>
        <v>0.03</v>
      </c>
      <c r="J22" s="1"/>
    </row>
    <row r="23" customFormat="false" ht="18" hidden="false" customHeight="true" outlineLevel="0" collapsed="false">
      <c r="A23" s="1"/>
      <c r="B23" s="1"/>
      <c r="C23" s="2" t="s">
        <v>42</v>
      </c>
      <c r="D23" s="34" t="n">
        <v>0.02</v>
      </c>
      <c r="E23" s="34" t="n">
        <v>0.02</v>
      </c>
      <c r="F23" s="34" t="n">
        <v>0.02</v>
      </c>
      <c r="G23" s="34" t="n">
        <v>0.02</v>
      </c>
      <c r="H23" s="34" t="n">
        <v>0.02</v>
      </c>
      <c r="I23" s="42" t="n">
        <f aca="false">IF(H23="","",H23)</f>
        <v>0.02</v>
      </c>
      <c r="J23" s="1"/>
    </row>
    <row r="24" customFormat="false" ht="18" hidden="false" customHeight="true" outlineLevel="0" collapsed="false">
      <c r="A24" s="1"/>
      <c r="B24" s="1"/>
      <c r="C24" s="2" t="s">
        <v>16</v>
      </c>
      <c r="D24" s="34" t="n">
        <v>0.03</v>
      </c>
      <c r="E24" s="34" t="n">
        <v>0.03</v>
      </c>
      <c r="F24" s="34" t="n">
        <v>0.03</v>
      </c>
      <c r="G24" s="34" t="n">
        <v>0.03</v>
      </c>
      <c r="H24" s="34" t="n">
        <v>0.03</v>
      </c>
      <c r="I24" s="42" t="n">
        <f aca="false">IF(H24="","",H24)</f>
        <v>0.03</v>
      </c>
      <c r="J24" s="1"/>
    </row>
    <row r="25" customFormat="false" ht="18" hidden="false" customHeight="true" outlineLevel="0" collapsed="false">
      <c r="A25" s="1"/>
      <c r="B25" s="1"/>
      <c r="C25" s="2" t="s">
        <v>43</v>
      </c>
      <c r="D25" s="34" t="n">
        <v>0.04</v>
      </c>
      <c r="E25" s="34" t="n">
        <v>0.04</v>
      </c>
      <c r="F25" s="34" t="n">
        <v>0.04</v>
      </c>
      <c r="G25" s="34" t="n">
        <v>0.04</v>
      </c>
      <c r="H25" s="34" t="n">
        <v>0.04</v>
      </c>
      <c r="I25" s="42" t="n">
        <f aca="false">IF(H25="","",H25)</f>
        <v>0.04</v>
      </c>
      <c r="J25" s="1"/>
    </row>
    <row r="26" customFormat="false" ht="18" hidden="false" customHeight="true" outlineLevel="0" collapsed="false">
      <c r="A26" s="1"/>
      <c r="B26" s="1"/>
      <c r="C26" s="2"/>
      <c r="D26" s="3"/>
      <c r="E26" s="3"/>
      <c r="F26" s="3"/>
      <c r="G26" s="3"/>
      <c r="H26" s="3"/>
      <c r="I26" s="3"/>
      <c r="J26" s="1"/>
    </row>
    <row r="27" customFormat="false" ht="18" hidden="false" customHeight="true" outlineLevel="0" collapsed="false">
      <c r="A27" s="1"/>
      <c r="B27" s="1"/>
      <c r="C27" s="2"/>
      <c r="D27" s="3"/>
      <c r="E27" s="3"/>
      <c r="F27" s="3"/>
      <c r="G27" s="3"/>
      <c r="H27" s="3"/>
      <c r="I27" s="3"/>
      <c r="J27" s="1"/>
    </row>
    <row r="28" customFormat="false" ht="18" hidden="false" customHeight="true" outlineLevel="0" collapsed="false">
      <c r="A28" s="1"/>
      <c r="B28" s="1"/>
      <c r="C28" s="40" t="s">
        <v>44</v>
      </c>
      <c r="D28" s="41" t="n">
        <f aca="false">IF(ISNA(MATCH($D$4,$C$29:$C$31,0)),"",IF(INDEX(D29:D31,MATCH($D$4,$C$29:$C$31,0))="","",INDEX(D29:D31,MATCH($D$4,$C$29:$C$31,0))))</f>
        <v>0.25</v>
      </c>
      <c r="E28" s="41" t="n">
        <f aca="false">IF(ISNA(MATCH($D$4,$C$29:$C$31,0)),"",IF(INDEX(E29:E31,MATCH($D$4,$C$29:$C$31,0))="","",INDEX(E29:E31,MATCH($D$4,$C$29:$C$31,0))))</f>
        <v>0.25</v>
      </c>
      <c r="F28" s="41" t="n">
        <f aca="false">IF(ISNA(MATCH($D$4,$C$29:$C$31,0)),"",IF(INDEX(F29:F31,MATCH($D$4,$C$29:$C$31,0))="","",INDEX(F29:F31,MATCH($D$4,$C$29:$C$31,0))))</f>
        <v>0.25</v>
      </c>
      <c r="G28" s="41" t="n">
        <f aca="false">IF(ISNA(MATCH($D$4,$C$29:$C$31,0)),"",IF(INDEX(G29:G31,MATCH($D$4,$C$29:$C$31,0))="","",INDEX(G29:G31,MATCH($D$4,$C$29:$C$31,0))))</f>
        <v>0.25</v>
      </c>
      <c r="H28" s="41" t="n">
        <f aca="false">IF(ISNA(MATCH($D$4,$C$29:$C$31,0)),"",IF(INDEX(H29:H31,MATCH($D$4,$C$29:$C$31,0))="","",INDEX(H29:H31,MATCH($D$4,$C$29:$C$31,0))))</f>
        <v>0.25</v>
      </c>
      <c r="I28" s="41" t="n">
        <f aca="false">IF(H28="","",H28)</f>
        <v>0.25</v>
      </c>
      <c r="J28" s="1"/>
    </row>
    <row r="29" customFormat="false" ht="18" hidden="false" customHeight="true" outlineLevel="0" collapsed="false">
      <c r="A29" s="1"/>
      <c r="B29" s="1"/>
      <c r="C29" s="2" t="s">
        <v>42</v>
      </c>
      <c r="D29" s="34" t="n">
        <v>0.2</v>
      </c>
      <c r="E29" s="34" t="n">
        <v>0.2</v>
      </c>
      <c r="F29" s="34" t="n">
        <v>0.2</v>
      </c>
      <c r="G29" s="34" t="n">
        <v>0.2</v>
      </c>
      <c r="H29" s="34" t="n">
        <v>0.2</v>
      </c>
      <c r="I29" s="42" t="n">
        <f aca="false">IF(H29="","",H29)</f>
        <v>0.2</v>
      </c>
      <c r="J29" s="1"/>
    </row>
    <row r="30" customFormat="false" ht="18" hidden="false" customHeight="true" outlineLevel="0" collapsed="false">
      <c r="A30" s="1"/>
      <c r="B30" s="1"/>
      <c r="C30" s="2" t="s">
        <v>16</v>
      </c>
      <c r="D30" s="34" t="n">
        <v>0.25</v>
      </c>
      <c r="E30" s="34" t="n">
        <v>0.25</v>
      </c>
      <c r="F30" s="34" t="n">
        <v>0.25</v>
      </c>
      <c r="G30" s="34" t="n">
        <v>0.25</v>
      </c>
      <c r="H30" s="34" t="n">
        <v>0.25</v>
      </c>
      <c r="I30" s="42" t="n">
        <f aca="false">IF(H30="","",H30)</f>
        <v>0.25</v>
      </c>
      <c r="J30" s="1"/>
    </row>
    <row r="31" customFormat="false" ht="18" hidden="false" customHeight="true" outlineLevel="0" collapsed="false">
      <c r="A31" s="1"/>
      <c r="B31" s="1"/>
      <c r="C31" s="2" t="s">
        <v>43</v>
      </c>
      <c r="D31" s="34" t="n">
        <v>0.3</v>
      </c>
      <c r="E31" s="34" t="n">
        <v>0.3</v>
      </c>
      <c r="F31" s="34" t="n">
        <v>0.3</v>
      </c>
      <c r="G31" s="34" t="n">
        <v>0.3</v>
      </c>
      <c r="H31" s="34" t="n">
        <v>0.3</v>
      </c>
      <c r="I31" s="42" t="n">
        <f aca="false">IF(H31="","",H31)</f>
        <v>0.3</v>
      </c>
      <c r="J31" s="1"/>
    </row>
    <row r="32" customFormat="false" ht="18" hidden="false" customHeight="true" outlineLevel="0" collapsed="false">
      <c r="A32" s="1"/>
      <c r="B32" s="1"/>
      <c r="C32" s="2"/>
      <c r="D32" s="3"/>
      <c r="E32" s="3"/>
      <c r="F32" s="3"/>
      <c r="G32" s="3"/>
      <c r="H32" s="3"/>
      <c r="I32" s="3"/>
      <c r="J32" s="1"/>
    </row>
    <row r="33" customFormat="false" ht="18" hidden="false" customHeight="true" outlineLevel="0" collapsed="false">
      <c r="A33" s="1"/>
      <c r="B33" s="1"/>
      <c r="C33" s="2"/>
      <c r="D33" s="36" t="s">
        <v>16</v>
      </c>
      <c r="E33" s="36" t="s">
        <v>17</v>
      </c>
      <c r="F33" s="36" t="s">
        <v>18</v>
      </c>
      <c r="G33" s="36" t="s">
        <v>19</v>
      </c>
      <c r="H33" s="36" t="s">
        <v>20</v>
      </c>
      <c r="I33" s="36" t="s">
        <v>21</v>
      </c>
      <c r="J33" s="1"/>
    </row>
    <row r="34" customFormat="false" ht="18" hidden="false" customHeight="true" outlineLevel="0" collapsed="false">
      <c r="A34" s="1"/>
      <c r="B34" s="1"/>
      <c r="C34" s="40" t="s">
        <v>45</v>
      </c>
      <c r="D34" s="41" t="n">
        <f aca="false">IF(ISNA(MATCH($D$4,$C$35:$C$37,0)),"",IF(INDEX(D35:D37,MATCH($D$4,$C$35:$C$37,0))="","",INDEX(D35:D37,MATCH($D$4,$C$35:$C$37,0))))</f>
        <v>0.1</v>
      </c>
      <c r="E34" s="41" t="n">
        <f aca="false">IF(ISNA(MATCH($D$4,$C$35:$C$37,0)),"",IF(INDEX(E35:E37,MATCH($D$4,$C$35:$C$37,0))="","",INDEX(E35:E37,MATCH($D$4,$C$35:$C$37,0))))</f>
        <v>0.1</v>
      </c>
      <c r="F34" s="41" t="n">
        <f aca="false">IF(ISNA(MATCH($D$4,$C$35:$C$37,0)),"",IF(INDEX(F35:F37,MATCH($D$4,$C$35:$C$37,0))="","",INDEX(F35:F37,MATCH($D$4,$C$35:$C$37,0))))</f>
        <v>0.1</v>
      </c>
      <c r="G34" s="41" t="n">
        <f aca="false">IF(ISNA(MATCH($D$4,$C$35:$C$37,0)),"",IF(INDEX(G35:G37,MATCH($D$4,$C$35:$C$37,0))="","",INDEX(G35:G37,MATCH($D$4,$C$35:$C$37,0))))</f>
        <v>0.1</v>
      </c>
      <c r="H34" s="41" t="n">
        <f aca="false">IF(ISNA(MATCH($D$4,$C$35:$C$37,0)),"",IF(INDEX(H35:H37,MATCH($D$4,$C$35:$C$37,0))="","",INDEX(H35:H37,MATCH($D$4,$C$35:$C$37,0))))</f>
        <v>0.1</v>
      </c>
      <c r="I34" s="41" t="n">
        <f aca="false">IF(H34="","",H34)</f>
        <v>0.1</v>
      </c>
      <c r="J34" s="1"/>
    </row>
    <row r="35" customFormat="false" ht="18" hidden="false" customHeight="true" outlineLevel="0" collapsed="false">
      <c r="A35" s="1"/>
      <c r="B35" s="1"/>
      <c r="C35" s="2" t="s">
        <v>42</v>
      </c>
      <c r="D35" s="34" t="n">
        <v>0.08</v>
      </c>
      <c r="E35" s="34" t="n">
        <v>0.08</v>
      </c>
      <c r="F35" s="34" t="n">
        <v>0.08</v>
      </c>
      <c r="G35" s="34" t="n">
        <v>0.08</v>
      </c>
      <c r="H35" s="34" t="n">
        <v>0.08</v>
      </c>
      <c r="I35" s="42" t="n">
        <f aca="false">IF(H35="","",H35)</f>
        <v>0.08</v>
      </c>
      <c r="J35" s="1"/>
    </row>
    <row r="36" customFormat="false" ht="18" hidden="false" customHeight="true" outlineLevel="0" collapsed="false">
      <c r="A36" s="1"/>
      <c r="B36" s="1"/>
      <c r="C36" s="2" t="s">
        <v>16</v>
      </c>
      <c r="D36" s="34" t="n">
        <v>0.1</v>
      </c>
      <c r="E36" s="34" t="n">
        <v>0.1</v>
      </c>
      <c r="F36" s="34" t="n">
        <v>0.1</v>
      </c>
      <c r="G36" s="34" t="n">
        <v>0.1</v>
      </c>
      <c r="H36" s="34" t="n">
        <v>0.1</v>
      </c>
      <c r="I36" s="42" t="n">
        <f aca="false">IF(H36="","",H36)</f>
        <v>0.1</v>
      </c>
      <c r="J36" s="1"/>
    </row>
    <row r="37" customFormat="false" ht="18" hidden="false" customHeight="true" outlineLevel="0" collapsed="false">
      <c r="A37" s="1"/>
      <c r="B37" s="1"/>
      <c r="C37" s="2" t="s">
        <v>43</v>
      </c>
      <c r="D37" s="34" t="n">
        <v>0.12</v>
      </c>
      <c r="E37" s="34" t="n">
        <v>0.12</v>
      </c>
      <c r="F37" s="34" t="n">
        <v>0.12</v>
      </c>
      <c r="G37" s="34" t="n">
        <v>0.12</v>
      </c>
      <c r="H37" s="34" t="n">
        <v>0.12</v>
      </c>
      <c r="I37" s="42" t="n">
        <f aca="false">IF(H37="","",H37)</f>
        <v>0.12</v>
      </c>
      <c r="J37" s="1"/>
    </row>
    <row r="38" customFormat="false" ht="18" hidden="false" customHeight="true" outlineLevel="0" collapsed="false">
      <c r="A38" s="1"/>
      <c r="B38" s="1"/>
      <c r="C38" s="2"/>
      <c r="D38" s="3"/>
      <c r="E38" s="3"/>
      <c r="F38" s="3"/>
      <c r="G38" s="3"/>
      <c r="H38" s="3"/>
      <c r="I38" s="3"/>
      <c r="J38" s="1"/>
    </row>
    <row r="39" customFormat="false" ht="18" hidden="false" customHeight="true" outlineLevel="0" collapsed="false">
      <c r="A39" s="1"/>
      <c r="B39" s="1"/>
      <c r="C39" s="2"/>
      <c r="D39" s="3"/>
      <c r="E39" s="3"/>
      <c r="F39" s="3"/>
      <c r="G39" s="3"/>
      <c r="H39" s="3"/>
      <c r="I39" s="3"/>
      <c r="J39" s="1"/>
    </row>
    <row r="40" customFormat="false" ht="18" hidden="false" customHeight="true" outlineLevel="0" collapsed="false">
      <c r="A40" s="1"/>
      <c r="B40" s="1"/>
      <c r="C40" s="40" t="s">
        <v>46</v>
      </c>
      <c r="D40" s="41" t="n">
        <f aca="false">IF(ISNA(MATCH($D$4,$C$41:$C$43,0)),"",IF(INDEX(D41:D43,MATCH($D$4,$C$41:$C$43,0))="","",INDEX(D41:D43,MATCH($D$4,$C$41:$C$43,0))))</f>
        <v>0.1</v>
      </c>
      <c r="E40" s="41" t="n">
        <f aca="false">IF(ISNA(MATCH($D$4,$C$41:$C$43,0)),"",IF(INDEX(E41:E43,MATCH($D$4,$C$41:$C$43,0))="","",INDEX(E41:E43,MATCH($D$4,$C$41:$C$43,0))))</f>
        <v>0.1</v>
      </c>
      <c r="F40" s="41" t="n">
        <f aca="false">IF(ISNA(MATCH($D$4,$C$41:$C$43,0)),"",IF(INDEX(F41:F43,MATCH($D$4,$C$41:$C$43,0))="","",INDEX(F41:F43,MATCH($D$4,$C$41:$C$43,0))))</f>
        <v>0.1</v>
      </c>
      <c r="G40" s="41" t="n">
        <f aca="false">IF(ISNA(MATCH($D$4,$C$41:$C$43,0)),"",IF(INDEX(G41:G43,MATCH($D$4,$C$41:$C$43,0))="","",INDEX(G41:G43,MATCH($D$4,$C$41:$C$43,0))))</f>
        <v>0.1</v>
      </c>
      <c r="H40" s="41" t="n">
        <f aca="false">IF(ISNA(MATCH($D$4,$C$41:$C$43,0)),"",IF(INDEX(H41:H43,MATCH($D$4,$C$41:$C$43,0))="","",INDEX(H41:H43,MATCH($D$4,$C$41:$C$43,0))))</f>
        <v>0.1</v>
      </c>
      <c r="I40" s="41" t="n">
        <f aca="false">IF(H40="","",H40)</f>
        <v>0.1</v>
      </c>
      <c r="J40" s="1"/>
    </row>
    <row r="41" customFormat="false" ht="18" hidden="false" customHeight="true" outlineLevel="0" collapsed="false">
      <c r="A41" s="1"/>
      <c r="B41" s="1"/>
      <c r="C41" s="2" t="s">
        <v>42</v>
      </c>
      <c r="D41" s="34" t="n">
        <v>0.08</v>
      </c>
      <c r="E41" s="34" t="n">
        <v>0.08</v>
      </c>
      <c r="F41" s="34" t="n">
        <v>0.08</v>
      </c>
      <c r="G41" s="34" t="n">
        <v>0.08</v>
      </c>
      <c r="H41" s="34" t="n">
        <v>0.08</v>
      </c>
      <c r="I41" s="42" t="n">
        <f aca="false">IF(H41="","",H41)</f>
        <v>0.08</v>
      </c>
      <c r="J41" s="1"/>
    </row>
    <row r="42" customFormat="false" ht="18" hidden="false" customHeight="true" outlineLevel="0" collapsed="false">
      <c r="A42" s="1"/>
      <c r="B42" s="1"/>
      <c r="C42" s="2" t="s">
        <v>16</v>
      </c>
      <c r="D42" s="34" t="n">
        <v>0.1</v>
      </c>
      <c r="E42" s="34" t="n">
        <v>0.1</v>
      </c>
      <c r="F42" s="34" t="n">
        <v>0.1</v>
      </c>
      <c r="G42" s="34" t="n">
        <v>0.1</v>
      </c>
      <c r="H42" s="34" t="n">
        <v>0.1</v>
      </c>
      <c r="I42" s="42" t="n">
        <f aca="false">IF(H42="","",H42)</f>
        <v>0.1</v>
      </c>
      <c r="J42" s="1"/>
    </row>
    <row r="43" customFormat="false" ht="18" hidden="false" customHeight="true" outlineLevel="0" collapsed="false">
      <c r="A43" s="1"/>
      <c r="B43" s="1"/>
      <c r="C43" s="2" t="s">
        <v>43</v>
      </c>
      <c r="D43" s="34" t="n">
        <v>0.12</v>
      </c>
      <c r="E43" s="34" t="n">
        <v>0.12</v>
      </c>
      <c r="F43" s="34" t="n">
        <v>0.12</v>
      </c>
      <c r="G43" s="34" t="n">
        <v>0.12</v>
      </c>
      <c r="H43" s="34" t="n">
        <v>0.12</v>
      </c>
      <c r="I43" s="42" t="n">
        <f aca="false">IF(H43="","",H43)</f>
        <v>0.12</v>
      </c>
      <c r="J43" s="1"/>
    </row>
    <row r="44" customFormat="false" ht="18" hidden="false" customHeight="true" outlineLevel="0" collapsed="false">
      <c r="A44" s="1"/>
      <c r="B44" s="1"/>
      <c r="C44" s="2"/>
      <c r="D44" s="3"/>
      <c r="E44" s="3"/>
      <c r="F44" s="3"/>
      <c r="G44" s="3"/>
      <c r="H44" s="3"/>
      <c r="I44" s="3"/>
      <c r="J44" s="1"/>
    </row>
    <row r="45" customFormat="false" ht="18" hidden="false" customHeight="true" outlineLevel="0" collapsed="false">
      <c r="A45" s="1"/>
      <c r="B45" s="1"/>
      <c r="C45" s="2"/>
      <c r="D45" s="3"/>
      <c r="E45" s="3"/>
      <c r="F45" s="3"/>
      <c r="G45" s="3"/>
      <c r="H45" s="3"/>
      <c r="I45" s="3"/>
      <c r="J45" s="1"/>
    </row>
    <row r="46" customFormat="false" ht="18" hidden="false" customHeight="true" outlineLevel="0" collapsed="false">
      <c r="A46" s="1"/>
      <c r="B46" s="1"/>
      <c r="C46" s="40" t="s">
        <v>47</v>
      </c>
      <c r="D46" s="41" t="n">
        <f aca="false">IF(ISNA(MATCH($D$4,$C$47:$C$49,0)),"",IF(INDEX(D47:D49,MATCH($D$4,$C$47:$C$49,0))="","",INDEX(D47:D49,MATCH($D$4,$C$47:$C$49,0))))</f>
        <v>0</v>
      </c>
      <c r="E46" s="41" t="n">
        <f aca="false">IF(ISNA(MATCH($D$4,$C$47:$C$49,0)),"",IF(INDEX(E47:E49,MATCH($D$4,$C$47:$C$49,0))="","",INDEX(E47:E49,MATCH($D$4,$C$47:$C$49,0))))</f>
        <v>0</v>
      </c>
      <c r="F46" s="41" t="n">
        <f aca="false">IF(ISNA(MATCH($D$4,$C$47:$C$49,0)),"",IF(INDEX(F47:F49,MATCH($D$4,$C$47:$C$49,0))="","",INDEX(F47:F49,MATCH($D$4,$C$47:$C$49,0))))</f>
        <v>0</v>
      </c>
      <c r="G46" s="41" t="n">
        <f aca="false">IF(ISNA(MATCH($D$4,$C$47:$C$49,0)),"",IF(INDEX(G47:G49,MATCH($D$4,$C$47:$C$49,0))="","",INDEX(G47:G49,MATCH($D$4,$C$47:$C$49,0))))</f>
        <v>0</v>
      </c>
      <c r="H46" s="41" t="n">
        <f aca="false">IF(ISNA(MATCH($D$4,$C$47:$C$49,0)),"",IF(INDEX(H47:H49,MATCH($D$4,$C$47:$C$49,0))="","",INDEX(H47:H49,MATCH($D$4,$C$47:$C$49,0))))</f>
        <v>0</v>
      </c>
      <c r="I46" s="41" t="n">
        <f aca="false">IF(H46="","",H46)</f>
        <v>0</v>
      </c>
      <c r="J46" s="1"/>
    </row>
    <row r="47" customFormat="false" ht="18" hidden="false" customHeight="true" outlineLevel="0" collapsed="false">
      <c r="A47" s="1"/>
      <c r="B47" s="1"/>
      <c r="C47" s="2" t="s">
        <v>42</v>
      </c>
      <c r="D47" s="34" t="n">
        <v>0</v>
      </c>
      <c r="E47" s="34" t="n">
        <v>0</v>
      </c>
      <c r="F47" s="34" t="n">
        <v>0</v>
      </c>
      <c r="G47" s="34" t="n">
        <v>0</v>
      </c>
      <c r="H47" s="34" t="n">
        <v>0</v>
      </c>
      <c r="I47" s="42" t="n">
        <f aca="false">IF(H47="","",H47)</f>
        <v>0</v>
      </c>
      <c r="J47" s="1"/>
    </row>
    <row r="48" customFormat="false" ht="18" hidden="false" customHeight="true" outlineLevel="0" collapsed="false">
      <c r="A48" s="1"/>
      <c r="B48" s="1"/>
      <c r="C48" s="2" t="s">
        <v>16</v>
      </c>
      <c r="D48" s="34" t="n">
        <v>0</v>
      </c>
      <c r="E48" s="34" t="n">
        <v>0</v>
      </c>
      <c r="F48" s="34" t="n">
        <v>0</v>
      </c>
      <c r="G48" s="34" t="n">
        <v>0</v>
      </c>
      <c r="H48" s="34" t="n">
        <v>0</v>
      </c>
      <c r="I48" s="42" t="n">
        <f aca="false">IF(H48="","",H48)</f>
        <v>0</v>
      </c>
      <c r="J48" s="1"/>
    </row>
    <row r="49" customFormat="false" ht="18" hidden="false" customHeight="true" outlineLevel="0" collapsed="false">
      <c r="A49" s="1"/>
      <c r="B49" s="1"/>
      <c r="C49" s="2" t="s">
        <v>43</v>
      </c>
      <c r="D49" s="34" t="n">
        <v>0</v>
      </c>
      <c r="E49" s="34" t="n">
        <v>0</v>
      </c>
      <c r="F49" s="34" t="n">
        <v>0</v>
      </c>
      <c r="G49" s="34" t="n">
        <v>0</v>
      </c>
      <c r="H49" s="34" t="n">
        <v>0</v>
      </c>
      <c r="I49" s="42" t="n">
        <f aca="false">IF(H49="","",H49)</f>
        <v>0</v>
      </c>
      <c r="J49" s="1"/>
    </row>
    <row r="50" customFormat="false" ht="18" hidden="false" customHeight="true" outlineLevel="0" collapsed="false">
      <c r="A50" s="1"/>
      <c r="B50" s="1"/>
      <c r="C50" s="2"/>
      <c r="D50" s="3"/>
      <c r="E50" s="3"/>
      <c r="F50" s="3"/>
      <c r="G50" s="3"/>
      <c r="H50" s="3"/>
      <c r="I50" s="3"/>
      <c r="J50" s="1"/>
    </row>
    <row r="51" customFormat="false" ht="18" hidden="false" customHeight="true" outlineLevel="0" collapsed="false">
      <c r="A51" s="1"/>
      <c r="B51" s="1"/>
      <c r="C51" s="2"/>
      <c r="D51" s="3"/>
      <c r="E51" s="3"/>
      <c r="F51" s="3"/>
      <c r="G51" s="3"/>
      <c r="H51" s="3"/>
      <c r="I51" s="3"/>
      <c r="J51" s="1"/>
    </row>
    <row r="52" customFormat="false" ht="34" hidden="false" customHeight="true" outlineLevel="0" collapsed="false">
      <c r="A52" s="1"/>
      <c r="B52" s="1"/>
      <c r="C52" s="30" t="s">
        <v>48</v>
      </c>
      <c r="D52" s="30"/>
      <c r="E52" s="30"/>
      <c r="F52" s="30"/>
      <c r="G52" s="30"/>
      <c r="H52" s="30"/>
      <c r="I52" s="30"/>
      <c r="J52" s="1"/>
    </row>
    <row r="53" customFormat="false" ht="18" hidden="false" customHeight="true" outlineLevel="0" collapsed="false">
      <c r="A53" s="1"/>
      <c r="B53" s="1"/>
      <c r="C53" s="2"/>
      <c r="D53" s="3"/>
      <c r="E53" s="3"/>
      <c r="F53" s="3"/>
      <c r="G53" s="3"/>
      <c r="H53" s="3"/>
      <c r="I53" s="3"/>
      <c r="J53" s="1"/>
    </row>
    <row r="54" customFormat="false" ht="34" hidden="false" customHeight="true" outlineLevel="0" collapsed="false">
      <c r="A54" s="1"/>
      <c r="B54" s="1"/>
      <c r="C54" s="30" t="s">
        <v>49</v>
      </c>
      <c r="D54" s="30"/>
      <c r="E54" s="30"/>
      <c r="F54" s="30"/>
      <c r="G54" s="30"/>
      <c r="H54" s="30"/>
      <c r="I54" s="30"/>
      <c r="J54" s="1"/>
    </row>
    <row r="55" customFormat="false" ht="18" hidden="false" customHeight="true" outlineLevel="0" collapsed="false">
      <c r="A55" s="1"/>
      <c r="B55" s="1"/>
      <c r="C55" s="2"/>
      <c r="D55" s="3"/>
      <c r="E55" s="3"/>
      <c r="F55" s="3"/>
      <c r="G55" s="3"/>
      <c r="H55" s="3"/>
      <c r="I55" s="3"/>
      <c r="J55" s="1"/>
    </row>
    <row r="56" customFormat="false" ht="32" hidden="false" customHeight="true" outlineLevel="0" collapsed="false">
      <c r="A56" s="1"/>
      <c r="B56" s="1"/>
      <c r="C56" s="30" t="s">
        <v>50</v>
      </c>
      <c r="D56" s="30"/>
      <c r="E56" s="30"/>
      <c r="F56" s="30"/>
      <c r="G56" s="30"/>
      <c r="H56" s="30"/>
      <c r="I56" s="30"/>
      <c r="J56" s="1"/>
    </row>
    <row r="57" customFormat="false" ht="18" hidden="false" customHeight="true" outlineLevel="0" collapsed="false">
      <c r="A57" s="1"/>
      <c r="B57" s="1"/>
      <c r="C57" s="2"/>
      <c r="D57" s="3"/>
      <c r="E57" s="3"/>
      <c r="F57" s="3"/>
      <c r="G57" s="3"/>
      <c r="H57" s="3"/>
      <c r="I57" s="3"/>
      <c r="J57" s="1"/>
    </row>
    <row r="58" customFormat="false" ht="18" hidden="false" customHeight="true" outlineLevel="0" collapsed="false">
      <c r="A58" s="1"/>
      <c r="B58" s="1"/>
      <c r="C58" s="2"/>
      <c r="D58" s="3"/>
      <c r="E58" s="3"/>
      <c r="F58" s="3"/>
      <c r="G58" s="3"/>
      <c r="H58" s="3"/>
      <c r="I58" s="3"/>
      <c r="J58" s="1"/>
    </row>
  </sheetData>
  <mergeCells count="4">
    <mergeCell ref="C12:I12"/>
    <mergeCell ref="C52:I52"/>
    <mergeCell ref="C54:I54"/>
    <mergeCell ref="C56:I56"/>
  </mergeCells>
  <dataValidations count="2">
    <dataValidation allowBlank="false" errorStyle="stop" operator="between" showDropDown="false" showErrorMessage="false" showInputMessage="false" sqref="D4" type="list">
      <formula1>"Low,Base,High"</formula1>
      <formula2>0</formula2>
    </dataValidation>
    <dataValidation allowBlank="false" errorStyle="stop" operator="between" showDropDown="false" showErrorMessage="false" showInputMessage="false" sqref="D11" type="list">
      <formula1>"Profit on cost,Margin on sales"</formula1>
      <formula2>0</formula2>
    </dataValidation>
  </dataValidations>
  <printOptions headings="false" gridLines="false" gridLinesSet="true" horizontalCentered="true" verticalCentered="false"/>
  <pageMargins left="0.3" right="0.3" top="0.3" bottom="0.3" header="0.511811023622047" footer="0.1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&amp;R&amp;"Calibri"&amp;11Page &amp;P of &amp;N</oddFooter>
  </headerFooter>
  <rowBreaks count="1" manualBreakCount="1">
    <brk id="32" man="true" max="16383" min="0"/>
  </rowBreak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8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2"/>
    <col collapsed="false" customWidth="true" hidden="false" outlineLevel="0" max="3" min="3" style="0" width="38"/>
    <col collapsed="false" customWidth="true" hidden="false" outlineLevel="0" max="9" min="4" style="0" width="18"/>
    <col collapsed="false" customWidth="true" hidden="false" outlineLevel="0" max="10" min="10" style="0" width="2"/>
  </cols>
  <sheetData>
    <row r="1" customFormat="false" ht="18" hidden="false" customHeight="true" outlineLevel="0" collapsed="false">
      <c r="A1" s="1"/>
      <c r="B1" s="1"/>
      <c r="C1" s="2"/>
      <c r="D1" s="3"/>
      <c r="E1" s="3"/>
      <c r="F1" s="3"/>
      <c r="G1" s="3"/>
      <c r="H1" s="3"/>
      <c r="I1" s="3"/>
      <c r="J1" s="1"/>
    </row>
    <row r="2" customFormat="false" ht="28" hidden="false" customHeight="true" outlineLevel="0" collapsed="false">
      <c r="A2" s="1"/>
      <c r="B2" s="1"/>
      <c r="C2" s="4" t="s">
        <v>51</v>
      </c>
      <c r="D2" s="3"/>
      <c r="E2" s="3"/>
      <c r="F2" s="3"/>
      <c r="G2" s="3"/>
      <c r="H2" s="3"/>
      <c r="I2" s="3"/>
      <c r="J2" s="1"/>
    </row>
    <row r="3" customFormat="false" ht="6" hidden="false" customHeight="true" outlineLevel="0" collapsed="false">
      <c r="A3" s="1"/>
      <c r="B3" s="1"/>
      <c r="C3" s="5"/>
      <c r="D3" s="6"/>
      <c r="E3" s="6"/>
      <c r="F3" s="6"/>
      <c r="G3" s="6"/>
      <c r="H3" s="6"/>
      <c r="I3" s="6"/>
      <c r="J3" s="1"/>
    </row>
    <row r="4" customFormat="false" ht="18" hidden="false" customHeight="true" outlineLevel="0" collapsed="false">
      <c r="A4" s="1"/>
      <c r="B4" s="1"/>
      <c r="C4" s="2" t="s">
        <v>1</v>
      </c>
      <c r="D4" s="7" t="str">
        <f aca="false">Assumptions!$D$4</f>
        <v>Base</v>
      </c>
      <c r="E4" s="3"/>
      <c r="F4" s="3"/>
      <c r="G4" s="3"/>
      <c r="H4" s="3"/>
      <c r="I4" s="3"/>
      <c r="J4" s="1"/>
    </row>
    <row r="5" customFormat="false" ht="24" hidden="false" customHeight="true" outlineLevel="0" collapsed="false">
      <c r="A5" s="1"/>
      <c r="B5" s="1"/>
      <c r="C5" s="2"/>
      <c r="D5" s="36" t="s">
        <v>16</v>
      </c>
      <c r="E5" s="36" t="s">
        <v>17</v>
      </c>
      <c r="F5" s="36" t="s">
        <v>18</v>
      </c>
      <c r="G5" s="36" t="s">
        <v>19</v>
      </c>
      <c r="H5" s="36" t="s">
        <v>20</v>
      </c>
      <c r="I5" s="36" t="s">
        <v>21</v>
      </c>
      <c r="J5" s="1"/>
    </row>
    <row r="6" customFormat="false" ht="18" hidden="false" customHeight="true" outlineLevel="0" collapsed="false">
      <c r="A6" s="1"/>
      <c r="B6" s="1"/>
      <c r="C6" s="2"/>
      <c r="D6" s="3"/>
      <c r="E6" s="3"/>
      <c r="F6" s="3"/>
      <c r="G6" s="3"/>
      <c r="H6" s="3"/>
      <c r="I6" s="3"/>
      <c r="J6" s="1"/>
    </row>
    <row r="7" customFormat="false" ht="18" hidden="false" customHeight="true" outlineLevel="0" collapsed="false">
      <c r="A7" s="1"/>
      <c r="B7" s="1"/>
      <c r="C7" s="2"/>
      <c r="D7" s="3"/>
      <c r="E7" s="3"/>
      <c r="F7" s="3"/>
      <c r="G7" s="3"/>
      <c r="H7" s="3"/>
      <c r="I7" s="3"/>
      <c r="J7" s="1"/>
    </row>
    <row r="8" customFormat="false" ht="18" hidden="false" customHeight="true" outlineLevel="0" collapsed="false">
      <c r="A8" s="1"/>
      <c r="B8" s="1"/>
      <c r="C8" s="43" t="s">
        <v>52</v>
      </c>
      <c r="D8" s="44" t="str">
        <f aca="false">IF(COUNTIFS('Source Data'!$C$21:$C$26,$C8)&lt;&gt;1,"",IF(INDEX('Source Data'!$D$21:$D$26,MATCH($C8,'Source Data'!$C$21:$C$26,0))="","",INDEX('Source Data'!$D$21:$D$26,MATCH($C8,'Source Data'!$C$21:$C$26,0))))</f>
        <v>On-Site Supervisor</v>
      </c>
      <c r="E8" s="44"/>
      <c r="F8" s="44"/>
      <c r="G8" s="44"/>
      <c r="H8" s="44"/>
      <c r="I8" s="44"/>
      <c r="J8" s="1"/>
    </row>
    <row r="9" customFormat="false" ht="18" hidden="false" customHeight="true" outlineLevel="0" collapsed="false">
      <c r="A9" s="1"/>
      <c r="B9" s="1"/>
      <c r="C9" s="2" t="s">
        <v>53</v>
      </c>
      <c r="D9" s="45" t="n">
        <f aca="false">IF(COUNTIFS('Source Data'!$C$30:$C$35,$C8)&lt;&gt;1,"",IF(INDEX('Source Data'!$D$30:$D$35,MATCH($C8,'Source Data'!$C$30:$C$35,0))="","",INDEX('Source Data'!$D$30:$D$35,MATCH($C8,'Source Data'!$C$30:$C$35,0))))</f>
        <v>2080</v>
      </c>
      <c r="E9" s="45" t="n">
        <f aca="false">IF(COUNTIFS('Source Data'!$C$30:$C$35,$C8)&lt;&gt;1,"",IF(INDEX('Source Data'!$E$30:$E$35,MATCH($C8,'Source Data'!$C$30:$C$35,0))="","",INDEX('Source Data'!$E$30:$E$35,MATCH($C8,'Source Data'!$C$30:$C$35,0))))</f>
        <v>2080</v>
      </c>
      <c r="F9" s="45" t="n">
        <f aca="false">IF(COUNTIFS('Source Data'!$C$30:$C$35,$C8)&lt;&gt;1,"",IF(INDEX('Source Data'!$F$30:$F$35,MATCH($C8,'Source Data'!$C$30:$C$35,0))="","",INDEX('Source Data'!$F$30:$F$35,MATCH($C8,'Source Data'!$C$30:$C$35,0))))</f>
        <v>2080</v>
      </c>
      <c r="G9" s="45" t="n">
        <f aca="false">IF(COUNTIFS('Source Data'!$C$30:$C$35,$C8)&lt;&gt;1,"",IF(INDEX('Source Data'!$G$30:$G$35,MATCH($C8,'Source Data'!$C$30:$C$35,0))="","",INDEX('Source Data'!$G$30:$G$35,MATCH($C8,'Source Data'!$C$30:$C$35,0))))</f>
        <v>2080</v>
      </c>
      <c r="H9" s="45" t="n">
        <f aca="false">IF(COUNTIFS('Source Data'!$C$30:$C$35,$C8)&lt;&gt;1,"",IF(INDEX('Source Data'!$H$30:$H$35,MATCH($C8,'Source Data'!$C$30:$C$35,0))="","",INDEX('Source Data'!$H$30:$H$35,MATCH($C8,'Source Data'!$C$30:$C$35,0))))</f>
        <v>2080</v>
      </c>
      <c r="I9" s="45" t="n">
        <f aca="false">IF(COUNTIFS('Source Data'!$C$30:$C$35,$C8)&lt;&gt;1,"",IF(INDEX('Source Data'!$I$30:$I$35,MATCH($C8,'Source Data'!$C$30:$C$35,0))="","",INDEX('Source Data'!$I$30:$I$35,MATCH($C8,'Source Data'!$C$30:$C$35,0))))</f>
        <v>1040</v>
      </c>
      <c r="J9" s="1"/>
    </row>
    <row r="10" customFormat="false" ht="18" hidden="false" customHeight="true" outlineLevel="0" collapsed="false">
      <c r="A10" s="1"/>
      <c r="B10" s="1"/>
      <c r="C10" s="16" t="s">
        <v>54</v>
      </c>
      <c r="D10" s="46" t="n">
        <f aca="false">IF(COUNTIFS('Source Data'!$C$21:$C$26,$C8)&lt;&gt;1,"",IF(INDEX('Source Data'!$E$21:$E$26,MATCH($C8,'Source Data'!$C$21:$C$26,0))="","",INDEX('Source Data'!$E$21:$E$26,MATCH($C8,'Source Data'!$C$21:$C$26,0))))</f>
        <v>1</v>
      </c>
      <c r="E10" s="46" t="n">
        <f aca="false">IF(COUNTIFS('Source Data'!$C$21:$C$26,$C8)&lt;&gt;1,"",IF(INDEX('Source Data'!$E$21:$E$26,MATCH($C8,'Source Data'!$C$21:$C$26,0))="","",INDEX('Source Data'!$E$21:$E$26,MATCH($C8,'Source Data'!$C$21:$C$26,0))))</f>
        <v>1</v>
      </c>
      <c r="F10" s="46" t="n">
        <f aca="false">IF(COUNTIFS('Source Data'!$C$21:$C$26,$C8)&lt;&gt;1,"",IF(INDEX('Source Data'!$E$21:$E$26,MATCH($C8,'Source Data'!$C$21:$C$26,0))="","",INDEX('Source Data'!$E$21:$E$26,MATCH($C8,'Source Data'!$C$21:$C$26,0))))</f>
        <v>1</v>
      </c>
      <c r="G10" s="46" t="n">
        <f aca="false">IF(COUNTIFS('Source Data'!$C$21:$C$26,$C8)&lt;&gt;1,"",IF(INDEX('Source Data'!$E$21:$E$26,MATCH($C8,'Source Data'!$C$21:$C$26,0))="","",INDEX('Source Data'!$E$21:$E$26,MATCH($C8,'Source Data'!$C$21:$C$26,0))))</f>
        <v>1</v>
      </c>
      <c r="H10" s="46" t="n">
        <f aca="false">IF(COUNTIFS('Source Data'!$C$21:$C$26,$C8)&lt;&gt;1,"",IF(INDEX('Source Data'!$E$21:$E$26,MATCH($C8,'Source Data'!$C$21:$C$26,0))="","",INDEX('Source Data'!$E$21:$E$26,MATCH($C8,'Source Data'!$C$21:$C$26,0))))</f>
        <v>1</v>
      </c>
      <c r="I10" s="46" t="n">
        <f aca="false">IF(COUNTIFS('Source Data'!$C$21:$C$26,$C8)&lt;&gt;1,"",IF(INDEX('Source Data'!$E$21:$E$26,MATCH($C8,'Source Data'!$C$21:$C$26,0))="","",INDEX('Source Data'!$E$21:$E$26,MATCH($C8,'Source Data'!$C$21:$C$26,0))))</f>
        <v>1</v>
      </c>
      <c r="J10" s="1"/>
    </row>
    <row r="11" customFormat="false" ht="18" hidden="false" customHeight="true" outlineLevel="0" collapsed="false">
      <c r="A11" s="1"/>
      <c r="B11" s="1"/>
      <c r="C11" s="2" t="s">
        <v>55</v>
      </c>
      <c r="D11" s="47" t="n">
        <f aca="false">IF(COUNT(D9,Assumptions!$D$7,Assumptions!$D$8,Assumptions!D$19)&lt;4,"",IF(OR(D9&lt;0,Assumptions!$D$7&lt;=Assumptions!$D$8,Assumptions!$D$8&lt;0,Assumptions!D$19&lt;=0),"",D9/((Assumptions!$D$7-Assumptions!$D$8)*Assumptions!D$19)))</f>
        <v>1.1304347826087</v>
      </c>
      <c r="E11" s="47" t="n">
        <f aca="false">IF(COUNT(E9,Assumptions!$D$7,Assumptions!$D$8,Assumptions!E$19)&lt;4,"",IF(OR(E9&lt;0,Assumptions!$D$7&lt;=Assumptions!$D$8,Assumptions!$D$8&lt;0,Assumptions!E$19&lt;=0),"",E9/((Assumptions!$D$7-Assumptions!$D$8)*Assumptions!E$19)))</f>
        <v>1.1304347826087</v>
      </c>
      <c r="F11" s="47" t="n">
        <f aca="false">IF(COUNT(F9,Assumptions!$D$7,Assumptions!$D$8,Assumptions!F$19)&lt;4,"",IF(OR(F9&lt;0,Assumptions!$D$7&lt;=Assumptions!$D$8,Assumptions!$D$8&lt;0,Assumptions!F$19&lt;=0),"",F9/((Assumptions!$D$7-Assumptions!$D$8)*Assumptions!F$19)))</f>
        <v>1.1304347826087</v>
      </c>
      <c r="G11" s="47" t="n">
        <f aca="false">IF(COUNT(G9,Assumptions!$D$7,Assumptions!$D$8,Assumptions!G$19)&lt;4,"",IF(OR(G9&lt;0,Assumptions!$D$7&lt;=Assumptions!$D$8,Assumptions!$D$8&lt;0,Assumptions!G$19&lt;=0),"",G9/((Assumptions!$D$7-Assumptions!$D$8)*Assumptions!G$19)))</f>
        <v>1.1304347826087</v>
      </c>
      <c r="H11" s="47" t="n">
        <f aca="false">IF(COUNT(H9,Assumptions!$D$7,Assumptions!$D$8,Assumptions!H$19)&lt;4,"",IF(OR(H9&lt;0,Assumptions!$D$7&lt;=Assumptions!$D$8,Assumptions!$D$8&lt;0,Assumptions!H$19&lt;=0),"",H9/((Assumptions!$D$7-Assumptions!$D$8)*Assumptions!H$19)))</f>
        <v>1.1304347826087</v>
      </c>
      <c r="I11" s="47" t="n">
        <f aca="false">IF(COUNT(I9,Assumptions!$D$7,Assumptions!$D$8,Assumptions!I$19)&lt;4,"",IF(OR(I9&lt;0,Assumptions!$D$7&lt;=Assumptions!$D$8,Assumptions!$D$8&lt;0,Assumptions!I$19&lt;=0),"",I9/((Assumptions!$D$7-Assumptions!$D$8)*Assumptions!I$19)))</f>
        <v>1.1304347826087</v>
      </c>
      <c r="J11" s="1"/>
    </row>
    <row r="12" customFormat="false" ht="18" hidden="false" customHeight="true" outlineLevel="0" collapsed="false">
      <c r="A12" s="1"/>
      <c r="B12" s="1"/>
      <c r="C12" s="16" t="s">
        <v>56</v>
      </c>
      <c r="D12" s="48"/>
      <c r="E12" s="48"/>
      <c r="F12" s="48"/>
      <c r="G12" s="48"/>
      <c r="H12" s="48"/>
      <c r="I12" s="48"/>
      <c r="J12" s="1"/>
    </row>
    <row r="13" customFormat="false" ht="18" hidden="false" customHeight="true" outlineLevel="0" collapsed="false">
      <c r="A13" s="1"/>
      <c r="B13" s="1"/>
      <c r="C13" s="2" t="s">
        <v>57</v>
      </c>
      <c r="D13" s="49" t="n">
        <f aca="false">IF(D12="",IF(D11="","",D11),IF(AND(ISNUMBER(D12),D12&gt;=0),D12,""))</f>
        <v>1.1304347826087</v>
      </c>
      <c r="E13" s="49" t="n">
        <f aca="false">IF(E12="",IF(E11="","",E11),IF(AND(ISNUMBER(E12),E12&gt;=0),E12,""))</f>
        <v>1.1304347826087</v>
      </c>
      <c r="F13" s="49" t="n">
        <f aca="false">IF(F12="",IF(F11="","",F11),IF(AND(ISNUMBER(F12),F12&gt;=0),F12,""))</f>
        <v>1.1304347826087</v>
      </c>
      <c r="G13" s="49" t="n">
        <f aca="false">IF(G12="",IF(G11="","",G11),IF(AND(ISNUMBER(G12),G12&gt;=0),G12,""))</f>
        <v>1.1304347826087</v>
      </c>
      <c r="H13" s="49" t="n">
        <f aca="false">IF(H12="",IF(H11="","",H11),IF(AND(ISNUMBER(H12),H12&gt;=0),H12,""))</f>
        <v>1.1304347826087</v>
      </c>
      <c r="I13" s="49" t="n">
        <f aca="false">IF(I12="",IF(I11="","",I11),IF(AND(ISNUMBER(I12),I12&gt;=0),I12,""))</f>
        <v>1.1304347826087</v>
      </c>
      <c r="J13" s="1"/>
    </row>
    <row r="14" customFormat="false" ht="18" hidden="false" customHeight="true" outlineLevel="0" collapsed="false">
      <c r="A14" s="1"/>
      <c r="B14" s="1"/>
      <c r="C14" s="16" t="s">
        <v>58</v>
      </c>
      <c r="D14" s="46" t="n">
        <f aca="false">IF(OR(COUNT(D13,Assumptions!$D$7,Assumptions!$D$8,Assumptions!D$19)&lt;4,Assumptions!$D$7&lt;=Assumptions!$D$8,Assumptions!$D$8&lt;0,Assumptions!D$19&lt;=0),"",D13*(Assumptions!$D$7-Assumptions!$D$8)*Assumptions!D$19)</f>
        <v>2080</v>
      </c>
      <c r="E14" s="46" t="n">
        <f aca="false">IF(OR(COUNT(E13,Assumptions!$D$7,Assumptions!$D$8,Assumptions!E$19)&lt;4,Assumptions!$D$7&lt;=Assumptions!$D$8,Assumptions!$D$8&lt;0,Assumptions!E$19&lt;=0),"",E13*(Assumptions!$D$7-Assumptions!$D$8)*Assumptions!E$19)</f>
        <v>2080</v>
      </c>
      <c r="F14" s="46" t="n">
        <f aca="false">IF(OR(COUNT(F13,Assumptions!$D$7,Assumptions!$D$8,Assumptions!F$19)&lt;4,Assumptions!$D$7&lt;=Assumptions!$D$8,Assumptions!$D$8&lt;0,Assumptions!F$19&lt;=0),"",F13*(Assumptions!$D$7-Assumptions!$D$8)*Assumptions!F$19)</f>
        <v>2080</v>
      </c>
      <c r="G14" s="46" t="n">
        <f aca="false">IF(OR(COUNT(G13,Assumptions!$D$7,Assumptions!$D$8,Assumptions!G$19)&lt;4,Assumptions!$D$7&lt;=Assumptions!$D$8,Assumptions!$D$8&lt;0,Assumptions!G$19&lt;=0),"",G13*(Assumptions!$D$7-Assumptions!$D$8)*Assumptions!G$19)</f>
        <v>2080</v>
      </c>
      <c r="H14" s="46" t="n">
        <f aca="false">IF(OR(COUNT(H13,Assumptions!$D$7,Assumptions!$D$8,Assumptions!H$19)&lt;4,Assumptions!$D$7&lt;=Assumptions!$D$8,Assumptions!$D$8&lt;0,Assumptions!H$19&lt;=0),"",H13*(Assumptions!$D$7-Assumptions!$D$8)*Assumptions!H$19)</f>
        <v>2080</v>
      </c>
      <c r="I14" s="46" t="n">
        <f aca="false">IF(OR(COUNT(I13,Assumptions!$D$7,Assumptions!$D$8,Assumptions!I$19)&lt;4,Assumptions!$D$7&lt;=Assumptions!$D$8,Assumptions!$D$8&lt;0,Assumptions!I$19&lt;=0),"",I13*(Assumptions!$D$7-Assumptions!$D$8)*Assumptions!I$19)</f>
        <v>1040</v>
      </c>
      <c r="J14" s="1"/>
    </row>
    <row r="15" customFormat="false" ht="18" hidden="false" customHeight="true" outlineLevel="0" collapsed="false">
      <c r="A15" s="1"/>
      <c r="B15" s="1"/>
      <c r="C15" s="2" t="s">
        <v>59</v>
      </c>
      <c r="D15" s="49" t="n">
        <f aca="false">IF(COUNT(D14,D9)&lt;2,"",D14-D9)</f>
        <v>0</v>
      </c>
      <c r="E15" s="49" t="n">
        <f aca="false">IF(COUNT(E14,E9)&lt;2,"",E14-E9)</f>
        <v>0</v>
      </c>
      <c r="F15" s="49" t="n">
        <f aca="false">IF(COUNT(F14,F9)&lt;2,"",F14-F9)</f>
        <v>0</v>
      </c>
      <c r="G15" s="49" t="n">
        <f aca="false">IF(COUNT(G14,G9)&lt;2,"",G14-G9)</f>
        <v>0</v>
      </c>
      <c r="H15" s="49" t="n">
        <f aca="false">IF(COUNT(H14,H9)&lt;2,"",H14-H9)</f>
        <v>0</v>
      </c>
      <c r="I15" s="49" t="n">
        <f aca="false">IF(COUNT(I14,I9)&lt;2,"",I14-I9)</f>
        <v>0</v>
      </c>
      <c r="J15" s="1"/>
    </row>
    <row r="16" customFormat="false" ht="18" hidden="false" customHeight="true" outlineLevel="0" collapsed="false">
      <c r="A16" s="1"/>
      <c r="B16" s="1"/>
      <c r="C16" s="16" t="s">
        <v>60</v>
      </c>
      <c r="D16" s="46" t="n">
        <f aca="false">IF(OR(COUNT(D13,Assumptions!$D$7,Assumptions!D$19)&lt;3,Assumptions!$D$7&lt;=0,Assumptions!D$19&lt;=0),"",D13*Assumptions!$D$7*Assumptions!D$19)</f>
        <v>2351.30434782609</v>
      </c>
      <c r="E16" s="46" t="n">
        <f aca="false">IF(OR(COUNT(E13,Assumptions!$D$7,Assumptions!E$19)&lt;3,Assumptions!$D$7&lt;=0,Assumptions!E$19&lt;=0),"",E13*Assumptions!$D$7*Assumptions!E$19)</f>
        <v>2351.30434782609</v>
      </c>
      <c r="F16" s="46" t="n">
        <f aca="false">IF(OR(COUNT(F13,Assumptions!$D$7,Assumptions!F$19)&lt;3,Assumptions!$D$7&lt;=0,Assumptions!F$19&lt;=0),"",F13*Assumptions!$D$7*Assumptions!F$19)</f>
        <v>2351.30434782609</v>
      </c>
      <c r="G16" s="46" t="n">
        <f aca="false">IF(OR(COUNT(G13,Assumptions!$D$7,Assumptions!G$19)&lt;3,Assumptions!$D$7&lt;=0,Assumptions!G$19&lt;=0),"",G13*Assumptions!$D$7*Assumptions!G$19)</f>
        <v>2351.30434782609</v>
      </c>
      <c r="H16" s="46" t="n">
        <f aca="false">IF(OR(COUNT(H13,Assumptions!$D$7,Assumptions!H$19)&lt;3,Assumptions!$D$7&lt;=0,Assumptions!H$19&lt;=0),"",H13*Assumptions!$D$7*Assumptions!H$19)</f>
        <v>2351.30434782609</v>
      </c>
      <c r="I16" s="46" t="n">
        <f aca="false">IF(OR(COUNT(I13,Assumptions!$D$7,Assumptions!I$19)&lt;3,Assumptions!$D$7&lt;=0,Assumptions!I$19&lt;=0),"",I13*Assumptions!$D$7*Assumptions!I$19)</f>
        <v>1175.65217391304</v>
      </c>
      <c r="J16" s="1"/>
    </row>
    <row r="17" customFormat="false" ht="30" hidden="false" customHeight="true" outlineLevel="0" collapsed="false">
      <c r="A17" s="1"/>
      <c r="B17" s="1"/>
      <c r="C17" s="2" t="s">
        <v>61</v>
      </c>
      <c r="D17" s="50" t="str">
        <f aca="false">IF(COUNTIFS('Source Data'!$C$21:$C$26,$C8)&lt;&gt;1,"Duplicate / missing role",IF(OR($D8="",COUNT(D9:D10)&lt;2,COUNT(D11,D13,D15)&lt;3),"Missing / invalid",IF(OR(D9&lt;0,D10&lt;0),"Invalid input",IF(D15&lt;-0.01,"Staffing shortfall","Complete"))))</f>
        <v>Complete</v>
      </c>
      <c r="E17" s="50" t="str">
        <f aca="false">IF(COUNTIFS('Source Data'!$C$21:$C$26,$C8)&lt;&gt;1,"Duplicate / missing role",IF(OR($D8="",COUNT(E9:E10)&lt;2,COUNT(E11,E13,E15)&lt;3),"Missing / invalid",IF(OR(E9&lt;0,E10&lt;0),"Invalid input",IF(E15&lt;-0.01,"Staffing shortfall","Complete"))))</f>
        <v>Complete</v>
      </c>
      <c r="F17" s="50" t="str">
        <f aca="false">IF(COUNTIFS('Source Data'!$C$21:$C$26,$C8)&lt;&gt;1,"Duplicate / missing role",IF(OR($D8="",COUNT(F9:F10)&lt;2,COUNT(F11,F13,F15)&lt;3),"Missing / invalid",IF(OR(F9&lt;0,F10&lt;0),"Invalid input",IF(F15&lt;-0.01,"Staffing shortfall","Complete"))))</f>
        <v>Complete</v>
      </c>
      <c r="G17" s="50" t="str">
        <f aca="false">IF(COUNTIFS('Source Data'!$C$21:$C$26,$C8)&lt;&gt;1,"Duplicate / missing role",IF(OR($D8="",COUNT(G9:G10)&lt;2,COUNT(G11,G13,G15)&lt;3),"Missing / invalid",IF(OR(G9&lt;0,G10&lt;0),"Invalid input",IF(G15&lt;-0.01,"Staffing shortfall","Complete"))))</f>
        <v>Complete</v>
      </c>
      <c r="H17" s="50" t="str">
        <f aca="false">IF(COUNTIFS('Source Data'!$C$21:$C$26,$C8)&lt;&gt;1,"Duplicate / missing role",IF(OR($D8="",COUNT(H9:H10)&lt;2,COUNT(H11,H13,H15)&lt;3),"Missing / invalid",IF(OR(H9&lt;0,H10&lt;0),"Invalid input",IF(H15&lt;-0.01,"Staffing shortfall","Complete"))))</f>
        <v>Complete</v>
      </c>
      <c r="I17" s="50" t="str">
        <f aca="false">IF(COUNTIFS('Source Data'!$C$21:$C$26,$C8)&lt;&gt;1,"Duplicate / missing role",IF(OR($D8="",COUNT(I9:I10)&lt;2,COUNT(I11,I13,I15)&lt;3),"Missing / invalid",IF(OR(I9&lt;0,I10&lt;0),"Invalid input",IF(I15&lt;-0.01,"Staffing shortfall","Complete"))))</f>
        <v>Complete</v>
      </c>
      <c r="J17" s="1"/>
    </row>
    <row r="18" customFormat="false" ht="18" hidden="false" customHeight="true" outlineLevel="0" collapsed="false">
      <c r="A18" s="1"/>
      <c r="B18" s="1"/>
      <c r="C18" s="2"/>
      <c r="D18" s="3"/>
      <c r="E18" s="3"/>
      <c r="F18" s="3"/>
      <c r="G18" s="3"/>
      <c r="H18" s="3"/>
      <c r="I18" s="3"/>
      <c r="J18" s="1"/>
    </row>
    <row r="19" customFormat="false" ht="18" hidden="false" customHeight="true" outlineLevel="0" collapsed="false">
      <c r="A19" s="1"/>
      <c r="B19" s="1"/>
      <c r="C19" s="2"/>
      <c r="D19" s="3"/>
      <c r="E19" s="3"/>
      <c r="F19" s="3"/>
      <c r="G19" s="3"/>
      <c r="H19" s="3"/>
      <c r="I19" s="3"/>
      <c r="J19" s="1"/>
    </row>
    <row r="20" customFormat="false" ht="18" hidden="false" customHeight="true" outlineLevel="0" collapsed="false">
      <c r="A20" s="1"/>
      <c r="B20" s="1"/>
      <c r="C20" s="43" t="s">
        <v>62</v>
      </c>
      <c r="D20" s="44" t="str">
        <f aca="false">IF(COUNTIFS('Source Data'!$C$21:$C$26,$C20)&lt;&gt;1,"",IF(INDEX('Source Data'!$D$21:$D$26,MATCH($C20,'Source Data'!$C$21:$C$26,0))="","",INDEX('Source Data'!$D$21:$D$26,MATCH($C20,'Source Data'!$C$21:$C$26,0))))</f>
        <v>Financial Analyst</v>
      </c>
      <c r="E20" s="44"/>
      <c r="F20" s="44"/>
      <c r="G20" s="44"/>
      <c r="H20" s="44"/>
      <c r="I20" s="44"/>
      <c r="J20" s="1"/>
    </row>
    <row r="21" customFormat="false" ht="18" hidden="false" customHeight="true" outlineLevel="0" collapsed="false">
      <c r="A21" s="1"/>
      <c r="B21" s="1"/>
      <c r="C21" s="2" t="s">
        <v>53</v>
      </c>
      <c r="D21" s="45" t="n">
        <f aca="false">IF(COUNTIFS('Source Data'!$C$30:$C$35,$C20)&lt;&gt;1,"",IF(INDEX('Source Data'!$D$30:$D$35,MATCH($C20,'Source Data'!$C$30:$C$35,0))="","",INDEX('Source Data'!$D$30:$D$35,MATCH($C20,'Source Data'!$C$30:$C$35,0))))</f>
        <v>4160</v>
      </c>
      <c r="E21" s="45" t="n">
        <f aca="false">IF(COUNTIFS('Source Data'!$C$30:$C$35,$C20)&lt;&gt;1,"",IF(INDEX('Source Data'!$E$30:$E$35,MATCH($C20,'Source Data'!$C$30:$C$35,0))="","",INDEX('Source Data'!$E$30:$E$35,MATCH($C20,'Source Data'!$C$30:$C$35,0))))</f>
        <v>4160</v>
      </c>
      <c r="F21" s="45" t="n">
        <f aca="false">IF(COUNTIFS('Source Data'!$C$30:$C$35,$C20)&lt;&gt;1,"",IF(INDEX('Source Data'!$F$30:$F$35,MATCH($C20,'Source Data'!$C$30:$C$35,0))="","",INDEX('Source Data'!$F$30:$F$35,MATCH($C20,'Source Data'!$C$30:$C$35,0))))</f>
        <v>4160</v>
      </c>
      <c r="G21" s="45" t="n">
        <f aca="false">IF(COUNTIFS('Source Data'!$C$30:$C$35,$C20)&lt;&gt;1,"",IF(INDEX('Source Data'!$G$30:$G$35,MATCH($C20,'Source Data'!$C$30:$C$35,0))="","",INDEX('Source Data'!$G$30:$G$35,MATCH($C20,'Source Data'!$C$30:$C$35,0))))</f>
        <v>4160</v>
      </c>
      <c r="H21" s="45" t="n">
        <f aca="false">IF(COUNTIFS('Source Data'!$C$30:$C$35,$C20)&lt;&gt;1,"",IF(INDEX('Source Data'!$H$30:$H$35,MATCH($C20,'Source Data'!$C$30:$C$35,0))="","",INDEX('Source Data'!$H$30:$H$35,MATCH($C20,'Source Data'!$C$30:$C$35,0))))</f>
        <v>4160</v>
      </c>
      <c r="I21" s="45" t="n">
        <f aca="false">IF(COUNTIFS('Source Data'!$C$30:$C$35,$C20)&lt;&gt;1,"",IF(INDEX('Source Data'!$I$30:$I$35,MATCH($C20,'Source Data'!$C$30:$C$35,0))="","",INDEX('Source Data'!$I$30:$I$35,MATCH($C20,'Source Data'!$C$30:$C$35,0))))</f>
        <v>2080</v>
      </c>
      <c r="J21" s="1"/>
    </row>
    <row r="22" customFormat="false" ht="18" hidden="false" customHeight="true" outlineLevel="0" collapsed="false">
      <c r="A22" s="1"/>
      <c r="B22" s="1"/>
      <c r="C22" s="16" t="s">
        <v>54</v>
      </c>
      <c r="D22" s="46" t="n">
        <f aca="false">IF(COUNTIFS('Source Data'!$C$21:$C$26,$C20)&lt;&gt;1,"",IF(INDEX('Source Data'!$E$21:$E$26,MATCH($C20,'Source Data'!$C$21:$C$26,0))="","",INDEX('Source Data'!$E$21:$E$26,MATCH($C20,'Source Data'!$C$21:$C$26,0))))</f>
        <v>2</v>
      </c>
      <c r="E22" s="46" t="n">
        <f aca="false">IF(COUNTIFS('Source Data'!$C$21:$C$26,$C20)&lt;&gt;1,"",IF(INDEX('Source Data'!$E$21:$E$26,MATCH($C20,'Source Data'!$C$21:$C$26,0))="","",INDEX('Source Data'!$E$21:$E$26,MATCH($C20,'Source Data'!$C$21:$C$26,0))))</f>
        <v>2</v>
      </c>
      <c r="F22" s="46" t="n">
        <f aca="false">IF(COUNTIFS('Source Data'!$C$21:$C$26,$C20)&lt;&gt;1,"",IF(INDEX('Source Data'!$E$21:$E$26,MATCH($C20,'Source Data'!$C$21:$C$26,0))="","",INDEX('Source Data'!$E$21:$E$26,MATCH($C20,'Source Data'!$C$21:$C$26,0))))</f>
        <v>2</v>
      </c>
      <c r="G22" s="46" t="n">
        <f aca="false">IF(COUNTIFS('Source Data'!$C$21:$C$26,$C20)&lt;&gt;1,"",IF(INDEX('Source Data'!$E$21:$E$26,MATCH($C20,'Source Data'!$C$21:$C$26,0))="","",INDEX('Source Data'!$E$21:$E$26,MATCH($C20,'Source Data'!$C$21:$C$26,0))))</f>
        <v>2</v>
      </c>
      <c r="H22" s="46" t="n">
        <f aca="false">IF(COUNTIFS('Source Data'!$C$21:$C$26,$C20)&lt;&gt;1,"",IF(INDEX('Source Data'!$E$21:$E$26,MATCH($C20,'Source Data'!$C$21:$C$26,0))="","",INDEX('Source Data'!$E$21:$E$26,MATCH($C20,'Source Data'!$C$21:$C$26,0))))</f>
        <v>2</v>
      </c>
      <c r="I22" s="46" t="n">
        <f aca="false">IF(COUNTIFS('Source Data'!$C$21:$C$26,$C20)&lt;&gt;1,"",IF(INDEX('Source Data'!$E$21:$E$26,MATCH($C20,'Source Data'!$C$21:$C$26,0))="","",INDEX('Source Data'!$E$21:$E$26,MATCH($C20,'Source Data'!$C$21:$C$26,0))))</f>
        <v>2</v>
      </c>
      <c r="J22" s="1"/>
    </row>
    <row r="23" customFormat="false" ht="18" hidden="false" customHeight="true" outlineLevel="0" collapsed="false">
      <c r="A23" s="1"/>
      <c r="B23" s="1"/>
      <c r="C23" s="2" t="s">
        <v>55</v>
      </c>
      <c r="D23" s="47" t="n">
        <f aca="false">IF(COUNT(D21,Assumptions!$D$7,Assumptions!$D$8,Assumptions!D$19)&lt;4,"",IF(OR(D21&lt;0,Assumptions!$D$7&lt;=Assumptions!$D$8,Assumptions!$D$8&lt;0,Assumptions!D$19&lt;=0),"",D21/((Assumptions!$D$7-Assumptions!$D$8)*Assumptions!D$19)))</f>
        <v>2.26086956521739</v>
      </c>
      <c r="E23" s="47" t="n">
        <f aca="false">IF(COUNT(E21,Assumptions!$D$7,Assumptions!$D$8,Assumptions!E$19)&lt;4,"",IF(OR(E21&lt;0,Assumptions!$D$7&lt;=Assumptions!$D$8,Assumptions!$D$8&lt;0,Assumptions!E$19&lt;=0),"",E21/((Assumptions!$D$7-Assumptions!$D$8)*Assumptions!E$19)))</f>
        <v>2.26086956521739</v>
      </c>
      <c r="F23" s="47" t="n">
        <f aca="false">IF(COUNT(F21,Assumptions!$D$7,Assumptions!$D$8,Assumptions!F$19)&lt;4,"",IF(OR(F21&lt;0,Assumptions!$D$7&lt;=Assumptions!$D$8,Assumptions!$D$8&lt;0,Assumptions!F$19&lt;=0),"",F21/((Assumptions!$D$7-Assumptions!$D$8)*Assumptions!F$19)))</f>
        <v>2.26086956521739</v>
      </c>
      <c r="G23" s="47" t="n">
        <f aca="false">IF(COUNT(G21,Assumptions!$D$7,Assumptions!$D$8,Assumptions!G$19)&lt;4,"",IF(OR(G21&lt;0,Assumptions!$D$7&lt;=Assumptions!$D$8,Assumptions!$D$8&lt;0,Assumptions!G$19&lt;=0),"",G21/((Assumptions!$D$7-Assumptions!$D$8)*Assumptions!G$19)))</f>
        <v>2.26086956521739</v>
      </c>
      <c r="H23" s="47" t="n">
        <f aca="false">IF(COUNT(H21,Assumptions!$D$7,Assumptions!$D$8,Assumptions!H$19)&lt;4,"",IF(OR(H21&lt;0,Assumptions!$D$7&lt;=Assumptions!$D$8,Assumptions!$D$8&lt;0,Assumptions!H$19&lt;=0),"",H21/((Assumptions!$D$7-Assumptions!$D$8)*Assumptions!H$19)))</f>
        <v>2.26086956521739</v>
      </c>
      <c r="I23" s="47" t="n">
        <f aca="false">IF(COUNT(I21,Assumptions!$D$7,Assumptions!$D$8,Assumptions!I$19)&lt;4,"",IF(OR(I21&lt;0,Assumptions!$D$7&lt;=Assumptions!$D$8,Assumptions!$D$8&lt;0,Assumptions!I$19&lt;=0),"",I21/((Assumptions!$D$7-Assumptions!$D$8)*Assumptions!I$19)))</f>
        <v>2.26086956521739</v>
      </c>
      <c r="J23" s="1"/>
    </row>
    <row r="24" customFormat="false" ht="18" hidden="false" customHeight="true" outlineLevel="0" collapsed="false">
      <c r="A24" s="1"/>
      <c r="B24" s="1"/>
      <c r="C24" s="16" t="s">
        <v>56</v>
      </c>
      <c r="D24" s="48"/>
      <c r="E24" s="48"/>
      <c r="F24" s="48"/>
      <c r="G24" s="48"/>
      <c r="H24" s="48"/>
      <c r="I24" s="48"/>
      <c r="J24" s="1"/>
    </row>
    <row r="25" customFormat="false" ht="18" hidden="false" customHeight="true" outlineLevel="0" collapsed="false">
      <c r="A25" s="1"/>
      <c r="B25" s="1"/>
      <c r="C25" s="2" t="s">
        <v>57</v>
      </c>
      <c r="D25" s="49" t="n">
        <f aca="false">IF(D24="",IF(D23="","",D23),IF(AND(ISNUMBER(D24),D24&gt;=0),D24,""))</f>
        <v>2.26086956521739</v>
      </c>
      <c r="E25" s="49" t="n">
        <f aca="false">IF(E24="",IF(E23="","",E23),IF(AND(ISNUMBER(E24),E24&gt;=0),E24,""))</f>
        <v>2.26086956521739</v>
      </c>
      <c r="F25" s="49" t="n">
        <f aca="false">IF(F24="",IF(F23="","",F23),IF(AND(ISNUMBER(F24),F24&gt;=0),F24,""))</f>
        <v>2.26086956521739</v>
      </c>
      <c r="G25" s="49" t="n">
        <f aca="false">IF(G24="",IF(G23="","",G23),IF(AND(ISNUMBER(G24),G24&gt;=0),G24,""))</f>
        <v>2.26086956521739</v>
      </c>
      <c r="H25" s="49" t="n">
        <f aca="false">IF(H24="",IF(H23="","",H23),IF(AND(ISNUMBER(H24),H24&gt;=0),H24,""))</f>
        <v>2.26086956521739</v>
      </c>
      <c r="I25" s="49" t="n">
        <f aca="false">IF(I24="",IF(I23="","",I23),IF(AND(ISNUMBER(I24),I24&gt;=0),I24,""))</f>
        <v>2.26086956521739</v>
      </c>
      <c r="J25" s="1"/>
    </row>
    <row r="26" customFormat="false" ht="18" hidden="false" customHeight="true" outlineLevel="0" collapsed="false">
      <c r="A26" s="1"/>
      <c r="B26" s="1"/>
      <c r="C26" s="16" t="s">
        <v>58</v>
      </c>
      <c r="D26" s="46" t="n">
        <f aca="false">IF(OR(COUNT(D25,Assumptions!$D$7,Assumptions!$D$8,Assumptions!D$19)&lt;4,Assumptions!$D$7&lt;=Assumptions!$D$8,Assumptions!$D$8&lt;0,Assumptions!D$19&lt;=0),"",D25*(Assumptions!$D$7-Assumptions!$D$8)*Assumptions!D$19)</f>
        <v>4160</v>
      </c>
      <c r="E26" s="46" t="n">
        <f aca="false">IF(OR(COUNT(E25,Assumptions!$D$7,Assumptions!$D$8,Assumptions!E$19)&lt;4,Assumptions!$D$7&lt;=Assumptions!$D$8,Assumptions!$D$8&lt;0,Assumptions!E$19&lt;=0),"",E25*(Assumptions!$D$7-Assumptions!$D$8)*Assumptions!E$19)</f>
        <v>4160</v>
      </c>
      <c r="F26" s="46" t="n">
        <f aca="false">IF(OR(COUNT(F25,Assumptions!$D$7,Assumptions!$D$8,Assumptions!F$19)&lt;4,Assumptions!$D$7&lt;=Assumptions!$D$8,Assumptions!$D$8&lt;0,Assumptions!F$19&lt;=0),"",F25*(Assumptions!$D$7-Assumptions!$D$8)*Assumptions!F$19)</f>
        <v>4160</v>
      </c>
      <c r="G26" s="46" t="n">
        <f aca="false">IF(OR(COUNT(G25,Assumptions!$D$7,Assumptions!$D$8,Assumptions!G$19)&lt;4,Assumptions!$D$7&lt;=Assumptions!$D$8,Assumptions!$D$8&lt;0,Assumptions!G$19&lt;=0),"",G25*(Assumptions!$D$7-Assumptions!$D$8)*Assumptions!G$19)</f>
        <v>4160</v>
      </c>
      <c r="H26" s="46" t="n">
        <f aca="false">IF(OR(COUNT(H25,Assumptions!$D$7,Assumptions!$D$8,Assumptions!H$19)&lt;4,Assumptions!$D$7&lt;=Assumptions!$D$8,Assumptions!$D$8&lt;0,Assumptions!H$19&lt;=0),"",H25*(Assumptions!$D$7-Assumptions!$D$8)*Assumptions!H$19)</f>
        <v>4160</v>
      </c>
      <c r="I26" s="46" t="n">
        <f aca="false">IF(OR(COUNT(I25,Assumptions!$D$7,Assumptions!$D$8,Assumptions!I$19)&lt;4,Assumptions!$D$7&lt;=Assumptions!$D$8,Assumptions!$D$8&lt;0,Assumptions!I$19&lt;=0),"",I25*(Assumptions!$D$7-Assumptions!$D$8)*Assumptions!I$19)</f>
        <v>2080</v>
      </c>
      <c r="J26" s="1"/>
    </row>
    <row r="27" customFormat="false" ht="18" hidden="false" customHeight="true" outlineLevel="0" collapsed="false">
      <c r="A27" s="1"/>
      <c r="B27" s="1"/>
      <c r="C27" s="2" t="s">
        <v>59</v>
      </c>
      <c r="D27" s="49" t="n">
        <f aca="false">IF(COUNT(D26,D21)&lt;2,"",D26-D21)</f>
        <v>0</v>
      </c>
      <c r="E27" s="49" t="n">
        <f aca="false">IF(COUNT(E26,E21)&lt;2,"",E26-E21)</f>
        <v>0</v>
      </c>
      <c r="F27" s="49" t="n">
        <f aca="false">IF(COUNT(F26,F21)&lt;2,"",F26-F21)</f>
        <v>0</v>
      </c>
      <c r="G27" s="49" t="n">
        <f aca="false">IF(COUNT(G26,G21)&lt;2,"",G26-G21)</f>
        <v>0</v>
      </c>
      <c r="H27" s="49" t="n">
        <f aca="false">IF(COUNT(H26,H21)&lt;2,"",H26-H21)</f>
        <v>0</v>
      </c>
      <c r="I27" s="49" t="n">
        <f aca="false">IF(COUNT(I26,I21)&lt;2,"",I26-I21)</f>
        <v>0</v>
      </c>
      <c r="J27" s="1"/>
    </row>
    <row r="28" customFormat="false" ht="18" hidden="false" customHeight="true" outlineLevel="0" collapsed="false">
      <c r="A28" s="1"/>
      <c r="B28" s="1"/>
      <c r="C28" s="16" t="s">
        <v>60</v>
      </c>
      <c r="D28" s="46" t="n">
        <f aca="false">IF(OR(COUNT(D25,Assumptions!$D$7,Assumptions!D$19)&lt;3,Assumptions!$D$7&lt;=0,Assumptions!D$19&lt;=0),"",D25*Assumptions!$D$7*Assumptions!D$19)</f>
        <v>4702.60869565217</v>
      </c>
      <c r="E28" s="46" t="n">
        <f aca="false">IF(OR(COUNT(E25,Assumptions!$D$7,Assumptions!E$19)&lt;3,Assumptions!$D$7&lt;=0,Assumptions!E$19&lt;=0),"",E25*Assumptions!$D$7*Assumptions!E$19)</f>
        <v>4702.60869565217</v>
      </c>
      <c r="F28" s="46" t="n">
        <f aca="false">IF(OR(COUNT(F25,Assumptions!$D$7,Assumptions!F$19)&lt;3,Assumptions!$D$7&lt;=0,Assumptions!F$19&lt;=0),"",F25*Assumptions!$D$7*Assumptions!F$19)</f>
        <v>4702.60869565217</v>
      </c>
      <c r="G28" s="46" t="n">
        <f aca="false">IF(OR(COUNT(G25,Assumptions!$D$7,Assumptions!G$19)&lt;3,Assumptions!$D$7&lt;=0,Assumptions!G$19&lt;=0),"",G25*Assumptions!$D$7*Assumptions!G$19)</f>
        <v>4702.60869565217</v>
      </c>
      <c r="H28" s="46" t="n">
        <f aca="false">IF(OR(COUNT(H25,Assumptions!$D$7,Assumptions!H$19)&lt;3,Assumptions!$D$7&lt;=0,Assumptions!H$19&lt;=0),"",H25*Assumptions!$D$7*Assumptions!H$19)</f>
        <v>4702.60869565217</v>
      </c>
      <c r="I28" s="46" t="n">
        <f aca="false">IF(OR(COUNT(I25,Assumptions!$D$7,Assumptions!I$19)&lt;3,Assumptions!$D$7&lt;=0,Assumptions!I$19&lt;=0),"",I25*Assumptions!$D$7*Assumptions!I$19)</f>
        <v>2351.30434782609</v>
      </c>
      <c r="J28" s="1"/>
    </row>
    <row r="29" customFormat="false" ht="30" hidden="false" customHeight="true" outlineLevel="0" collapsed="false">
      <c r="A29" s="1"/>
      <c r="B29" s="1"/>
      <c r="C29" s="2" t="s">
        <v>61</v>
      </c>
      <c r="D29" s="50" t="str">
        <f aca="false">IF(COUNTIFS('Source Data'!$C$21:$C$26,$C20)&lt;&gt;1,"Duplicate / missing role",IF(OR($D20="",COUNT(D21:D22)&lt;2,COUNT(D23,D25,D27)&lt;3),"Missing / invalid",IF(OR(D21&lt;0,D22&lt;0),"Invalid input",IF(D27&lt;-0.01,"Staffing shortfall","Complete"))))</f>
        <v>Complete</v>
      </c>
      <c r="E29" s="50" t="str">
        <f aca="false">IF(COUNTIFS('Source Data'!$C$21:$C$26,$C20)&lt;&gt;1,"Duplicate / missing role",IF(OR($D20="",COUNT(E21:E22)&lt;2,COUNT(E23,E25,E27)&lt;3),"Missing / invalid",IF(OR(E21&lt;0,E22&lt;0),"Invalid input",IF(E27&lt;-0.01,"Staffing shortfall","Complete"))))</f>
        <v>Complete</v>
      </c>
      <c r="F29" s="50" t="str">
        <f aca="false">IF(COUNTIFS('Source Data'!$C$21:$C$26,$C20)&lt;&gt;1,"Duplicate / missing role",IF(OR($D20="",COUNT(F21:F22)&lt;2,COUNT(F23,F25,F27)&lt;3),"Missing / invalid",IF(OR(F21&lt;0,F22&lt;0),"Invalid input",IF(F27&lt;-0.01,"Staffing shortfall","Complete"))))</f>
        <v>Complete</v>
      </c>
      <c r="G29" s="50" t="str">
        <f aca="false">IF(COUNTIFS('Source Data'!$C$21:$C$26,$C20)&lt;&gt;1,"Duplicate / missing role",IF(OR($D20="",COUNT(G21:G22)&lt;2,COUNT(G23,G25,G27)&lt;3),"Missing / invalid",IF(OR(G21&lt;0,G22&lt;0),"Invalid input",IF(G27&lt;-0.01,"Staffing shortfall","Complete"))))</f>
        <v>Complete</v>
      </c>
      <c r="H29" s="50" t="str">
        <f aca="false">IF(COUNTIFS('Source Data'!$C$21:$C$26,$C20)&lt;&gt;1,"Duplicate / missing role",IF(OR($D20="",COUNT(H21:H22)&lt;2,COUNT(H23,H25,H27)&lt;3),"Missing / invalid",IF(OR(H21&lt;0,H22&lt;0),"Invalid input",IF(H27&lt;-0.01,"Staffing shortfall","Complete"))))</f>
        <v>Complete</v>
      </c>
      <c r="I29" s="50" t="str">
        <f aca="false">IF(COUNTIFS('Source Data'!$C$21:$C$26,$C20)&lt;&gt;1,"Duplicate / missing role",IF(OR($D20="",COUNT(I21:I22)&lt;2,COUNT(I23,I25,I27)&lt;3),"Missing / invalid",IF(OR(I21&lt;0,I22&lt;0),"Invalid input",IF(I27&lt;-0.01,"Staffing shortfall","Complete"))))</f>
        <v>Complete</v>
      </c>
      <c r="J29" s="1"/>
    </row>
    <row r="30" customFormat="false" ht="18" hidden="false" customHeight="true" outlineLevel="0" collapsed="false">
      <c r="A30" s="1"/>
      <c r="B30" s="1"/>
      <c r="C30" s="2"/>
      <c r="D30" s="3"/>
      <c r="E30" s="3"/>
      <c r="F30" s="3"/>
      <c r="G30" s="3"/>
      <c r="H30" s="3"/>
      <c r="I30" s="3"/>
      <c r="J30" s="1"/>
    </row>
    <row r="31" customFormat="false" ht="18" hidden="false" customHeight="true" outlineLevel="0" collapsed="false">
      <c r="A31" s="1"/>
      <c r="B31" s="1"/>
      <c r="C31" s="2"/>
      <c r="D31" s="3"/>
      <c r="E31" s="3"/>
      <c r="F31" s="3"/>
      <c r="G31" s="3"/>
      <c r="H31" s="3"/>
      <c r="I31" s="3"/>
      <c r="J31" s="1"/>
    </row>
    <row r="32" customFormat="false" ht="18" hidden="false" customHeight="true" outlineLevel="0" collapsed="false">
      <c r="A32" s="1"/>
      <c r="B32" s="1"/>
      <c r="C32" s="43" t="s">
        <v>63</v>
      </c>
      <c r="D32" s="44" t="str">
        <f aca="false">IF(COUNTIFS('Source Data'!$C$21:$C$26,$C32)&lt;&gt;1,"",IF(INDEX('Source Data'!$D$21:$D$26,MATCH($C32,'Source Data'!$C$21:$C$26,0))="","",INDEX('Source Data'!$D$21:$D$26,MATCH($C32,'Source Data'!$C$21:$C$26,0))))</f>
        <v>Administrative Assistant</v>
      </c>
      <c r="E32" s="44"/>
      <c r="F32" s="44"/>
      <c r="G32" s="44"/>
      <c r="H32" s="44"/>
      <c r="I32" s="44"/>
      <c r="J32" s="1"/>
    </row>
    <row r="33" customFormat="false" ht="18" hidden="false" customHeight="true" outlineLevel="0" collapsed="false">
      <c r="A33" s="1"/>
      <c r="B33" s="1"/>
      <c r="C33" s="2" t="s">
        <v>53</v>
      </c>
      <c r="D33" s="45" t="n">
        <f aca="false">IF(COUNTIFS('Source Data'!$C$30:$C$35,$C32)&lt;&gt;1,"",IF(INDEX('Source Data'!$D$30:$D$35,MATCH($C32,'Source Data'!$C$30:$C$35,0))="","",INDEX('Source Data'!$D$30:$D$35,MATCH($C32,'Source Data'!$C$30:$C$35,0))))</f>
        <v>2080</v>
      </c>
      <c r="E33" s="45" t="n">
        <f aca="false">IF(COUNTIFS('Source Data'!$C$30:$C$35,$C32)&lt;&gt;1,"",IF(INDEX('Source Data'!$E$30:$E$35,MATCH($C32,'Source Data'!$C$30:$C$35,0))="","",INDEX('Source Data'!$E$30:$E$35,MATCH($C32,'Source Data'!$C$30:$C$35,0))))</f>
        <v>2080</v>
      </c>
      <c r="F33" s="45" t="n">
        <f aca="false">IF(COUNTIFS('Source Data'!$C$30:$C$35,$C32)&lt;&gt;1,"",IF(INDEX('Source Data'!$F$30:$F$35,MATCH($C32,'Source Data'!$C$30:$C$35,0))="","",INDEX('Source Data'!$F$30:$F$35,MATCH($C32,'Source Data'!$C$30:$C$35,0))))</f>
        <v>2080</v>
      </c>
      <c r="G33" s="45" t="n">
        <f aca="false">IF(COUNTIFS('Source Data'!$C$30:$C$35,$C32)&lt;&gt;1,"",IF(INDEX('Source Data'!$G$30:$G$35,MATCH($C32,'Source Data'!$C$30:$C$35,0))="","",INDEX('Source Data'!$G$30:$G$35,MATCH($C32,'Source Data'!$C$30:$C$35,0))))</f>
        <v>2080</v>
      </c>
      <c r="H33" s="45" t="n">
        <f aca="false">IF(COUNTIFS('Source Data'!$C$30:$C$35,$C32)&lt;&gt;1,"",IF(INDEX('Source Data'!$H$30:$H$35,MATCH($C32,'Source Data'!$C$30:$C$35,0))="","",INDEX('Source Data'!$H$30:$H$35,MATCH($C32,'Source Data'!$C$30:$C$35,0))))</f>
        <v>2080</v>
      </c>
      <c r="I33" s="45" t="n">
        <f aca="false">IF(COUNTIFS('Source Data'!$C$30:$C$35,$C32)&lt;&gt;1,"",IF(INDEX('Source Data'!$I$30:$I$35,MATCH($C32,'Source Data'!$C$30:$C$35,0))="","",INDEX('Source Data'!$I$30:$I$35,MATCH($C32,'Source Data'!$C$30:$C$35,0))))</f>
        <v>1040</v>
      </c>
      <c r="J33" s="1"/>
    </row>
    <row r="34" customFormat="false" ht="18" hidden="false" customHeight="true" outlineLevel="0" collapsed="false">
      <c r="A34" s="1"/>
      <c r="B34" s="1"/>
      <c r="C34" s="16" t="s">
        <v>54</v>
      </c>
      <c r="D34" s="46" t="n">
        <f aca="false">IF(COUNTIFS('Source Data'!$C$21:$C$26,$C32)&lt;&gt;1,"",IF(INDEX('Source Data'!$E$21:$E$26,MATCH($C32,'Source Data'!$C$21:$C$26,0))="","",INDEX('Source Data'!$E$21:$E$26,MATCH($C32,'Source Data'!$C$21:$C$26,0))))</f>
        <v>1</v>
      </c>
      <c r="E34" s="46" t="n">
        <f aca="false">IF(COUNTIFS('Source Data'!$C$21:$C$26,$C32)&lt;&gt;1,"",IF(INDEX('Source Data'!$E$21:$E$26,MATCH($C32,'Source Data'!$C$21:$C$26,0))="","",INDEX('Source Data'!$E$21:$E$26,MATCH($C32,'Source Data'!$C$21:$C$26,0))))</f>
        <v>1</v>
      </c>
      <c r="F34" s="46" t="n">
        <f aca="false">IF(COUNTIFS('Source Data'!$C$21:$C$26,$C32)&lt;&gt;1,"",IF(INDEX('Source Data'!$E$21:$E$26,MATCH($C32,'Source Data'!$C$21:$C$26,0))="","",INDEX('Source Data'!$E$21:$E$26,MATCH($C32,'Source Data'!$C$21:$C$26,0))))</f>
        <v>1</v>
      </c>
      <c r="G34" s="46" t="n">
        <f aca="false">IF(COUNTIFS('Source Data'!$C$21:$C$26,$C32)&lt;&gt;1,"",IF(INDEX('Source Data'!$E$21:$E$26,MATCH($C32,'Source Data'!$C$21:$C$26,0))="","",INDEX('Source Data'!$E$21:$E$26,MATCH($C32,'Source Data'!$C$21:$C$26,0))))</f>
        <v>1</v>
      </c>
      <c r="H34" s="46" t="n">
        <f aca="false">IF(COUNTIFS('Source Data'!$C$21:$C$26,$C32)&lt;&gt;1,"",IF(INDEX('Source Data'!$E$21:$E$26,MATCH($C32,'Source Data'!$C$21:$C$26,0))="","",INDEX('Source Data'!$E$21:$E$26,MATCH($C32,'Source Data'!$C$21:$C$26,0))))</f>
        <v>1</v>
      </c>
      <c r="I34" s="46" t="n">
        <f aca="false">IF(COUNTIFS('Source Data'!$C$21:$C$26,$C32)&lt;&gt;1,"",IF(INDEX('Source Data'!$E$21:$E$26,MATCH($C32,'Source Data'!$C$21:$C$26,0))="","",INDEX('Source Data'!$E$21:$E$26,MATCH($C32,'Source Data'!$C$21:$C$26,0))))</f>
        <v>1</v>
      </c>
      <c r="J34" s="1"/>
    </row>
    <row r="35" customFormat="false" ht="18" hidden="false" customHeight="true" outlineLevel="0" collapsed="false">
      <c r="A35" s="1"/>
      <c r="B35" s="1"/>
      <c r="C35" s="2" t="s">
        <v>55</v>
      </c>
      <c r="D35" s="47" t="n">
        <f aca="false">IF(COUNT(D33,Assumptions!$D$7,Assumptions!$D$8,Assumptions!D$19)&lt;4,"",IF(OR(D33&lt;0,Assumptions!$D$7&lt;=Assumptions!$D$8,Assumptions!$D$8&lt;0,Assumptions!D$19&lt;=0),"",D33/((Assumptions!$D$7-Assumptions!$D$8)*Assumptions!D$19)))</f>
        <v>1.1304347826087</v>
      </c>
      <c r="E35" s="47" t="n">
        <f aca="false">IF(COUNT(E33,Assumptions!$D$7,Assumptions!$D$8,Assumptions!E$19)&lt;4,"",IF(OR(E33&lt;0,Assumptions!$D$7&lt;=Assumptions!$D$8,Assumptions!$D$8&lt;0,Assumptions!E$19&lt;=0),"",E33/((Assumptions!$D$7-Assumptions!$D$8)*Assumptions!E$19)))</f>
        <v>1.1304347826087</v>
      </c>
      <c r="F35" s="47" t="n">
        <f aca="false">IF(COUNT(F33,Assumptions!$D$7,Assumptions!$D$8,Assumptions!F$19)&lt;4,"",IF(OR(F33&lt;0,Assumptions!$D$7&lt;=Assumptions!$D$8,Assumptions!$D$8&lt;0,Assumptions!F$19&lt;=0),"",F33/((Assumptions!$D$7-Assumptions!$D$8)*Assumptions!F$19)))</f>
        <v>1.1304347826087</v>
      </c>
      <c r="G35" s="47" t="n">
        <f aca="false">IF(COUNT(G33,Assumptions!$D$7,Assumptions!$D$8,Assumptions!G$19)&lt;4,"",IF(OR(G33&lt;0,Assumptions!$D$7&lt;=Assumptions!$D$8,Assumptions!$D$8&lt;0,Assumptions!G$19&lt;=0),"",G33/((Assumptions!$D$7-Assumptions!$D$8)*Assumptions!G$19)))</f>
        <v>1.1304347826087</v>
      </c>
      <c r="H35" s="47" t="n">
        <f aca="false">IF(COUNT(H33,Assumptions!$D$7,Assumptions!$D$8,Assumptions!H$19)&lt;4,"",IF(OR(H33&lt;0,Assumptions!$D$7&lt;=Assumptions!$D$8,Assumptions!$D$8&lt;0,Assumptions!H$19&lt;=0),"",H33/((Assumptions!$D$7-Assumptions!$D$8)*Assumptions!H$19)))</f>
        <v>1.1304347826087</v>
      </c>
      <c r="I35" s="47" t="n">
        <f aca="false">IF(COUNT(I33,Assumptions!$D$7,Assumptions!$D$8,Assumptions!I$19)&lt;4,"",IF(OR(I33&lt;0,Assumptions!$D$7&lt;=Assumptions!$D$8,Assumptions!$D$8&lt;0,Assumptions!I$19&lt;=0),"",I33/((Assumptions!$D$7-Assumptions!$D$8)*Assumptions!I$19)))</f>
        <v>1.1304347826087</v>
      </c>
      <c r="J35" s="1"/>
    </row>
    <row r="36" customFormat="false" ht="18" hidden="false" customHeight="true" outlineLevel="0" collapsed="false">
      <c r="A36" s="1"/>
      <c r="B36" s="1"/>
      <c r="C36" s="16" t="s">
        <v>56</v>
      </c>
      <c r="D36" s="48"/>
      <c r="E36" s="48"/>
      <c r="F36" s="48"/>
      <c r="G36" s="48"/>
      <c r="H36" s="48"/>
      <c r="I36" s="48"/>
      <c r="J36" s="1"/>
    </row>
    <row r="37" customFormat="false" ht="18" hidden="false" customHeight="true" outlineLevel="0" collapsed="false">
      <c r="A37" s="1"/>
      <c r="B37" s="1"/>
      <c r="C37" s="2" t="s">
        <v>57</v>
      </c>
      <c r="D37" s="49" t="n">
        <f aca="false">IF(D36="",IF(D35="","",D35),IF(AND(ISNUMBER(D36),D36&gt;=0),D36,""))</f>
        <v>1.1304347826087</v>
      </c>
      <c r="E37" s="49" t="n">
        <f aca="false">IF(E36="",IF(E35="","",E35),IF(AND(ISNUMBER(E36),E36&gt;=0),E36,""))</f>
        <v>1.1304347826087</v>
      </c>
      <c r="F37" s="49" t="n">
        <f aca="false">IF(F36="",IF(F35="","",F35),IF(AND(ISNUMBER(F36),F36&gt;=0),F36,""))</f>
        <v>1.1304347826087</v>
      </c>
      <c r="G37" s="49" t="n">
        <f aca="false">IF(G36="",IF(G35="","",G35),IF(AND(ISNUMBER(G36),G36&gt;=0),G36,""))</f>
        <v>1.1304347826087</v>
      </c>
      <c r="H37" s="49" t="n">
        <f aca="false">IF(H36="",IF(H35="","",H35),IF(AND(ISNUMBER(H36),H36&gt;=0),H36,""))</f>
        <v>1.1304347826087</v>
      </c>
      <c r="I37" s="49" t="n">
        <f aca="false">IF(I36="",IF(I35="","",I35),IF(AND(ISNUMBER(I36),I36&gt;=0),I36,""))</f>
        <v>1.1304347826087</v>
      </c>
      <c r="J37" s="1"/>
    </row>
    <row r="38" customFormat="false" ht="18" hidden="false" customHeight="true" outlineLevel="0" collapsed="false">
      <c r="A38" s="1"/>
      <c r="B38" s="1"/>
      <c r="C38" s="16" t="s">
        <v>58</v>
      </c>
      <c r="D38" s="46" t="n">
        <f aca="false">IF(OR(COUNT(D37,Assumptions!$D$7,Assumptions!$D$8,Assumptions!D$19)&lt;4,Assumptions!$D$7&lt;=Assumptions!$D$8,Assumptions!$D$8&lt;0,Assumptions!D$19&lt;=0),"",D37*(Assumptions!$D$7-Assumptions!$D$8)*Assumptions!D$19)</f>
        <v>2080</v>
      </c>
      <c r="E38" s="46" t="n">
        <f aca="false">IF(OR(COUNT(E37,Assumptions!$D$7,Assumptions!$D$8,Assumptions!E$19)&lt;4,Assumptions!$D$7&lt;=Assumptions!$D$8,Assumptions!$D$8&lt;0,Assumptions!E$19&lt;=0),"",E37*(Assumptions!$D$7-Assumptions!$D$8)*Assumptions!E$19)</f>
        <v>2080</v>
      </c>
      <c r="F38" s="46" t="n">
        <f aca="false">IF(OR(COUNT(F37,Assumptions!$D$7,Assumptions!$D$8,Assumptions!F$19)&lt;4,Assumptions!$D$7&lt;=Assumptions!$D$8,Assumptions!$D$8&lt;0,Assumptions!F$19&lt;=0),"",F37*(Assumptions!$D$7-Assumptions!$D$8)*Assumptions!F$19)</f>
        <v>2080</v>
      </c>
      <c r="G38" s="46" t="n">
        <f aca="false">IF(OR(COUNT(G37,Assumptions!$D$7,Assumptions!$D$8,Assumptions!G$19)&lt;4,Assumptions!$D$7&lt;=Assumptions!$D$8,Assumptions!$D$8&lt;0,Assumptions!G$19&lt;=0),"",G37*(Assumptions!$D$7-Assumptions!$D$8)*Assumptions!G$19)</f>
        <v>2080</v>
      </c>
      <c r="H38" s="46" t="n">
        <f aca="false">IF(OR(COUNT(H37,Assumptions!$D$7,Assumptions!$D$8,Assumptions!H$19)&lt;4,Assumptions!$D$7&lt;=Assumptions!$D$8,Assumptions!$D$8&lt;0,Assumptions!H$19&lt;=0),"",H37*(Assumptions!$D$7-Assumptions!$D$8)*Assumptions!H$19)</f>
        <v>2080</v>
      </c>
      <c r="I38" s="46" t="n">
        <f aca="false">IF(OR(COUNT(I37,Assumptions!$D$7,Assumptions!$D$8,Assumptions!I$19)&lt;4,Assumptions!$D$7&lt;=Assumptions!$D$8,Assumptions!$D$8&lt;0,Assumptions!I$19&lt;=0),"",I37*(Assumptions!$D$7-Assumptions!$D$8)*Assumptions!I$19)</f>
        <v>1040</v>
      </c>
      <c r="J38" s="1"/>
    </row>
    <row r="39" customFormat="false" ht="18" hidden="false" customHeight="true" outlineLevel="0" collapsed="false">
      <c r="A39" s="1"/>
      <c r="B39" s="1"/>
      <c r="C39" s="2" t="s">
        <v>59</v>
      </c>
      <c r="D39" s="49" t="n">
        <f aca="false">IF(COUNT(D38,D33)&lt;2,"",D38-D33)</f>
        <v>0</v>
      </c>
      <c r="E39" s="49" t="n">
        <f aca="false">IF(COUNT(E38,E33)&lt;2,"",E38-E33)</f>
        <v>0</v>
      </c>
      <c r="F39" s="49" t="n">
        <f aca="false">IF(COUNT(F38,F33)&lt;2,"",F38-F33)</f>
        <v>0</v>
      </c>
      <c r="G39" s="49" t="n">
        <f aca="false">IF(COUNT(G38,G33)&lt;2,"",G38-G33)</f>
        <v>0</v>
      </c>
      <c r="H39" s="49" t="n">
        <f aca="false">IF(COUNT(H38,H33)&lt;2,"",H38-H33)</f>
        <v>0</v>
      </c>
      <c r="I39" s="49" t="n">
        <f aca="false">IF(COUNT(I38,I33)&lt;2,"",I38-I33)</f>
        <v>0</v>
      </c>
      <c r="J39" s="1"/>
    </row>
    <row r="40" customFormat="false" ht="18" hidden="false" customHeight="true" outlineLevel="0" collapsed="false">
      <c r="A40" s="1"/>
      <c r="B40" s="1"/>
      <c r="C40" s="16" t="s">
        <v>60</v>
      </c>
      <c r="D40" s="46" t="n">
        <f aca="false">IF(OR(COUNT(D37,Assumptions!$D$7,Assumptions!D$19)&lt;3,Assumptions!$D$7&lt;=0,Assumptions!D$19&lt;=0),"",D37*Assumptions!$D$7*Assumptions!D$19)</f>
        <v>2351.30434782609</v>
      </c>
      <c r="E40" s="46" t="n">
        <f aca="false">IF(OR(COUNT(E37,Assumptions!$D$7,Assumptions!E$19)&lt;3,Assumptions!$D$7&lt;=0,Assumptions!E$19&lt;=0),"",E37*Assumptions!$D$7*Assumptions!E$19)</f>
        <v>2351.30434782609</v>
      </c>
      <c r="F40" s="46" t="n">
        <f aca="false">IF(OR(COUNT(F37,Assumptions!$D$7,Assumptions!F$19)&lt;3,Assumptions!$D$7&lt;=0,Assumptions!F$19&lt;=0),"",F37*Assumptions!$D$7*Assumptions!F$19)</f>
        <v>2351.30434782609</v>
      </c>
      <c r="G40" s="46" t="n">
        <f aca="false">IF(OR(COUNT(G37,Assumptions!$D$7,Assumptions!G$19)&lt;3,Assumptions!$D$7&lt;=0,Assumptions!G$19&lt;=0),"",G37*Assumptions!$D$7*Assumptions!G$19)</f>
        <v>2351.30434782609</v>
      </c>
      <c r="H40" s="46" t="n">
        <f aca="false">IF(OR(COUNT(H37,Assumptions!$D$7,Assumptions!H$19)&lt;3,Assumptions!$D$7&lt;=0,Assumptions!H$19&lt;=0),"",H37*Assumptions!$D$7*Assumptions!H$19)</f>
        <v>2351.30434782609</v>
      </c>
      <c r="I40" s="46" t="n">
        <f aca="false">IF(OR(COUNT(I37,Assumptions!$D$7,Assumptions!I$19)&lt;3,Assumptions!$D$7&lt;=0,Assumptions!I$19&lt;=0),"",I37*Assumptions!$D$7*Assumptions!I$19)</f>
        <v>1175.65217391304</v>
      </c>
      <c r="J40" s="1"/>
    </row>
    <row r="41" customFormat="false" ht="30" hidden="false" customHeight="true" outlineLevel="0" collapsed="false">
      <c r="A41" s="1"/>
      <c r="B41" s="1"/>
      <c r="C41" s="2" t="s">
        <v>61</v>
      </c>
      <c r="D41" s="50" t="str">
        <f aca="false">IF(COUNTIFS('Source Data'!$C$21:$C$26,$C32)&lt;&gt;1,"Duplicate / missing role",IF(OR($D32="",COUNT(D33:D34)&lt;2,COUNT(D35,D37,D39)&lt;3),"Missing / invalid",IF(OR(D33&lt;0,D34&lt;0),"Invalid input",IF(D39&lt;-0.01,"Staffing shortfall","Complete"))))</f>
        <v>Complete</v>
      </c>
      <c r="E41" s="50" t="str">
        <f aca="false">IF(COUNTIFS('Source Data'!$C$21:$C$26,$C32)&lt;&gt;1,"Duplicate / missing role",IF(OR($D32="",COUNT(E33:E34)&lt;2,COUNT(E35,E37,E39)&lt;3),"Missing / invalid",IF(OR(E33&lt;0,E34&lt;0),"Invalid input",IF(E39&lt;-0.01,"Staffing shortfall","Complete"))))</f>
        <v>Complete</v>
      </c>
      <c r="F41" s="50" t="str">
        <f aca="false">IF(COUNTIFS('Source Data'!$C$21:$C$26,$C32)&lt;&gt;1,"Duplicate / missing role",IF(OR($D32="",COUNT(F33:F34)&lt;2,COUNT(F35,F37,F39)&lt;3),"Missing / invalid",IF(OR(F33&lt;0,F34&lt;0),"Invalid input",IF(F39&lt;-0.01,"Staffing shortfall","Complete"))))</f>
        <v>Complete</v>
      </c>
      <c r="G41" s="50" t="str">
        <f aca="false">IF(COUNTIFS('Source Data'!$C$21:$C$26,$C32)&lt;&gt;1,"Duplicate / missing role",IF(OR($D32="",COUNT(G33:G34)&lt;2,COUNT(G35,G37,G39)&lt;3),"Missing / invalid",IF(OR(G33&lt;0,G34&lt;0),"Invalid input",IF(G39&lt;-0.01,"Staffing shortfall","Complete"))))</f>
        <v>Complete</v>
      </c>
      <c r="H41" s="50" t="str">
        <f aca="false">IF(COUNTIFS('Source Data'!$C$21:$C$26,$C32)&lt;&gt;1,"Duplicate / missing role",IF(OR($D32="",COUNT(H33:H34)&lt;2,COUNT(H35,H37,H39)&lt;3),"Missing / invalid",IF(OR(H33&lt;0,H34&lt;0),"Invalid input",IF(H39&lt;-0.01,"Staffing shortfall","Complete"))))</f>
        <v>Complete</v>
      </c>
      <c r="I41" s="50" t="str">
        <f aca="false">IF(COUNTIFS('Source Data'!$C$21:$C$26,$C32)&lt;&gt;1,"Duplicate / missing role",IF(OR($D32="",COUNT(I33:I34)&lt;2,COUNT(I35,I37,I39)&lt;3),"Missing / invalid",IF(OR(I33&lt;0,I34&lt;0),"Invalid input",IF(I39&lt;-0.01,"Staffing shortfall","Complete"))))</f>
        <v>Complete</v>
      </c>
      <c r="J41" s="1"/>
    </row>
    <row r="42" customFormat="false" ht="18" hidden="false" customHeight="true" outlineLevel="0" collapsed="false">
      <c r="A42" s="1"/>
      <c r="B42" s="1"/>
      <c r="C42" s="2"/>
      <c r="D42" s="3"/>
      <c r="E42" s="3"/>
      <c r="F42" s="3"/>
      <c r="G42" s="3"/>
      <c r="H42" s="3"/>
      <c r="I42" s="3"/>
      <c r="J42" s="1"/>
    </row>
    <row r="43" customFormat="false" ht="18" hidden="false" customHeight="true" outlineLevel="0" collapsed="false">
      <c r="A43" s="1"/>
      <c r="B43" s="1"/>
      <c r="C43" s="2"/>
      <c r="D43" s="3"/>
      <c r="E43" s="3"/>
      <c r="F43" s="3"/>
      <c r="G43" s="3"/>
      <c r="H43" s="3"/>
      <c r="I43" s="3"/>
      <c r="J43" s="1"/>
    </row>
    <row r="44" customFormat="false" ht="18" hidden="false" customHeight="true" outlineLevel="0" collapsed="false">
      <c r="A44" s="1"/>
      <c r="B44" s="1"/>
      <c r="C44" s="43" t="s">
        <v>64</v>
      </c>
      <c r="D44" s="44" t="str">
        <f aca="false">IF(COUNTIFS('Source Data'!$C$21:$C$26,$C44)&lt;&gt;1,"",IF(INDEX('Source Data'!$D$21:$D$26,MATCH($C44,'Source Data'!$C$21:$C$26,0))="","",INDEX('Source Data'!$D$21:$D$26,MATCH($C44,'Source Data'!$C$21:$C$26,0))))</f>
        <v>Program Analyst I</v>
      </c>
      <c r="E44" s="44"/>
      <c r="F44" s="44"/>
      <c r="G44" s="44"/>
      <c r="H44" s="44"/>
      <c r="I44" s="44"/>
      <c r="J44" s="1"/>
    </row>
    <row r="45" customFormat="false" ht="18" hidden="false" customHeight="true" outlineLevel="0" collapsed="false">
      <c r="A45" s="1"/>
      <c r="B45" s="1"/>
      <c r="C45" s="2" t="s">
        <v>53</v>
      </c>
      <c r="D45" s="45" t="n">
        <f aca="false">IF(COUNTIFS('Source Data'!$C$30:$C$35,$C44)&lt;&gt;1,"",IF(INDEX('Source Data'!$D$30:$D$35,MATCH($C44,'Source Data'!$C$30:$C$35,0))="","",INDEX('Source Data'!$D$30:$D$35,MATCH($C44,'Source Data'!$C$30:$C$35,0))))</f>
        <v>2080</v>
      </c>
      <c r="E45" s="45" t="n">
        <f aca="false">IF(COUNTIFS('Source Data'!$C$30:$C$35,$C44)&lt;&gt;1,"",IF(INDEX('Source Data'!$E$30:$E$35,MATCH($C44,'Source Data'!$C$30:$C$35,0))="","",INDEX('Source Data'!$E$30:$E$35,MATCH($C44,'Source Data'!$C$30:$C$35,0))))</f>
        <v>2080</v>
      </c>
      <c r="F45" s="45" t="n">
        <f aca="false">IF(COUNTIFS('Source Data'!$C$30:$C$35,$C44)&lt;&gt;1,"",IF(INDEX('Source Data'!$F$30:$F$35,MATCH($C44,'Source Data'!$C$30:$C$35,0))="","",INDEX('Source Data'!$F$30:$F$35,MATCH($C44,'Source Data'!$C$30:$C$35,0))))</f>
        <v>2080</v>
      </c>
      <c r="G45" s="45" t="n">
        <f aca="false">IF(COUNTIFS('Source Data'!$C$30:$C$35,$C44)&lt;&gt;1,"",IF(INDEX('Source Data'!$G$30:$G$35,MATCH($C44,'Source Data'!$C$30:$C$35,0))="","",INDEX('Source Data'!$G$30:$G$35,MATCH($C44,'Source Data'!$C$30:$C$35,0))))</f>
        <v>2080</v>
      </c>
      <c r="H45" s="45" t="n">
        <f aca="false">IF(COUNTIFS('Source Data'!$C$30:$C$35,$C44)&lt;&gt;1,"",IF(INDEX('Source Data'!$H$30:$H$35,MATCH($C44,'Source Data'!$C$30:$C$35,0))="","",INDEX('Source Data'!$H$30:$H$35,MATCH($C44,'Source Data'!$C$30:$C$35,0))))</f>
        <v>2080</v>
      </c>
      <c r="I45" s="45" t="n">
        <f aca="false">IF(COUNTIFS('Source Data'!$C$30:$C$35,$C44)&lt;&gt;1,"",IF(INDEX('Source Data'!$I$30:$I$35,MATCH($C44,'Source Data'!$C$30:$C$35,0))="","",INDEX('Source Data'!$I$30:$I$35,MATCH($C44,'Source Data'!$C$30:$C$35,0))))</f>
        <v>1040</v>
      </c>
      <c r="J45" s="1"/>
    </row>
    <row r="46" customFormat="false" ht="18" hidden="false" customHeight="true" outlineLevel="0" collapsed="false">
      <c r="A46" s="1"/>
      <c r="B46" s="1"/>
      <c r="C46" s="16" t="s">
        <v>54</v>
      </c>
      <c r="D46" s="46" t="n">
        <f aca="false">IF(COUNTIFS('Source Data'!$C$21:$C$26,$C44)&lt;&gt;1,"",IF(INDEX('Source Data'!$E$21:$E$26,MATCH($C44,'Source Data'!$C$21:$C$26,0))="","",INDEX('Source Data'!$E$21:$E$26,MATCH($C44,'Source Data'!$C$21:$C$26,0))))</f>
        <v>1</v>
      </c>
      <c r="E46" s="46" t="n">
        <f aca="false">IF(COUNTIFS('Source Data'!$C$21:$C$26,$C44)&lt;&gt;1,"",IF(INDEX('Source Data'!$E$21:$E$26,MATCH($C44,'Source Data'!$C$21:$C$26,0))="","",INDEX('Source Data'!$E$21:$E$26,MATCH($C44,'Source Data'!$C$21:$C$26,0))))</f>
        <v>1</v>
      </c>
      <c r="F46" s="46" t="n">
        <f aca="false">IF(COUNTIFS('Source Data'!$C$21:$C$26,$C44)&lt;&gt;1,"",IF(INDEX('Source Data'!$E$21:$E$26,MATCH($C44,'Source Data'!$C$21:$C$26,0))="","",INDEX('Source Data'!$E$21:$E$26,MATCH($C44,'Source Data'!$C$21:$C$26,0))))</f>
        <v>1</v>
      </c>
      <c r="G46" s="46" t="n">
        <f aca="false">IF(COUNTIFS('Source Data'!$C$21:$C$26,$C44)&lt;&gt;1,"",IF(INDEX('Source Data'!$E$21:$E$26,MATCH($C44,'Source Data'!$C$21:$C$26,0))="","",INDEX('Source Data'!$E$21:$E$26,MATCH($C44,'Source Data'!$C$21:$C$26,0))))</f>
        <v>1</v>
      </c>
      <c r="H46" s="46" t="n">
        <f aca="false">IF(COUNTIFS('Source Data'!$C$21:$C$26,$C44)&lt;&gt;1,"",IF(INDEX('Source Data'!$E$21:$E$26,MATCH($C44,'Source Data'!$C$21:$C$26,0))="","",INDEX('Source Data'!$E$21:$E$26,MATCH($C44,'Source Data'!$C$21:$C$26,0))))</f>
        <v>1</v>
      </c>
      <c r="I46" s="46" t="n">
        <f aca="false">IF(COUNTIFS('Source Data'!$C$21:$C$26,$C44)&lt;&gt;1,"",IF(INDEX('Source Data'!$E$21:$E$26,MATCH($C44,'Source Data'!$C$21:$C$26,0))="","",INDEX('Source Data'!$E$21:$E$26,MATCH($C44,'Source Data'!$C$21:$C$26,0))))</f>
        <v>1</v>
      </c>
      <c r="J46" s="1"/>
    </row>
    <row r="47" customFormat="false" ht="18" hidden="false" customHeight="true" outlineLevel="0" collapsed="false">
      <c r="A47" s="1"/>
      <c r="B47" s="1"/>
      <c r="C47" s="2" t="s">
        <v>55</v>
      </c>
      <c r="D47" s="47" t="n">
        <f aca="false">IF(COUNT(D45,Assumptions!$D$7,Assumptions!$D$8,Assumptions!D$19)&lt;4,"",IF(OR(D45&lt;0,Assumptions!$D$7&lt;=Assumptions!$D$8,Assumptions!$D$8&lt;0,Assumptions!D$19&lt;=0),"",D45/((Assumptions!$D$7-Assumptions!$D$8)*Assumptions!D$19)))</f>
        <v>1.1304347826087</v>
      </c>
      <c r="E47" s="47" t="n">
        <f aca="false">IF(COUNT(E45,Assumptions!$D$7,Assumptions!$D$8,Assumptions!E$19)&lt;4,"",IF(OR(E45&lt;0,Assumptions!$D$7&lt;=Assumptions!$D$8,Assumptions!$D$8&lt;0,Assumptions!E$19&lt;=0),"",E45/((Assumptions!$D$7-Assumptions!$D$8)*Assumptions!E$19)))</f>
        <v>1.1304347826087</v>
      </c>
      <c r="F47" s="47" t="n">
        <f aca="false">IF(COUNT(F45,Assumptions!$D$7,Assumptions!$D$8,Assumptions!F$19)&lt;4,"",IF(OR(F45&lt;0,Assumptions!$D$7&lt;=Assumptions!$D$8,Assumptions!$D$8&lt;0,Assumptions!F$19&lt;=0),"",F45/((Assumptions!$D$7-Assumptions!$D$8)*Assumptions!F$19)))</f>
        <v>1.1304347826087</v>
      </c>
      <c r="G47" s="47" t="n">
        <f aca="false">IF(COUNT(G45,Assumptions!$D$7,Assumptions!$D$8,Assumptions!G$19)&lt;4,"",IF(OR(G45&lt;0,Assumptions!$D$7&lt;=Assumptions!$D$8,Assumptions!$D$8&lt;0,Assumptions!G$19&lt;=0),"",G45/((Assumptions!$D$7-Assumptions!$D$8)*Assumptions!G$19)))</f>
        <v>1.1304347826087</v>
      </c>
      <c r="H47" s="47" t="n">
        <f aca="false">IF(COUNT(H45,Assumptions!$D$7,Assumptions!$D$8,Assumptions!H$19)&lt;4,"",IF(OR(H45&lt;0,Assumptions!$D$7&lt;=Assumptions!$D$8,Assumptions!$D$8&lt;0,Assumptions!H$19&lt;=0),"",H45/((Assumptions!$D$7-Assumptions!$D$8)*Assumptions!H$19)))</f>
        <v>1.1304347826087</v>
      </c>
      <c r="I47" s="47" t="n">
        <f aca="false">IF(COUNT(I45,Assumptions!$D$7,Assumptions!$D$8,Assumptions!I$19)&lt;4,"",IF(OR(I45&lt;0,Assumptions!$D$7&lt;=Assumptions!$D$8,Assumptions!$D$8&lt;0,Assumptions!I$19&lt;=0),"",I45/((Assumptions!$D$7-Assumptions!$D$8)*Assumptions!I$19)))</f>
        <v>1.1304347826087</v>
      </c>
      <c r="J47" s="1"/>
    </row>
    <row r="48" customFormat="false" ht="18" hidden="false" customHeight="true" outlineLevel="0" collapsed="false">
      <c r="A48" s="1"/>
      <c r="B48" s="1"/>
      <c r="C48" s="16" t="s">
        <v>56</v>
      </c>
      <c r="D48" s="48"/>
      <c r="E48" s="48"/>
      <c r="F48" s="48"/>
      <c r="G48" s="48"/>
      <c r="H48" s="48"/>
      <c r="I48" s="48"/>
      <c r="J48" s="1"/>
    </row>
    <row r="49" customFormat="false" ht="18" hidden="false" customHeight="true" outlineLevel="0" collapsed="false">
      <c r="A49" s="1"/>
      <c r="B49" s="1"/>
      <c r="C49" s="2" t="s">
        <v>57</v>
      </c>
      <c r="D49" s="49" t="n">
        <f aca="false">IF(D48="",IF(D47="","",D47),IF(AND(ISNUMBER(D48),D48&gt;=0),D48,""))</f>
        <v>1.1304347826087</v>
      </c>
      <c r="E49" s="49" t="n">
        <f aca="false">IF(E48="",IF(E47="","",E47),IF(AND(ISNUMBER(E48),E48&gt;=0),E48,""))</f>
        <v>1.1304347826087</v>
      </c>
      <c r="F49" s="49" t="n">
        <f aca="false">IF(F48="",IF(F47="","",F47),IF(AND(ISNUMBER(F48),F48&gt;=0),F48,""))</f>
        <v>1.1304347826087</v>
      </c>
      <c r="G49" s="49" t="n">
        <f aca="false">IF(G48="",IF(G47="","",G47),IF(AND(ISNUMBER(G48),G48&gt;=0),G48,""))</f>
        <v>1.1304347826087</v>
      </c>
      <c r="H49" s="49" t="n">
        <f aca="false">IF(H48="",IF(H47="","",H47),IF(AND(ISNUMBER(H48),H48&gt;=0),H48,""))</f>
        <v>1.1304347826087</v>
      </c>
      <c r="I49" s="49" t="n">
        <f aca="false">IF(I48="",IF(I47="","",I47),IF(AND(ISNUMBER(I48),I48&gt;=0),I48,""))</f>
        <v>1.1304347826087</v>
      </c>
      <c r="J49" s="1"/>
    </row>
    <row r="50" customFormat="false" ht="18" hidden="false" customHeight="true" outlineLevel="0" collapsed="false">
      <c r="A50" s="1"/>
      <c r="B50" s="1"/>
      <c r="C50" s="16" t="s">
        <v>58</v>
      </c>
      <c r="D50" s="46" t="n">
        <f aca="false">IF(OR(COUNT(D49,Assumptions!$D$7,Assumptions!$D$8,Assumptions!D$19)&lt;4,Assumptions!$D$7&lt;=Assumptions!$D$8,Assumptions!$D$8&lt;0,Assumptions!D$19&lt;=0),"",D49*(Assumptions!$D$7-Assumptions!$D$8)*Assumptions!D$19)</f>
        <v>2080</v>
      </c>
      <c r="E50" s="46" t="n">
        <f aca="false">IF(OR(COUNT(E49,Assumptions!$D$7,Assumptions!$D$8,Assumptions!E$19)&lt;4,Assumptions!$D$7&lt;=Assumptions!$D$8,Assumptions!$D$8&lt;0,Assumptions!E$19&lt;=0),"",E49*(Assumptions!$D$7-Assumptions!$D$8)*Assumptions!E$19)</f>
        <v>2080</v>
      </c>
      <c r="F50" s="46" t="n">
        <f aca="false">IF(OR(COUNT(F49,Assumptions!$D$7,Assumptions!$D$8,Assumptions!F$19)&lt;4,Assumptions!$D$7&lt;=Assumptions!$D$8,Assumptions!$D$8&lt;0,Assumptions!F$19&lt;=0),"",F49*(Assumptions!$D$7-Assumptions!$D$8)*Assumptions!F$19)</f>
        <v>2080</v>
      </c>
      <c r="G50" s="46" t="n">
        <f aca="false">IF(OR(COUNT(G49,Assumptions!$D$7,Assumptions!$D$8,Assumptions!G$19)&lt;4,Assumptions!$D$7&lt;=Assumptions!$D$8,Assumptions!$D$8&lt;0,Assumptions!G$19&lt;=0),"",G49*(Assumptions!$D$7-Assumptions!$D$8)*Assumptions!G$19)</f>
        <v>2080</v>
      </c>
      <c r="H50" s="46" t="n">
        <f aca="false">IF(OR(COUNT(H49,Assumptions!$D$7,Assumptions!$D$8,Assumptions!H$19)&lt;4,Assumptions!$D$7&lt;=Assumptions!$D$8,Assumptions!$D$8&lt;0,Assumptions!H$19&lt;=0),"",H49*(Assumptions!$D$7-Assumptions!$D$8)*Assumptions!H$19)</f>
        <v>2080</v>
      </c>
      <c r="I50" s="46" t="n">
        <f aca="false">IF(OR(COUNT(I49,Assumptions!$D$7,Assumptions!$D$8,Assumptions!I$19)&lt;4,Assumptions!$D$7&lt;=Assumptions!$D$8,Assumptions!$D$8&lt;0,Assumptions!I$19&lt;=0),"",I49*(Assumptions!$D$7-Assumptions!$D$8)*Assumptions!I$19)</f>
        <v>1040</v>
      </c>
      <c r="J50" s="1"/>
    </row>
    <row r="51" customFormat="false" ht="18" hidden="false" customHeight="true" outlineLevel="0" collapsed="false">
      <c r="A51" s="1"/>
      <c r="B51" s="1"/>
      <c r="C51" s="2" t="s">
        <v>59</v>
      </c>
      <c r="D51" s="49" t="n">
        <f aca="false">IF(COUNT(D50,D45)&lt;2,"",D50-D45)</f>
        <v>0</v>
      </c>
      <c r="E51" s="49" t="n">
        <f aca="false">IF(COUNT(E50,E45)&lt;2,"",E50-E45)</f>
        <v>0</v>
      </c>
      <c r="F51" s="49" t="n">
        <f aca="false">IF(COUNT(F50,F45)&lt;2,"",F50-F45)</f>
        <v>0</v>
      </c>
      <c r="G51" s="49" t="n">
        <f aca="false">IF(COUNT(G50,G45)&lt;2,"",G50-G45)</f>
        <v>0</v>
      </c>
      <c r="H51" s="49" t="n">
        <f aca="false">IF(COUNT(H50,H45)&lt;2,"",H50-H45)</f>
        <v>0</v>
      </c>
      <c r="I51" s="49" t="n">
        <f aca="false">IF(COUNT(I50,I45)&lt;2,"",I50-I45)</f>
        <v>0</v>
      </c>
      <c r="J51" s="1"/>
    </row>
    <row r="52" customFormat="false" ht="18" hidden="false" customHeight="true" outlineLevel="0" collapsed="false">
      <c r="A52" s="1"/>
      <c r="B52" s="1"/>
      <c r="C52" s="16" t="s">
        <v>60</v>
      </c>
      <c r="D52" s="46" t="n">
        <f aca="false">IF(OR(COUNT(D49,Assumptions!$D$7,Assumptions!D$19)&lt;3,Assumptions!$D$7&lt;=0,Assumptions!D$19&lt;=0),"",D49*Assumptions!$D$7*Assumptions!D$19)</f>
        <v>2351.30434782609</v>
      </c>
      <c r="E52" s="46" t="n">
        <f aca="false">IF(OR(COUNT(E49,Assumptions!$D$7,Assumptions!E$19)&lt;3,Assumptions!$D$7&lt;=0,Assumptions!E$19&lt;=0),"",E49*Assumptions!$D$7*Assumptions!E$19)</f>
        <v>2351.30434782609</v>
      </c>
      <c r="F52" s="46" t="n">
        <f aca="false">IF(OR(COUNT(F49,Assumptions!$D$7,Assumptions!F$19)&lt;3,Assumptions!$D$7&lt;=0,Assumptions!F$19&lt;=0),"",F49*Assumptions!$D$7*Assumptions!F$19)</f>
        <v>2351.30434782609</v>
      </c>
      <c r="G52" s="46" t="n">
        <f aca="false">IF(OR(COUNT(G49,Assumptions!$D$7,Assumptions!G$19)&lt;3,Assumptions!$D$7&lt;=0,Assumptions!G$19&lt;=0),"",G49*Assumptions!$D$7*Assumptions!G$19)</f>
        <v>2351.30434782609</v>
      </c>
      <c r="H52" s="46" t="n">
        <f aca="false">IF(OR(COUNT(H49,Assumptions!$D$7,Assumptions!H$19)&lt;3,Assumptions!$D$7&lt;=0,Assumptions!H$19&lt;=0),"",H49*Assumptions!$D$7*Assumptions!H$19)</f>
        <v>2351.30434782609</v>
      </c>
      <c r="I52" s="46" t="n">
        <f aca="false">IF(OR(COUNT(I49,Assumptions!$D$7,Assumptions!I$19)&lt;3,Assumptions!$D$7&lt;=0,Assumptions!I$19&lt;=0),"",I49*Assumptions!$D$7*Assumptions!I$19)</f>
        <v>1175.65217391304</v>
      </c>
      <c r="J52" s="1"/>
    </row>
    <row r="53" customFormat="false" ht="30" hidden="false" customHeight="true" outlineLevel="0" collapsed="false">
      <c r="A53" s="1"/>
      <c r="B53" s="1"/>
      <c r="C53" s="2" t="s">
        <v>61</v>
      </c>
      <c r="D53" s="50" t="str">
        <f aca="false">IF(COUNTIFS('Source Data'!$C$21:$C$26,$C44)&lt;&gt;1,"Duplicate / missing role",IF(OR($D44="",COUNT(D45:D46)&lt;2,COUNT(D47,D49,D51)&lt;3),"Missing / invalid",IF(OR(D45&lt;0,D46&lt;0),"Invalid input",IF(D51&lt;-0.01,"Staffing shortfall","Complete"))))</f>
        <v>Complete</v>
      </c>
      <c r="E53" s="50" t="str">
        <f aca="false">IF(COUNTIFS('Source Data'!$C$21:$C$26,$C44)&lt;&gt;1,"Duplicate / missing role",IF(OR($D44="",COUNT(E45:E46)&lt;2,COUNT(E47,E49,E51)&lt;3),"Missing / invalid",IF(OR(E45&lt;0,E46&lt;0),"Invalid input",IF(E51&lt;-0.01,"Staffing shortfall","Complete"))))</f>
        <v>Complete</v>
      </c>
      <c r="F53" s="50" t="str">
        <f aca="false">IF(COUNTIFS('Source Data'!$C$21:$C$26,$C44)&lt;&gt;1,"Duplicate / missing role",IF(OR($D44="",COUNT(F45:F46)&lt;2,COUNT(F47,F49,F51)&lt;3),"Missing / invalid",IF(OR(F45&lt;0,F46&lt;0),"Invalid input",IF(F51&lt;-0.01,"Staffing shortfall","Complete"))))</f>
        <v>Complete</v>
      </c>
      <c r="G53" s="50" t="str">
        <f aca="false">IF(COUNTIFS('Source Data'!$C$21:$C$26,$C44)&lt;&gt;1,"Duplicate / missing role",IF(OR($D44="",COUNT(G45:G46)&lt;2,COUNT(G47,G49,G51)&lt;3),"Missing / invalid",IF(OR(G45&lt;0,G46&lt;0),"Invalid input",IF(G51&lt;-0.01,"Staffing shortfall","Complete"))))</f>
        <v>Complete</v>
      </c>
      <c r="H53" s="50" t="str">
        <f aca="false">IF(COUNTIFS('Source Data'!$C$21:$C$26,$C44)&lt;&gt;1,"Duplicate / missing role",IF(OR($D44="",COUNT(H45:H46)&lt;2,COUNT(H47,H49,H51)&lt;3),"Missing / invalid",IF(OR(H45&lt;0,H46&lt;0),"Invalid input",IF(H51&lt;-0.01,"Staffing shortfall","Complete"))))</f>
        <v>Complete</v>
      </c>
      <c r="I53" s="50" t="str">
        <f aca="false">IF(COUNTIFS('Source Data'!$C$21:$C$26,$C44)&lt;&gt;1,"Duplicate / missing role",IF(OR($D44="",COUNT(I45:I46)&lt;2,COUNT(I47,I49,I51)&lt;3),"Missing / invalid",IF(OR(I45&lt;0,I46&lt;0),"Invalid input",IF(I51&lt;-0.01,"Staffing shortfall","Complete"))))</f>
        <v>Complete</v>
      </c>
      <c r="J53" s="1"/>
    </row>
    <row r="54" customFormat="false" ht="18" hidden="false" customHeight="true" outlineLevel="0" collapsed="false">
      <c r="A54" s="1"/>
      <c r="B54" s="1"/>
      <c r="C54" s="2"/>
      <c r="D54" s="3"/>
      <c r="E54" s="3"/>
      <c r="F54" s="3"/>
      <c r="G54" s="3"/>
      <c r="H54" s="3"/>
      <c r="I54" s="3"/>
      <c r="J54" s="1"/>
    </row>
    <row r="55" customFormat="false" ht="18" hidden="false" customHeight="true" outlineLevel="0" collapsed="false">
      <c r="A55" s="1"/>
      <c r="B55" s="1"/>
      <c r="C55" s="2"/>
      <c r="D55" s="3"/>
      <c r="E55" s="3"/>
      <c r="F55" s="3"/>
      <c r="G55" s="3"/>
      <c r="H55" s="3"/>
      <c r="I55" s="3"/>
      <c r="J55" s="1"/>
    </row>
    <row r="56" customFormat="false" ht="18" hidden="false" customHeight="true" outlineLevel="0" collapsed="false">
      <c r="A56" s="1"/>
      <c r="B56" s="1"/>
      <c r="C56" s="43" t="s">
        <v>65</v>
      </c>
      <c r="D56" s="44" t="str">
        <f aca="false">IF(COUNTIFS('Source Data'!$C$21:$C$26,$C56)&lt;&gt;1,"",IF(INDEX('Source Data'!$D$21:$D$26,MATCH($C56,'Source Data'!$C$21:$C$26,0))="","",INDEX('Source Data'!$D$21:$D$26,MATCH($C56,'Source Data'!$C$21:$C$26,0))))</f>
        <v>Program Analyst II</v>
      </c>
      <c r="E56" s="44"/>
      <c r="F56" s="44"/>
      <c r="G56" s="44"/>
      <c r="H56" s="44"/>
      <c r="I56" s="44"/>
      <c r="J56" s="1"/>
    </row>
    <row r="57" customFormat="false" ht="18" hidden="false" customHeight="true" outlineLevel="0" collapsed="false">
      <c r="A57" s="1"/>
      <c r="B57" s="1"/>
      <c r="C57" s="2" t="s">
        <v>53</v>
      </c>
      <c r="D57" s="45" t="n">
        <f aca="false">IF(COUNTIFS('Source Data'!$C$30:$C$35,$C56)&lt;&gt;1,"",IF(INDEX('Source Data'!$D$30:$D$35,MATCH($C56,'Source Data'!$C$30:$C$35,0))="","",INDEX('Source Data'!$D$30:$D$35,MATCH($C56,'Source Data'!$C$30:$C$35,0))))</f>
        <v>4160</v>
      </c>
      <c r="E57" s="45" t="n">
        <f aca="false">IF(COUNTIFS('Source Data'!$C$30:$C$35,$C56)&lt;&gt;1,"",IF(INDEX('Source Data'!$E$30:$E$35,MATCH($C56,'Source Data'!$C$30:$C$35,0))="","",INDEX('Source Data'!$E$30:$E$35,MATCH($C56,'Source Data'!$C$30:$C$35,0))))</f>
        <v>4160</v>
      </c>
      <c r="F57" s="45" t="n">
        <f aca="false">IF(COUNTIFS('Source Data'!$C$30:$C$35,$C56)&lt;&gt;1,"",IF(INDEX('Source Data'!$F$30:$F$35,MATCH($C56,'Source Data'!$C$30:$C$35,0))="","",INDEX('Source Data'!$F$30:$F$35,MATCH($C56,'Source Data'!$C$30:$C$35,0))))</f>
        <v>4160</v>
      </c>
      <c r="G57" s="45" t="n">
        <f aca="false">IF(COUNTIFS('Source Data'!$C$30:$C$35,$C56)&lt;&gt;1,"",IF(INDEX('Source Data'!$G$30:$G$35,MATCH($C56,'Source Data'!$C$30:$C$35,0))="","",INDEX('Source Data'!$G$30:$G$35,MATCH($C56,'Source Data'!$C$30:$C$35,0))))</f>
        <v>4160</v>
      </c>
      <c r="H57" s="45" t="n">
        <f aca="false">IF(COUNTIFS('Source Data'!$C$30:$C$35,$C56)&lt;&gt;1,"",IF(INDEX('Source Data'!$H$30:$H$35,MATCH($C56,'Source Data'!$C$30:$C$35,0))="","",INDEX('Source Data'!$H$30:$H$35,MATCH($C56,'Source Data'!$C$30:$C$35,0))))</f>
        <v>4160</v>
      </c>
      <c r="I57" s="45" t="n">
        <f aca="false">IF(COUNTIFS('Source Data'!$C$30:$C$35,$C56)&lt;&gt;1,"",IF(INDEX('Source Data'!$I$30:$I$35,MATCH($C56,'Source Data'!$C$30:$C$35,0))="","",INDEX('Source Data'!$I$30:$I$35,MATCH($C56,'Source Data'!$C$30:$C$35,0))))</f>
        <v>2080</v>
      </c>
      <c r="J57" s="1"/>
    </row>
    <row r="58" customFormat="false" ht="18" hidden="false" customHeight="true" outlineLevel="0" collapsed="false">
      <c r="A58" s="1"/>
      <c r="B58" s="1"/>
      <c r="C58" s="16" t="s">
        <v>54</v>
      </c>
      <c r="D58" s="46" t="n">
        <f aca="false">IF(COUNTIFS('Source Data'!$C$21:$C$26,$C56)&lt;&gt;1,"",IF(INDEX('Source Data'!$E$21:$E$26,MATCH($C56,'Source Data'!$C$21:$C$26,0))="","",INDEX('Source Data'!$E$21:$E$26,MATCH($C56,'Source Data'!$C$21:$C$26,0))))</f>
        <v>2</v>
      </c>
      <c r="E58" s="46" t="n">
        <f aca="false">IF(COUNTIFS('Source Data'!$C$21:$C$26,$C56)&lt;&gt;1,"",IF(INDEX('Source Data'!$E$21:$E$26,MATCH($C56,'Source Data'!$C$21:$C$26,0))="","",INDEX('Source Data'!$E$21:$E$26,MATCH($C56,'Source Data'!$C$21:$C$26,0))))</f>
        <v>2</v>
      </c>
      <c r="F58" s="46" t="n">
        <f aca="false">IF(COUNTIFS('Source Data'!$C$21:$C$26,$C56)&lt;&gt;1,"",IF(INDEX('Source Data'!$E$21:$E$26,MATCH($C56,'Source Data'!$C$21:$C$26,0))="","",INDEX('Source Data'!$E$21:$E$26,MATCH($C56,'Source Data'!$C$21:$C$26,0))))</f>
        <v>2</v>
      </c>
      <c r="G58" s="46" t="n">
        <f aca="false">IF(COUNTIFS('Source Data'!$C$21:$C$26,$C56)&lt;&gt;1,"",IF(INDEX('Source Data'!$E$21:$E$26,MATCH($C56,'Source Data'!$C$21:$C$26,0))="","",INDEX('Source Data'!$E$21:$E$26,MATCH($C56,'Source Data'!$C$21:$C$26,0))))</f>
        <v>2</v>
      </c>
      <c r="H58" s="46" t="n">
        <f aca="false">IF(COUNTIFS('Source Data'!$C$21:$C$26,$C56)&lt;&gt;1,"",IF(INDEX('Source Data'!$E$21:$E$26,MATCH($C56,'Source Data'!$C$21:$C$26,0))="","",INDEX('Source Data'!$E$21:$E$26,MATCH($C56,'Source Data'!$C$21:$C$26,0))))</f>
        <v>2</v>
      </c>
      <c r="I58" s="46" t="n">
        <f aca="false">IF(COUNTIFS('Source Data'!$C$21:$C$26,$C56)&lt;&gt;1,"",IF(INDEX('Source Data'!$E$21:$E$26,MATCH($C56,'Source Data'!$C$21:$C$26,0))="","",INDEX('Source Data'!$E$21:$E$26,MATCH($C56,'Source Data'!$C$21:$C$26,0))))</f>
        <v>2</v>
      </c>
      <c r="J58" s="1"/>
    </row>
    <row r="59" customFormat="false" ht="18" hidden="false" customHeight="true" outlineLevel="0" collapsed="false">
      <c r="A59" s="1"/>
      <c r="B59" s="1"/>
      <c r="C59" s="2" t="s">
        <v>55</v>
      </c>
      <c r="D59" s="47" t="n">
        <f aca="false">IF(COUNT(D57,Assumptions!$D$7,Assumptions!$D$8,Assumptions!D$19)&lt;4,"",IF(OR(D57&lt;0,Assumptions!$D$7&lt;=Assumptions!$D$8,Assumptions!$D$8&lt;0,Assumptions!D$19&lt;=0),"",D57/((Assumptions!$D$7-Assumptions!$D$8)*Assumptions!D$19)))</f>
        <v>2.26086956521739</v>
      </c>
      <c r="E59" s="47" t="n">
        <f aca="false">IF(COUNT(E57,Assumptions!$D$7,Assumptions!$D$8,Assumptions!E$19)&lt;4,"",IF(OR(E57&lt;0,Assumptions!$D$7&lt;=Assumptions!$D$8,Assumptions!$D$8&lt;0,Assumptions!E$19&lt;=0),"",E57/((Assumptions!$D$7-Assumptions!$D$8)*Assumptions!E$19)))</f>
        <v>2.26086956521739</v>
      </c>
      <c r="F59" s="47" t="n">
        <f aca="false">IF(COUNT(F57,Assumptions!$D$7,Assumptions!$D$8,Assumptions!F$19)&lt;4,"",IF(OR(F57&lt;0,Assumptions!$D$7&lt;=Assumptions!$D$8,Assumptions!$D$8&lt;0,Assumptions!F$19&lt;=0),"",F57/((Assumptions!$D$7-Assumptions!$D$8)*Assumptions!F$19)))</f>
        <v>2.26086956521739</v>
      </c>
      <c r="G59" s="47" t="n">
        <f aca="false">IF(COUNT(G57,Assumptions!$D$7,Assumptions!$D$8,Assumptions!G$19)&lt;4,"",IF(OR(G57&lt;0,Assumptions!$D$7&lt;=Assumptions!$D$8,Assumptions!$D$8&lt;0,Assumptions!G$19&lt;=0),"",G57/((Assumptions!$D$7-Assumptions!$D$8)*Assumptions!G$19)))</f>
        <v>2.26086956521739</v>
      </c>
      <c r="H59" s="47" t="n">
        <f aca="false">IF(COUNT(H57,Assumptions!$D$7,Assumptions!$D$8,Assumptions!H$19)&lt;4,"",IF(OR(H57&lt;0,Assumptions!$D$7&lt;=Assumptions!$D$8,Assumptions!$D$8&lt;0,Assumptions!H$19&lt;=0),"",H57/((Assumptions!$D$7-Assumptions!$D$8)*Assumptions!H$19)))</f>
        <v>2.26086956521739</v>
      </c>
      <c r="I59" s="47" t="n">
        <f aca="false">IF(COUNT(I57,Assumptions!$D$7,Assumptions!$D$8,Assumptions!I$19)&lt;4,"",IF(OR(I57&lt;0,Assumptions!$D$7&lt;=Assumptions!$D$8,Assumptions!$D$8&lt;0,Assumptions!I$19&lt;=0),"",I57/((Assumptions!$D$7-Assumptions!$D$8)*Assumptions!I$19)))</f>
        <v>2.26086956521739</v>
      </c>
      <c r="J59" s="1"/>
    </row>
    <row r="60" customFormat="false" ht="18" hidden="false" customHeight="true" outlineLevel="0" collapsed="false">
      <c r="A60" s="1"/>
      <c r="B60" s="1"/>
      <c r="C60" s="16" t="s">
        <v>56</v>
      </c>
      <c r="D60" s="48"/>
      <c r="E60" s="48"/>
      <c r="F60" s="48"/>
      <c r="G60" s="48"/>
      <c r="H60" s="48"/>
      <c r="I60" s="48"/>
      <c r="J60" s="1"/>
    </row>
    <row r="61" customFormat="false" ht="18" hidden="false" customHeight="true" outlineLevel="0" collapsed="false">
      <c r="A61" s="1"/>
      <c r="B61" s="1"/>
      <c r="C61" s="2" t="s">
        <v>57</v>
      </c>
      <c r="D61" s="49" t="n">
        <f aca="false">IF(D60="",IF(D59="","",D59),IF(AND(ISNUMBER(D60),D60&gt;=0),D60,""))</f>
        <v>2.26086956521739</v>
      </c>
      <c r="E61" s="49" t="n">
        <f aca="false">IF(E60="",IF(E59="","",E59),IF(AND(ISNUMBER(E60),E60&gt;=0),E60,""))</f>
        <v>2.26086956521739</v>
      </c>
      <c r="F61" s="49" t="n">
        <f aca="false">IF(F60="",IF(F59="","",F59),IF(AND(ISNUMBER(F60),F60&gt;=0),F60,""))</f>
        <v>2.26086956521739</v>
      </c>
      <c r="G61" s="49" t="n">
        <f aca="false">IF(G60="",IF(G59="","",G59),IF(AND(ISNUMBER(G60),G60&gt;=0),G60,""))</f>
        <v>2.26086956521739</v>
      </c>
      <c r="H61" s="49" t="n">
        <f aca="false">IF(H60="",IF(H59="","",H59),IF(AND(ISNUMBER(H60),H60&gt;=0),H60,""))</f>
        <v>2.26086956521739</v>
      </c>
      <c r="I61" s="49" t="n">
        <f aca="false">IF(I60="",IF(I59="","",I59),IF(AND(ISNUMBER(I60),I60&gt;=0),I60,""))</f>
        <v>2.26086956521739</v>
      </c>
      <c r="J61" s="1"/>
    </row>
    <row r="62" customFormat="false" ht="18" hidden="false" customHeight="true" outlineLevel="0" collapsed="false">
      <c r="A62" s="1"/>
      <c r="B62" s="1"/>
      <c r="C62" s="16" t="s">
        <v>58</v>
      </c>
      <c r="D62" s="46" t="n">
        <f aca="false">IF(OR(COUNT(D61,Assumptions!$D$7,Assumptions!$D$8,Assumptions!D$19)&lt;4,Assumptions!$D$7&lt;=Assumptions!$D$8,Assumptions!$D$8&lt;0,Assumptions!D$19&lt;=0),"",D61*(Assumptions!$D$7-Assumptions!$D$8)*Assumptions!D$19)</f>
        <v>4160</v>
      </c>
      <c r="E62" s="46" t="n">
        <f aca="false">IF(OR(COUNT(E61,Assumptions!$D$7,Assumptions!$D$8,Assumptions!E$19)&lt;4,Assumptions!$D$7&lt;=Assumptions!$D$8,Assumptions!$D$8&lt;0,Assumptions!E$19&lt;=0),"",E61*(Assumptions!$D$7-Assumptions!$D$8)*Assumptions!E$19)</f>
        <v>4160</v>
      </c>
      <c r="F62" s="46" t="n">
        <f aca="false">IF(OR(COUNT(F61,Assumptions!$D$7,Assumptions!$D$8,Assumptions!F$19)&lt;4,Assumptions!$D$7&lt;=Assumptions!$D$8,Assumptions!$D$8&lt;0,Assumptions!F$19&lt;=0),"",F61*(Assumptions!$D$7-Assumptions!$D$8)*Assumptions!F$19)</f>
        <v>4160</v>
      </c>
      <c r="G62" s="46" t="n">
        <f aca="false">IF(OR(COUNT(G61,Assumptions!$D$7,Assumptions!$D$8,Assumptions!G$19)&lt;4,Assumptions!$D$7&lt;=Assumptions!$D$8,Assumptions!$D$8&lt;0,Assumptions!G$19&lt;=0),"",G61*(Assumptions!$D$7-Assumptions!$D$8)*Assumptions!G$19)</f>
        <v>4160</v>
      </c>
      <c r="H62" s="46" t="n">
        <f aca="false">IF(OR(COUNT(H61,Assumptions!$D$7,Assumptions!$D$8,Assumptions!H$19)&lt;4,Assumptions!$D$7&lt;=Assumptions!$D$8,Assumptions!$D$8&lt;0,Assumptions!H$19&lt;=0),"",H61*(Assumptions!$D$7-Assumptions!$D$8)*Assumptions!H$19)</f>
        <v>4160</v>
      </c>
      <c r="I62" s="46" t="n">
        <f aca="false">IF(OR(COUNT(I61,Assumptions!$D$7,Assumptions!$D$8,Assumptions!I$19)&lt;4,Assumptions!$D$7&lt;=Assumptions!$D$8,Assumptions!$D$8&lt;0,Assumptions!I$19&lt;=0),"",I61*(Assumptions!$D$7-Assumptions!$D$8)*Assumptions!I$19)</f>
        <v>2080</v>
      </c>
      <c r="J62" s="1"/>
    </row>
    <row r="63" customFormat="false" ht="18" hidden="false" customHeight="true" outlineLevel="0" collapsed="false">
      <c r="A63" s="1"/>
      <c r="B63" s="1"/>
      <c r="C63" s="2" t="s">
        <v>59</v>
      </c>
      <c r="D63" s="49" t="n">
        <f aca="false">IF(COUNT(D62,D57)&lt;2,"",D62-D57)</f>
        <v>0</v>
      </c>
      <c r="E63" s="49" t="n">
        <f aca="false">IF(COUNT(E62,E57)&lt;2,"",E62-E57)</f>
        <v>0</v>
      </c>
      <c r="F63" s="49" t="n">
        <f aca="false">IF(COUNT(F62,F57)&lt;2,"",F62-F57)</f>
        <v>0</v>
      </c>
      <c r="G63" s="49" t="n">
        <f aca="false">IF(COUNT(G62,G57)&lt;2,"",G62-G57)</f>
        <v>0</v>
      </c>
      <c r="H63" s="49" t="n">
        <f aca="false">IF(COUNT(H62,H57)&lt;2,"",H62-H57)</f>
        <v>0</v>
      </c>
      <c r="I63" s="49" t="n">
        <f aca="false">IF(COUNT(I62,I57)&lt;2,"",I62-I57)</f>
        <v>0</v>
      </c>
      <c r="J63" s="1"/>
    </row>
    <row r="64" customFormat="false" ht="18" hidden="false" customHeight="true" outlineLevel="0" collapsed="false">
      <c r="A64" s="1"/>
      <c r="B64" s="1"/>
      <c r="C64" s="16" t="s">
        <v>60</v>
      </c>
      <c r="D64" s="46" t="n">
        <f aca="false">IF(OR(COUNT(D61,Assumptions!$D$7,Assumptions!D$19)&lt;3,Assumptions!$D$7&lt;=0,Assumptions!D$19&lt;=0),"",D61*Assumptions!$D$7*Assumptions!D$19)</f>
        <v>4702.60869565217</v>
      </c>
      <c r="E64" s="46" t="n">
        <f aca="false">IF(OR(COUNT(E61,Assumptions!$D$7,Assumptions!E$19)&lt;3,Assumptions!$D$7&lt;=0,Assumptions!E$19&lt;=0),"",E61*Assumptions!$D$7*Assumptions!E$19)</f>
        <v>4702.60869565217</v>
      </c>
      <c r="F64" s="46" t="n">
        <f aca="false">IF(OR(COUNT(F61,Assumptions!$D$7,Assumptions!F$19)&lt;3,Assumptions!$D$7&lt;=0,Assumptions!F$19&lt;=0),"",F61*Assumptions!$D$7*Assumptions!F$19)</f>
        <v>4702.60869565217</v>
      </c>
      <c r="G64" s="46" t="n">
        <f aca="false">IF(OR(COUNT(G61,Assumptions!$D$7,Assumptions!G$19)&lt;3,Assumptions!$D$7&lt;=0,Assumptions!G$19&lt;=0),"",G61*Assumptions!$D$7*Assumptions!G$19)</f>
        <v>4702.60869565217</v>
      </c>
      <c r="H64" s="46" t="n">
        <f aca="false">IF(OR(COUNT(H61,Assumptions!$D$7,Assumptions!H$19)&lt;3,Assumptions!$D$7&lt;=0,Assumptions!H$19&lt;=0),"",H61*Assumptions!$D$7*Assumptions!H$19)</f>
        <v>4702.60869565217</v>
      </c>
      <c r="I64" s="46" t="n">
        <f aca="false">IF(OR(COUNT(I61,Assumptions!$D$7,Assumptions!I$19)&lt;3,Assumptions!$D$7&lt;=0,Assumptions!I$19&lt;=0),"",I61*Assumptions!$D$7*Assumptions!I$19)</f>
        <v>2351.30434782609</v>
      </c>
      <c r="J64" s="1"/>
    </row>
    <row r="65" customFormat="false" ht="30" hidden="false" customHeight="true" outlineLevel="0" collapsed="false">
      <c r="A65" s="1"/>
      <c r="B65" s="1"/>
      <c r="C65" s="2" t="s">
        <v>61</v>
      </c>
      <c r="D65" s="50" t="str">
        <f aca="false">IF(COUNTIFS('Source Data'!$C$21:$C$26,$C56)&lt;&gt;1,"Duplicate / missing role",IF(OR($D56="",COUNT(D57:D58)&lt;2,COUNT(D59,D61,D63)&lt;3),"Missing / invalid",IF(OR(D57&lt;0,D58&lt;0),"Invalid input",IF(D63&lt;-0.01,"Staffing shortfall","Complete"))))</f>
        <v>Complete</v>
      </c>
      <c r="E65" s="50" t="str">
        <f aca="false">IF(COUNTIFS('Source Data'!$C$21:$C$26,$C56)&lt;&gt;1,"Duplicate / missing role",IF(OR($D56="",COUNT(E57:E58)&lt;2,COUNT(E59,E61,E63)&lt;3),"Missing / invalid",IF(OR(E57&lt;0,E58&lt;0),"Invalid input",IF(E63&lt;-0.01,"Staffing shortfall","Complete"))))</f>
        <v>Complete</v>
      </c>
      <c r="F65" s="50" t="str">
        <f aca="false">IF(COUNTIFS('Source Data'!$C$21:$C$26,$C56)&lt;&gt;1,"Duplicate / missing role",IF(OR($D56="",COUNT(F57:F58)&lt;2,COUNT(F59,F61,F63)&lt;3),"Missing / invalid",IF(OR(F57&lt;0,F58&lt;0),"Invalid input",IF(F63&lt;-0.01,"Staffing shortfall","Complete"))))</f>
        <v>Complete</v>
      </c>
      <c r="G65" s="50" t="str">
        <f aca="false">IF(COUNTIFS('Source Data'!$C$21:$C$26,$C56)&lt;&gt;1,"Duplicate / missing role",IF(OR($D56="",COUNT(G57:G58)&lt;2,COUNT(G59,G61,G63)&lt;3),"Missing / invalid",IF(OR(G57&lt;0,G58&lt;0),"Invalid input",IF(G63&lt;-0.01,"Staffing shortfall","Complete"))))</f>
        <v>Complete</v>
      </c>
      <c r="H65" s="50" t="str">
        <f aca="false">IF(COUNTIFS('Source Data'!$C$21:$C$26,$C56)&lt;&gt;1,"Duplicate / missing role",IF(OR($D56="",COUNT(H57:H58)&lt;2,COUNT(H59,H61,H63)&lt;3),"Missing / invalid",IF(OR(H57&lt;0,H58&lt;0),"Invalid input",IF(H63&lt;-0.01,"Staffing shortfall","Complete"))))</f>
        <v>Complete</v>
      </c>
      <c r="I65" s="50" t="str">
        <f aca="false">IF(COUNTIFS('Source Data'!$C$21:$C$26,$C56)&lt;&gt;1,"Duplicate / missing role",IF(OR($D56="",COUNT(I57:I58)&lt;2,COUNT(I59,I61,I63)&lt;3),"Missing / invalid",IF(OR(I57&lt;0,I58&lt;0),"Invalid input",IF(I63&lt;-0.01,"Staffing shortfall","Complete"))))</f>
        <v>Complete</v>
      </c>
      <c r="J65" s="1"/>
    </row>
    <row r="66" customFormat="false" ht="18" hidden="false" customHeight="true" outlineLevel="0" collapsed="false">
      <c r="A66" s="1"/>
      <c r="B66" s="1"/>
      <c r="C66" s="2"/>
      <c r="D66" s="3"/>
      <c r="E66" s="3"/>
      <c r="F66" s="3"/>
      <c r="G66" s="3"/>
      <c r="H66" s="3"/>
      <c r="I66" s="3"/>
      <c r="J66" s="1"/>
    </row>
    <row r="67" customFormat="false" ht="18" hidden="false" customHeight="true" outlineLevel="0" collapsed="false">
      <c r="A67" s="1"/>
      <c r="B67" s="1"/>
      <c r="C67" s="2"/>
      <c r="D67" s="3"/>
      <c r="E67" s="3"/>
      <c r="F67" s="3"/>
      <c r="G67" s="3"/>
      <c r="H67" s="3"/>
      <c r="I67" s="3"/>
      <c r="J67" s="1"/>
    </row>
    <row r="68" customFormat="false" ht="18" hidden="false" customHeight="true" outlineLevel="0" collapsed="false">
      <c r="A68" s="1"/>
      <c r="B68" s="1"/>
      <c r="C68" s="43" t="s">
        <v>66</v>
      </c>
      <c r="D68" s="44" t="str">
        <f aca="false">IF(COUNTIFS('Source Data'!$C$21:$C$26,$C68)&lt;&gt;1,"",IF(INDEX('Source Data'!$D$21:$D$26,MATCH($C68,'Source Data'!$C$21:$C$26,0))="","",INDEX('Source Data'!$D$21:$D$26,MATCH($C68,'Source Data'!$C$21:$C$26,0))))</f>
        <v>Program Analyst III</v>
      </c>
      <c r="E68" s="44"/>
      <c r="F68" s="44"/>
      <c r="G68" s="44"/>
      <c r="H68" s="44"/>
      <c r="I68" s="44"/>
      <c r="J68" s="1"/>
    </row>
    <row r="69" customFormat="false" ht="18" hidden="false" customHeight="true" outlineLevel="0" collapsed="false">
      <c r="A69" s="1"/>
      <c r="B69" s="1"/>
      <c r="C69" s="2" t="s">
        <v>53</v>
      </c>
      <c r="D69" s="45" t="n">
        <f aca="false">IF(COUNTIFS('Source Data'!$C$30:$C$35,$C68)&lt;&gt;1,"",IF(INDEX('Source Data'!$D$30:$D$35,MATCH($C68,'Source Data'!$C$30:$C$35,0))="","",INDEX('Source Data'!$D$30:$D$35,MATCH($C68,'Source Data'!$C$30:$C$35,0))))</f>
        <v>2080</v>
      </c>
      <c r="E69" s="45" t="n">
        <f aca="false">IF(COUNTIFS('Source Data'!$C$30:$C$35,$C68)&lt;&gt;1,"",IF(INDEX('Source Data'!$E$30:$E$35,MATCH($C68,'Source Data'!$C$30:$C$35,0))="","",INDEX('Source Data'!$E$30:$E$35,MATCH($C68,'Source Data'!$C$30:$C$35,0))))</f>
        <v>2080</v>
      </c>
      <c r="F69" s="45" t="n">
        <f aca="false">IF(COUNTIFS('Source Data'!$C$30:$C$35,$C68)&lt;&gt;1,"",IF(INDEX('Source Data'!$F$30:$F$35,MATCH($C68,'Source Data'!$C$30:$C$35,0))="","",INDEX('Source Data'!$F$30:$F$35,MATCH($C68,'Source Data'!$C$30:$C$35,0))))</f>
        <v>2080</v>
      </c>
      <c r="G69" s="45" t="n">
        <f aca="false">IF(COUNTIFS('Source Data'!$C$30:$C$35,$C68)&lt;&gt;1,"",IF(INDEX('Source Data'!$G$30:$G$35,MATCH($C68,'Source Data'!$C$30:$C$35,0))="","",INDEX('Source Data'!$G$30:$G$35,MATCH($C68,'Source Data'!$C$30:$C$35,0))))</f>
        <v>2080</v>
      </c>
      <c r="H69" s="45" t="n">
        <f aca="false">IF(COUNTIFS('Source Data'!$C$30:$C$35,$C68)&lt;&gt;1,"",IF(INDEX('Source Data'!$H$30:$H$35,MATCH($C68,'Source Data'!$C$30:$C$35,0))="","",INDEX('Source Data'!$H$30:$H$35,MATCH($C68,'Source Data'!$C$30:$C$35,0))))</f>
        <v>2080</v>
      </c>
      <c r="I69" s="45" t="n">
        <f aca="false">IF(COUNTIFS('Source Data'!$C$30:$C$35,$C68)&lt;&gt;1,"",IF(INDEX('Source Data'!$I$30:$I$35,MATCH($C68,'Source Data'!$C$30:$C$35,0))="","",INDEX('Source Data'!$I$30:$I$35,MATCH($C68,'Source Data'!$C$30:$C$35,0))))</f>
        <v>1040</v>
      </c>
      <c r="J69" s="1"/>
    </row>
    <row r="70" customFormat="false" ht="18" hidden="false" customHeight="true" outlineLevel="0" collapsed="false">
      <c r="A70" s="1"/>
      <c r="B70" s="1"/>
      <c r="C70" s="16" t="s">
        <v>54</v>
      </c>
      <c r="D70" s="46" t="n">
        <f aca="false">IF(COUNTIFS('Source Data'!$C$21:$C$26,$C68)&lt;&gt;1,"",IF(INDEX('Source Data'!$E$21:$E$26,MATCH($C68,'Source Data'!$C$21:$C$26,0))="","",INDEX('Source Data'!$E$21:$E$26,MATCH($C68,'Source Data'!$C$21:$C$26,0))))</f>
        <v>1</v>
      </c>
      <c r="E70" s="46" t="n">
        <f aca="false">IF(COUNTIFS('Source Data'!$C$21:$C$26,$C68)&lt;&gt;1,"",IF(INDEX('Source Data'!$E$21:$E$26,MATCH($C68,'Source Data'!$C$21:$C$26,0))="","",INDEX('Source Data'!$E$21:$E$26,MATCH($C68,'Source Data'!$C$21:$C$26,0))))</f>
        <v>1</v>
      </c>
      <c r="F70" s="46" t="n">
        <f aca="false">IF(COUNTIFS('Source Data'!$C$21:$C$26,$C68)&lt;&gt;1,"",IF(INDEX('Source Data'!$E$21:$E$26,MATCH($C68,'Source Data'!$C$21:$C$26,0))="","",INDEX('Source Data'!$E$21:$E$26,MATCH($C68,'Source Data'!$C$21:$C$26,0))))</f>
        <v>1</v>
      </c>
      <c r="G70" s="46" t="n">
        <f aca="false">IF(COUNTIFS('Source Data'!$C$21:$C$26,$C68)&lt;&gt;1,"",IF(INDEX('Source Data'!$E$21:$E$26,MATCH($C68,'Source Data'!$C$21:$C$26,0))="","",INDEX('Source Data'!$E$21:$E$26,MATCH($C68,'Source Data'!$C$21:$C$26,0))))</f>
        <v>1</v>
      </c>
      <c r="H70" s="46" t="n">
        <f aca="false">IF(COUNTIFS('Source Data'!$C$21:$C$26,$C68)&lt;&gt;1,"",IF(INDEX('Source Data'!$E$21:$E$26,MATCH($C68,'Source Data'!$C$21:$C$26,0))="","",INDEX('Source Data'!$E$21:$E$26,MATCH($C68,'Source Data'!$C$21:$C$26,0))))</f>
        <v>1</v>
      </c>
      <c r="I70" s="46" t="n">
        <f aca="false">IF(COUNTIFS('Source Data'!$C$21:$C$26,$C68)&lt;&gt;1,"",IF(INDEX('Source Data'!$E$21:$E$26,MATCH($C68,'Source Data'!$C$21:$C$26,0))="","",INDEX('Source Data'!$E$21:$E$26,MATCH($C68,'Source Data'!$C$21:$C$26,0))))</f>
        <v>1</v>
      </c>
      <c r="J70" s="1"/>
    </row>
    <row r="71" customFormat="false" ht="18" hidden="false" customHeight="true" outlineLevel="0" collapsed="false">
      <c r="A71" s="1"/>
      <c r="B71" s="1"/>
      <c r="C71" s="2" t="s">
        <v>55</v>
      </c>
      <c r="D71" s="47" t="n">
        <f aca="false">IF(COUNT(D69,Assumptions!$D$7,Assumptions!$D$8,Assumptions!D$19)&lt;4,"",IF(OR(D69&lt;0,Assumptions!$D$7&lt;=Assumptions!$D$8,Assumptions!$D$8&lt;0,Assumptions!D$19&lt;=0),"",D69/((Assumptions!$D$7-Assumptions!$D$8)*Assumptions!D$19)))</f>
        <v>1.1304347826087</v>
      </c>
      <c r="E71" s="47" t="n">
        <f aca="false">IF(COUNT(E69,Assumptions!$D$7,Assumptions!$D$8,Assumptions!E$19)&lt;4,"",IF(OR(E69&lt;0,Assumptions!$D$7&lt;=Assumptions!$D$8,Assumptions!$D$8&lt;0,Assumptions!E$19&lt;=0),"",E69/((Assumptions!$D$7-Assumptions!$D$8)*Assumptions!E$19)))</f>
        <v>1.1304347826087</v>
      </c>
      <c r="F71" s="47" t="n">
        <f aca="false">IF(COUNT(F69,Assumptions!$D$7,Assumptions!$D$8,Assumptions!F$19)&lt;4,"",IF(OR(F69&lt;0,Assumptions!$D$7&lt;=Assumptions!$D$8,Assumptions!$D$8&lt;0,Assumptions!F$19&lt;=0),"",F69/((Assumptions!$D$7-Assumptions!$D$8)*Assumptions!F$19)))</f>
        <v>1.1304347826087</v>
      </c>
      <c r="G71" s="47" t="n">
        <f aca="false">IF(COUNT(G69,Assumptions!$D$7,Assumptions!$D$8,Assumptions!G$19)&lt;4,"",IF(OR(G69&lt;0,Assumptions!$D$7&lt;=Assumptions!$D$8,Assumptions!$D$8&lt;0,Assumptions!G$19&lt;=0),"",G69/((Assumptions!$D$7-Assumptions!$D$8)*Assumptions!G$19)))</f>
        <v>1.1304347826087</v>
      </c>
      <c r="H71" s="47" t="n">
        <f aca="false">IF(COUNT(H69,Assumptions!$D$7,Assumptions!$D$8,Assumptions!H$19)&lt;4,"",IF(OR(H69&lt;0,Assumptions!$D$7&lt;=Assumptions!$D$8,Assumptions!$D$8&lt;0,Assumptions!H$19&lt;=0),"",H69/((Assumptions!$D$7-Assumptions!$D$8)*Assumptions!H$19)))</f>
        <v>1.1304347826087</v>
      </c>
      <c r="I71" s="47" t="n">
        <f aca="false">IF(COUNT(I69,Assumptions!$D$7,Assumptions!$D$8,Assumptions!I$19)&lt;4,"",IF(OR(I69&lt;0,Assumptions!$D$7&lt;=Assumptions!$D$8,Assumptions!$D$8&lt;0,Assumptions!I$19&lt;=0),"",I69/((Assumptions!$D$7-Assumptions!$D$8)*Assumptions!I$19)))</f>
        <v>1.1304347826087</v>
      </c>
      <c r="J71" s="1"/>
    </row>
    <row r="72" customFormat="false" ht="18" hidden="false" customHeight="true" outlineLevel="0" collapsed="false">
      <c r="A72" s="1"/>
      <c r="B72" s="1"/>
      <c r="C72" s="16" t="s">
        <v>56</v>
      </c>
      <c r="D72" s="48"/>
      <c r="E72" s="48"/>
      <c r="F72" s="48"/>
      <c r="G72" s="48"/>
      <c r="H72" s="48"/>
      <c r="I72" s="48"/>
      <c r="J72" s="1"/>
    </row>
    <row r="73" customFormat="false" ht="18" hidden="false" customHeight="true" outlineLevel="0" collapsed="false">
      <c r="A73" s="1"/>
      <c r="B73" s="1"/>
      <c r="C73" s="2" t="s">
        <v>57</v>
      </c>
      <c r="D73" s="49" t="n">
        <f aca="false">IF(D72="",IF(D71="","",D71),IF(AND(ISNUMBER(D72),D72&gt;=0),D72,""))</f>
        <v>1.1304347826087</v>
      </c>
      <c r="E73" s="49" t="n">
        <f aca="false">IF(E72="",IF(E71="","",E71),IF(AND(ISNUMBER(E72),E72&gt;=0),E72,""))</f>
        <v>1.1304347826087</v>
      </c>
      <c r="F73" s="49" t="n">
        <f aca="false">IF(F72="",IF(F71="","",F71),IF(AND(ISNUMBER(F72),F72&gt;=0),F72,""))</f>
        <v>1.1304347826087</v>
      </c>
      <c r="G73" s="49" t="n">
        <f aca="false">IF(G72="",IF(G71="","",G71),IF(AND(ISNUMBER(G72),G72&gt;=0),G72,""))</f>
        <v>1.1304347826087</v>
      </c>
      <c r="H73" s="49" t="n">
        <f aca="false">IF(H72="",IF(H71="","",H71),IF(AND(ISNUMBER(H72),H72&gt;=0),H72,""))</f>
        <v>1.1304347826087</v>
      </c>
      <c r="I73" s="49" t="n">
        <f aca="false">IF(I72="",IF(I71="","",I71),IF(AND(ISNUMBER(I72),I72&gt;=0),I72,""))</f>
        <v>1.1304347826087</v>
      </c>
      <c r="J73" s="1"/>
    </row>
    <row r="74" customFormat="false" ht="18" hidden="false" customHeight="true" outlineLevel="0" collapsed="false">
      <c r="A74" s="1"/>
      <c r="B74" s="1"/>
      <c r="C74" s="16" t="s">
        <v>58</v>
      </c>
      <c r="D74" s="46" t="n">
        <f aca="false">IF(OR(COUNT(D73,Assumptions!$D$7,Assumptions!$D$8,Assumptions!D$19)&lt;4,Assumptions!$D$7&lt;=Assumptions!$D$8,Assumptions!$D$8&lt;0,Assumptions!D$19&lt;=0),"",D73*(Assumptions!$D$7-Assumptions!$D$8)*Assumptions!D$19)</f>
        <v>2080</v>
      </c>
      <c r="E74" s="46" t="n">
        <f aca="false">IF(OR(COUNT(E73,Assumptions!$D$7,Assumptions!$D$8,Assumptions!E$19)&lt;4,Assumptions!$D$7&lt;=Assumptions!$D$8,Assumptions!$D$8&lt;0,Assumptions!E$19&lt;=0),"",E73*(Assumptions!$D$7-Assumptions!$D$8)*Assumptions!E$19)</f>
        <v>2080</v>
      </c>
      <c r="F74" s="46" t="n">
        <f aca="false">IF(OR(COUNT(F73,Assumptions!$D$7,Assumptions!$D$8,Assumptions!F$19)&lt;4,Assumptions!$D$7&lt;=Assumptions!$D$8,Assumptions!$D$8&lt;0,Assumptions!F$19&lt;=0),"",F73*(Assumptions!$D$7-Assumptions!$D$8)*Assumptions!F$19)</f>
        <v>2080</v>
      </c>
      <c r="G74" s="46" t="n">
        <f aca="false">IF(OR(COUNT(G73,Assumptions!$D$7,Assumptions!$D$8,Assumptions!G$19)&lt;4,Assumptions!$D$7&lt;=Assumptions!$D$8,Assumptions!$D$8&lt;0,Assumptions!G$19&lt;=0),"",G73*(Assumptions!$D$7-Assumptions!$D$8)*Assumptions!G$19)</f>
        <v>2080</v>
      </c>
      <c r="H74" s="46" t="n">
        <f aca="false">IF(OR(COUNT(H73,Assumptions!$D$7,Assumptions!$D$8,Assumptions!H$19)&lt;4,Assumptions!$D$7&lt;=Assumptions!$D$8,Assumptions!$D$8&lt;0,Assumptions!H$19&lt;=0),"",H73*(Assumptions!$D$7-Assumptions!$D$8)*Assumptions!H$19)</f>
        <v>2080</v>
      </c>
      <c r="I74" s="46" t="n">
        <f aca="false">IF(OR(COUNT(I73,Assumptions!$D$7,Assumptions!$D$8,Assumptions!I$19)&lt;4,Assumptions!$D$7&lt;=Assumptions!$D$8,Assumptions!$D$8&lt;0,Assumptions!I$19&lt;=0),"",I73*(Assumptions!$D$7-Assumptions!$D$8)*Assumptions!I$19)</f>
        <v>1040</v>
      </c>
      <c r="J74" s="1"/>
    </row>
    <row r="75" customFormat="false" ht="18" hidden="false" customHeight="true" outlineLevel="0" collapsed="false">
      <c r="A75" s="1"/>
      <c r="B75" s="1"/>
      <c r="C75" s="2" t="s">
        <v>59</v>
      </c>
      <c r="D75" s="49" t="n">
        <f aca="false">IF(COUNT(D74,D69)&lt;2,"",D74-D69)</f>
        <v>0</v>
      </c>
      <c r="E75" s="49" t="n">
        <f aca="false">IF(COUNT(E74,E69)&lt;2,"",E74-E69)</f>
        <v>0</v>
      </c>
      <c r="F75" s="49" t="n">
        <f aca="false">IF(COUNT(F74,F69)&lt;2,"",F74-F69)</f>
        <v>0</v>
      </c>
      <c r="G75" s="49" t="n">
        <f aca="false">IF(COUNT(G74,G69)&lt;2,"",G74-G69)</f>
        <v>0</v>
      </c>
      <c r="H75" s="49" t="n">
        <f aca="false">IF(COUNT(H74,H69)&lt;2,"",H74-H69)</f>
        <v>0</v>
      </c>
      <c r="I75" s="49" t="n">
        <f aca="false">IF(COUNT(I74,I69)&lt;2,"",I74-I69)</f>
        <v>0</v>
      </c>
      <c r="J75" s="1"/>
    </row>
    <row r="76" customFormat="false" ht="18" hidden="false" customHeight="true" outlineLevel="0" collapsed="false">
      <c r="A76" s="1"/>
      <c r="B76" s="1"/>
      <c r="C76" s="16" t="s">
        <v>60</v>
      </c>
      <c r="D76" s="46" t="n">
        <f aca="false">IF(OR(COUNT(D73,Assumptions!$D$7,Assumptions!D$19)&lt;3,Assumptions!$D$7&lt;=0,Assumptions!D$19&lt;=0),"",D73*Assumptions!$D$7*Assumptions!D$19)</f>
        <v>2351.30434782609</v>
      </c>
      <c r="E76" s="46" t="n">
        <f aca="false">IF(OR(COUNT(E73,Assumptions!$D$7,Assumptions!E$19)&lt;3,Assumptions!$D$7&lt;=0,Assumptions!E$19&lt;=0),"",E73*Assumptions!$D$7*Assumptions!E$19)</f>
        <v>2351.30434782609</v>
      </c>
      <c r="F76" s="46" t="n">
        <f aca="false">IF(OR(COUNT(F73,Assumptions!$D$7,Assumptions!F$19)&lt;3,Assumptions!$D$7&lt;=0,Assumptions!F$19&lt;=0),"",F73*Assumptions!$D$7*Assumptions!F$19)</f>
        <v>2351.30434782609</v>
      </c>
      <c r="G76" s="46" t="n">
        <f aca="false">IF(OR(COUNT(G73,Assumptions!$D$7,Assumptions!G$19)&lt;3,Assumptions!$D$7&lt;=0,Assumptions!G$19&lt;=0),"",G73*Assumptions!$D$7*Assumptions!G$19)</f>
        <v>2351.30434782609</v>
      </c>
      <c r="H76" s="46" t="n">
        <f aca="false">IF(OR(COUNT(H73,Assumptions!$D$7,Assumptions!H$19)&lt;3,Assumptions!$D$7&lt;=0,Assumptions!H$19&lt;=0),"",H73*Assumptions!$D$7*Assumptions!H$19)</f>
        <v>2351.30434782609</v>
      </c>
      <c r="I76" s="46" t="n">
        <f aca="false">IF(OR(COUNT(I73,Assumptions!$D$7,Assumptions!I$19)&lt;3,Assumptions!$D$7&lt;=0,Assumptions!I$19&lt;=0),"",I73*Assumptions!$D$7*Assumptions!I$19)</f>
        <v>1175.65217391304</v>
      </c>
      <c r="J76" s="1"/>
    </row>
    <row r="77" customFormat="false" ht="30" hidden="false" customHeight="true" outlineLevel="0" collapsed="false">
      <c r="A77" s="1"/>
      <c r="B77" s="1"/>
      <c r="C77" s="2" t="s">
        <v>61</v>
      </c>
      <c r="D77" s="50" t="str">
        <f aca="false">IF(COUNTIFS('Source Data'!$C$21:$C$26,$C68)&lt;&gt;1,"Duplicate / missing role",IF(OR($D68="",COUNT(D69:D70)&lt;2,COUNT(D71,D73,D75)&lt;3),"Missing / invalid",IF(OR(D69&lt;0,D70&lt;0),"Invalid input",IF(D75&lt;-0.01,"Staffing shortfall","Complete"))))</f>
        <v>Complete</v>
      </c>
      <c r="E77" s="50" t="str">
        <f aca="false">IF(COUNTIFS('Source Data'!$C$21:$C$26,$C68)&lt;&gt;1,"Duplicate / missing role",IF(OR($D68="",COUNT(E69:E70)&lt;2,COUNT(E71,E73,E75)&lt;3),"Missing / invalid",IF(OR(E69&lt;0,E70&lt;0),"Invalid input",IF(E75&lt;-0.01,"Staffing shortfall","Complete"))))</f>
        <v>Complete</v>
      </c>
      <c r="F77" s="50" t="str">
        <f aca="false">IF(COUNTIFS('Source Data'!$C$21:$C$26,$C68)&lt;&gt;1,"Duplicate / missing role",IF(OR($D68="",COUNT(F69:F70)&lt;2,COUNT(F71,F73,F75)&lt;3),"Missing / invalid",IF(OR(F69&lt;0,F70&lt;0),"Invalid input",IF(F75&lt;-0.01,"Staffing shortfall","Complete"))))</f>
        <v>Complete</v>
      </c>
      <c r="G77" s="50" t="str">
        <f aca="false">IF(COUNTIFS('Source Data'!$C$21:$C$26,$C68)&lt;&gt;1,"Duplicate / missing role",IF(OR($D68="",COUNT(G69:G70)&lt;2,COUNT(G71,G73,G75)&lt;3),"Missing / invalid",IF(OR(G69&lt;0,G70&lt;0),"Invalid input",IF(G75&lt;-0.01,"Staffing shortfall","Complete"))))</f>
        <v>Complete</v>
      </c>
      <c r="H77" s="50" t="str">
        <f aca="false">IF(COUNTIFS('Source Data'!$C$21:$C$26,$C68)&lt;&gt;1,"Duplicate / missing role",IF(OR($D68="",COUNT(H69:H70)&lt;2,COUNT(H71,H73,H75)&lt;3),"Missing / invalid",IF(OR(H69&lt;0,H70&lt;0),"Invalid input",IF(H75&lt;-0.01,"Staffing shortfall","Complete"))))</f>
        <v>Complete</v>
      </c>
      <c r="I77" s="50" t="str">
        <f aca="false">IF(COUNTIFS('Source Data'!$C$21:$C$26,$C68)&lt;&gt;1,"Duplicate / missing role",IF(OR($D68="",COUNT(I69:I70)&lt;2,COUNT(I71,I73,I75)&lt;3),"Missing / invalid",IF(OR(I69&lt;0,I70&lt;0),"Invalid input",IF(I75&lt;-0.01,"Staffing shortfall","Complete"))))</f>
        <v>Complete</v>
      </c>
      <c r="J77" s="1"/>
    </row>
    <row r="78" customFormat="false" ht="18" hidden="false" customHeight="true" outlineLevel="0" collapsed="false">
      <c r="A78" s="1"/>
      <c r="B78" s="1"/>
      <c r="C78" s="2"/>
      <c r="D78" s="3"/>
      <c r="E78" s="3"/>
      <c r="F78" s="3"/>
      <c r="G78" s="3"/>
      <c r="H78" s="3"/>
      <c r="I78" s="3"/>
      <c r="J78" s="1"/>
    </row>
    <row r="79" customFormat="false" ht="18" hidden="false" customHeight="true" outlineLevel="0" collapsed="false">
      <c r="A79" s="1"/>
      <c r="B79" s="1"/>
      <c r="C79" s="2"/>
      <c r="D79" s="3"/>
      <c r="E79" s="3"/>
      <c r="F79" s="3"/>
      <c r="G79" s="3"/>
      <c r="H79" s="3"/>
      <c r="I79" s="3"/>
      <c r="J79" s="1"/>
    </row>
    <row r="80" customFormat="false" ht="18" hidden="false" customHeight="true" outlineLevel="0" collapsed="false">
      <c r="A80" s="1"/>
      <c r="B80" s="1"/>
      <c r="C80" s="2"/>
      <c r="D80" s="3"/>
      <c r="E80" s="3"/>
      <c r="F80" s="3"/>
      <c r="G80" s="3"/>
      <c r="H80" s="3"/>
      <c r="I80" s="3"/>
      <c r="J80" s="1"/>
    </row>
  </sheetData>
  <mergeCells count="6">
    <mergeCell ref="D8:I8"/>
    <mergeCell ref="D20:I20"/>
    <mergeCell ref="D32:I32"/>
    <mergeCell ref="D44:I44"/>
    <mergeCell ref="D56:I56"/>
    <mergeCell ref="D68:I68"/>
  </mergeCells>
  <conditionalFormatting sqref="D15:I15">
    <cfRule type="cellIs" priority="2" operator="lessThan" aboveAverage="0" equalAverage="0" bottom="0" percent="0" rank="0" text="" dxfId="0">
      <formula>-0.01</formula>
    </cfRule>
  </conditionalFormatting>
  <conditionalFormatting sqref="D17:I17">
    <cfRule type="notContainsText" priority="3" operator="notContains" aboveAverage="0" equalAverage="0" bottom="0" percent="0" rank="0" text="Complete" dxfId="1">
      <formula>ISERROR(SEARCH("Complete",D17))</formula>
    </cfRule>
  </conditionalFormatting>
  <conditionalFormatting sqref="D27:I27">
    <cfRule type="cellIs" priority="4" operator="lessThan" aboveAverage="0" equalAverage="0" bottom="0" percent="0" rank="0" text="" dxfId="2">
      <formula>-0.01</formula>
    </cfRule>
  </conditionalFormatting>
  <conditionalFormatting sqref="D29:I29">
    <cfRule type="notContainsText" priority="5" operator="notContains" aboveAverage="0" equalAverage="0" bottom="0" percent="0" rank="0" text="Complete" dxfId="3">
      <formula>ISERROR(SEARCH("Complete",D29))</formula>
    </cfRule>
  </conditionalFormatting>
  <conditionalFormatting sqref="D39:I39">
    <cfRule type="cellIs" priority="6" operator="lessThan" aboveAverage="0" equalAverage="0" bottom="0" percent="0" rank="0" text="" dxfId="4">
      <formula>-0.01</formula>
    </cfRule>
  </conditionalFormatting>
  <conditionalFormatting sqref="D41:I41">
    <cfRule type="notContainsText" priority="7" operator="notContains" aboveAverage="0" equalAverage="0" bottom="0" percent="0" rank="0" text="Complete" dxfId="5">
      <formula>ISERROR(SEARCH("Complete",D41))</formula>
    </cfRule>
  </conditionalFormatting>
  <conditionalFormatting sqref="D51:I51">
    <cfRule type="cellIs" priority="8" operator="lessThan" aboveAverage="0" equalAverage="0" bottom="0" percent="0" rank="0" text="" dxfId="6">
      <formula>-0.01</formula>
    </cfRule>
  </conditionalFormatting>
  <conditionalFormatting sqref="D53:I53">
    <cfRule type="notContainsText" priority="9" operator="notContains" aboveAverage="0" equalAverage="0" bottom="0" percent="0" rank="0" text="Complete" dxfId="7">
      <formula>ISERROR(SEARCH("Complete",D53))</formula>
    </cfRule>
  </conditionalFormatting>
  <conditionalFormatting sqref="D63:I63">
    <cfRule type="cellIs" priority="10" operator="lessThan" aboveAverage="0" equalAverage="0" bottom="0" percent="0" rank="0" text="" dxfId="8">
      <formula>-0.01</formula>
    </cfRule>
  </conditionalFormatting>
  <conditionalFormatting sqref="D65:I65">
    <cfRule type="notContainsText" priority="11" operator="notContains" aboveAverage="0" equalAverage="0" bottom="0" percent="0" rank="0" text="Complete" dxfId="9">
      <formula>ISERROR(SEARCH("Complete",D65))</formula>
    </cfRule>
  </conditionalFormatting>
  <conditionalFormatting sqref="D75:I75">
    <cfRule type="cellIs" priority="12" operator="lessThan" aboveAverage="0" equalAverage="0" bottom="0" percent="0" rank="0" text="" dxfId="10">
      <formula>-0.01</formula>
    </cfRule>
  </conditionalFormatting>
  <conditionalFormatting sqref="D77:I77">
    <cfRule type="notContainsText" priority="13" operator="notContains" aboveAverage="0" equalAverage="0" bottom="0" percent="0" rank="0" text="Complete" dxfId="11">
      <formula>ISERROR(SEARCH("Complete",D77))</formula>
    </cfRule>
  </conditionalFormatting>
  <printOptions headings="false" gridLines="false" gridLinesSet="true" horizontalCentered="true" verticalCentered="false"/>
  <pageMargins left="0.3" right="0.3" top="0.3" bottom="0.3" header="0.511811023622047" footer="0.1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&amp;R&amp;"Calibri"&amp;11Page &amp;P of &amp;N</oddFooter>
  </headerFooter>
  <rowBreaks count="2" manualBreakCount="2">
    <brk id="31" man="true" max="16383" min="0"/>
    <brk id="55" man="true" max="16383" min="0"/>
  </rowBreak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1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2"/>
    <col collapsed="false" customWidth="true" hidden="false" outlineLevel="0" max="3" min="3" style="0" width="38"/>
    <col collapsed="false" customWidth="true" hidden="false" outlineLevel="0" max="9" min="4" style="0" width="18"/>
    <col collapsed="false" customWidth="true" hidden="false" outlineLevel="0" max="10" min="10" style="0" width="2"/>
  </cols>
  <sheetData>
    <row r="1" customFormat="false" ht="18" hidden="false" customHeight="true" outlineLevel="0" collapsed="false">
      <c r="A1" s="1"/>
      <c r="B1" s="1"/>
      <c r="C1" s="2"/>
      <c r="D1" s="3"/>
      <c r="E1" s="3"/>
      <c r="F1" s="3"/>
      <c r="G1" s="3"/>
      <c r="H1" s="3"/>
      <c r="I1" s="3"/>
      <c r="J1" s="1"/>
    </row>
    <row r="2" customFormat="false" ht="28" hidden="false" customHeight="true" outlineLevel="0" collapsed="false">
      <c r="A2" s="1"/>
      <c r="B2" s="1"/>
      <c r="C2" s="4" t="s">
        <v>67</v>
      </c>
      <c r="D2" s="3"/>
      <c r="E2" s="3"/>
      <c r="F2" s="3"/>
      <c r="G2" s="3"/>
      <c r="H2" s="3"/>
      <c r="I2" s="3"/>
      <c r="J2" s="1"/>
    </row>
    <row r="3" customFormat="false" ht="6" hidden="false" customHeight="true" outlineLevel="0" collapsed="false">
      <c r="A3" s="1"/>
      <c r="B3" s="1"/>
      <c r="C3" s="5"/>
      <c r="D3" s="6"/>
      <c r="E3" s="6"/>
      <c r="F3" s="6"/>
      <c r="G3" s="6"/>
      <c r="H3" s="6"/>
      <c r="I3" s="6"/>
      <c r="J3" s="1"/>
    </row>
    <row r="4" customFormat="false" ht="18" hidden="false" customHeight="true" outlineLevel="0" collapsed="false">
      <c r="A4" s="1"/>
      <c r="B4" s="1"/>
      <c r="C4" s="2" t="s">
        <v>1</v>
      </c>
      <c r="D4" s="7" t="str">
        <f aca="false">Assumptions!$D$4</f>
        <v>Base</v>
      </c>
      <c r="E4" s="3"/>
      <c r="F4" s="3"/>
      <c r="G4" s="3"/>
      <c r="H4" s="3"/>
      <c r="I4" s="3"/>
      <c r="J4" s="1"/>
    </row>
    <row r="5" customFormat="false" ht="24" hidden="false" customHeight="true" outlineLevel="0" collapsed="false">
      <c r="A5" s="1"/>
      <c r="B5" s="1"/>
      <c r="C5" s="2"/>
      <c r="D5" s="36" t="s">
        <v>16</v>
      </c>
      <c r="E5" s="36" t="s">
        <v>17</v>
      </c>
      <c r="F5" s="36" t="s">
        <v>18</v>
      </c>
      <c r="G5" s="36" t="s">
        <v>19</v>
      </c>
      <c r="H5" s="36" t="s">
        <v>20</v>
      </c>
      <c r="I5" s="36" t="s">
        <v>21</v>
      </c>
      <c r="J5" s="1"/>
    </row>
    <row r="6" customFormat="false" ht="18" hidden="false" customHeight="true" outlineLevel="0" collapsed="false">
      <c r="A6" s="1"/>
      <c r="B6" s="1"/>
      <c r="C6" s="2"/>
      <c r="D6" s="3"/>
      <c r="E6" s="3"/>
      <c r="F6" s="3"/>
      <c r="G6" s="3"/>
      <c r="H6" s="3"/>
      <c r="I6" s="3"/>
      <c r="J6" s="1"/>
    </row>
    <row r="7" customFormat="false" ht="18" hidden="false" customHeight="true" outlineLevel="0" collapsed="false">
      <c r="A7" s="1"/>
      <c r="B7" s="1"/>
      <c r="C7" s="2"/>
      <c r="D7" s="3"/>
      <c r="E7" s="3"/>
      <c r="F7" s="3"/>
      <c r="G7" s="3"/>
      <c r="H7" s="3"/>
      <c r="I7" s="3"/>
      <c r="J7" s="1"/>
    </row>
    <row r="8" customFormat="false" ht="18" hidden="false" customHeight="true" outlineLevel="0" collapsed="false">
      <c r="A8" s="1"/>
      <c r="B8" s="1"/>
      <c r="C8" s="43" t="s">
        <v>52</v>
      </c>
      <c r="D8" s="44" t="str">
        <f aca="false">IF(COUNTIFS('Source Data'!$C$21:$C$26,$C8)&lt;&gt;1,"",IF(INDEX('Source Data'!$D$21:$D$26,MATCH($C8,'Source Data'!$C$21:$C$26,0))="","",INDEX('Source Data'!$D$21:$D$26,MATCH($C8,'Source Data'!$C$21:$C$26,0))))</f>
        <v>On-Site Supervisor</v>
      </c>
      <c r="E8" s="44"/>
      <c r="F8" s="44"/>
      <c r="G8" s="44"/>
      <c r="H8" s="44"/>
      <c r="I8" s="44"/>
      <c r="J8" s="1"/>
    </row>
    <row r="9" customFormat="false" ht="31" hidden="false" customHeight="true" outlineLevel="0" collapsed="false">
      <c r="A9" s="1"/>
      <c r="B9" s="1"/>
      <c r="C9" s="2" t="s">
        <v>68</v>
      </c>
      <c r="D9" s="51" t="str">
        <f aca="false">IF(COUNTIFS('Source Data'!$C$21:$C$26,$C8)&lt;&gt;1,"",IF(INDEX('Source Data'!$H$21:$H$26,MATCH($C8,'Source Data'!$C$21:$C$26,0))="","",INDEX('Source Data'!$H$21:$H$26,MATCH($C8,'Source Data'!$C$21:$C$26,0))))</f>
        <v>Build from wage</v>
      </c>
      <c r="E9" s="51" t="str">
        <f aca="false">IF(COUNTIFS('Source Data'!$C$21:$C$26,$C8)&lt;&gt;1,"",IF(INDEX('Source Data'!$H$21:$H$26,MATCH($C8,'Source Data'!$C$21:$C$26,0))="","",INDEX('Source Data'!$H$21:$H$26,MATCH($C8,'Source Data'!$C$21:$C$26,0))))</f>
        <v>Build from wage</v>
      </c>
      <c r="F9" s="51" t="str">
        <f aca="false">IF(COUNTIFS('Source Data'!$C$21:$C$26,$C8)&lt;&gt;1,"",IF(INDEX('Source Data'!$H$21:$H$26,MATCH($C8,'Source Data'!$C$21:$C$26,0))="","",INDEX('Source Data'!$H$21:$H$26,MATCH($C8,'Source Data'!$C$21:$C$26,0))))</f>
        <v>Build from wage</v>
      </c>
      <c r="G9" s="51" t="str">
        <f aca="false">IF(COUNTIFS('Source Data'!$C$21:$C$26,$C8)&lt;&gt;1,"",IF(INDEX('Source Data'!$H$21:$H$26,MATCH($C8,'Source Data'!$C$21:$C$26,0))="","",INDEX('Source Data'!$H$21:$H$26,MATCH($C8,'Source Data'!$C$21:$C$26,0))))</f>
        <v>Build from wage</v>
      </c>
      <c r="H9" s="51" t="str">
        <f aca="false">IF(COUNTIFS('Source Data'!$C$21:$C$26,$C8)&lt;&gt;1,"",IF(INDEX('Source Data'!$H$21:$H$26,MATCH($C8,'Source Data'!$C$21:$C$26,0))="","",INDEX('Source Data'!$H$21:$H$26,MATCH($C8,'Source Data'!$C$21:$C$26,0))))</f>
        <v>Build from wage</v>
      </c>
      <c r="I9" s="51" t="str">
        <f aca="false">IF(COUNTIFS('Source Data'!$C$21:$C$26,$C8)&lt;&gt;1,"",IF(INDEX('Source Data'!$H$21:$H$26,MATCH($C8,'Source Data'!$C$21:$C$26,0))="","",INDEX('Source Data'!$H$21:$H$26,MATCH($C8,'Source Data'!$C$21:$C$26,0))))</f>
        <v>Build from wage</v>
      </c>
      <c r="J9" s="1"/>
    </row>
    <row r="10" customFormat="false" ht="18" hidden="false" customHeight="true" outlineLevel="0" collapsed="false">
      <c r="A10" s="1"/>
      <c r="B10" s="1"/>
      <c r="C10" s="16" t="s">
        <v>69</v>
      </c>
      <c r="D10" s="52" t="n">
        <f aca="false">IF(COUNTIFS('Source Data'!$C$21:$C$26,$C8)&lt;&gt;1,"",IF(INDEX('Source Data'!$F$21:$F$26,MATCH($C8,'Source Data'!$C$21:$C$26,0))="","",INDEX('Source Data'!$F$21:$F$26,MATCH($C8,'Source Data'!$C$21:$C$26,0))))</f>
        <v>46.21</v>
      </c>
      <c r="E10" s="52" t="n">
        <f aca="false">IF(COUNTIFS('Source Data'!$C$21:$C$26,$C8)&lt;&gt;1,"",IF(INDEX('Source Data'!$F$21:$F$26,MATCH($C8,'Source Data'!$C$21:$C$26,0))="","",INDEX('Source Data'!$F$21:$F$26,MATCH($C8,'Source Data'!$C$21:$C$26,0))))</f>
        <v>46.21</v>
      </c>
      <c r="F10" s="52" t="n">
        <f aca="false">IF(COUNTIFS('Source Data'!$C$21:$C$26,$C8)&lt;&gt;1,"",IF(INDEX('Source Data'!$F$21:$F$26,MATCH($C8,'Source Data'!$C$21:$C$26,0))="","",INDEX('Source Data'!$F$21:$F$26,MATCH($C8,'Source Data'!$C$21:$C$26,0))))</f>
        <v>46.21</v>
      </c>
      <c r="G10" s="52" t="n">
        <f aca="false">IF(COUNTIFS('Source Data'!$C$21:$C$26,$C8)&lt;&gt;1,"",IF(INDEX('Source Data'!$F$21:$F$26,MATCH($C8,'Source Data'!$C$21:$C$26,0))="","",INDEX('Source Data'!$F$21:$F$26,MATCH($C8,'Source Data'!$C$21:$C$26,0))))</f>
        <v>46.21</v>
      </c>
      <c r="H10" s="52" t="n">
        <f aca="false">IF(COUNTIFS('Source Data'!$C$21:$C$26,$C8)&lt;&gt;1,"",IF(INDEX('Source Data'!$F$21:$F$26,MATCH($C8,'Source Data'!$C$21:$C$26,0))="","",INDEX('Source Data'!$F$21:$F$26,MATCH($C8,'Source Data'!$C$21:$C$26,0))))</f>
        <v>46.21</v>
      </c>
      <c r="I10" s="52" t="n">
        <f aca="false">IF(COUNTIFS('Source Data'!$C$21:$C$26,$C8)&lt;&gt;1,"",IF(INDEX('Source Data'!$F$21:$F$26,MATCH($C8,'Source Data'!$C$21:$C$26,0))="","",INDEX('Source Data'!$F$21:$F$26,MATCH($C8,'Source Data'!$C$21:$C$26,0))))</f>
        <v>46.21</v>
      </c>
      <c r="J10" s="1"/>
    </row>
    <row r="11" customFormat="false" ht="18" hidden="false" customHeight="true" outlineLevel="0" collapsed="false">
      <c r="A11" s="1"/>
      <c r="B11" s="1"/>
      <c r="C11" s="2" t="s">
        <v>70</v>
      </c>
      <c r="D11" s="53" t="n">
        <f aca="false">IF(COUNTIFS('Source Data'!$C$21:$C$26,$C8)&lt;&gt;1,"",IF(INDEX('Source Data'!$G$21:$G$26,MATCH($C8,'Source Data'!$C$21:$C$26,0))="","",INDEX('Source Data'!$G$21:$G$26,MATCH($C8,'Source Data'!$C$21:$C$26,0))))</f>
        <v>2025</v>
      </c>
      <c r="E11" s="53" t="n">
        <f aca="false">IF(COUNTIFS('Source Data'!$C$21:$C$26,$C8)&lt;&gt;1,"",IF(INDEX('Source Data'!$G$21:$G$26,MATCH($C8,'Source Data'!$C$21:$C$26,0))="","",INDEX('Source Data'!$G$21:$G$26,MATCH($C8,'Source Data'!$C$21:$C$26,0))))</f>
        <v>2025</v>
      </c>
      <c r="F11" s="53" t="n">
        <f aca="false">IF(COUNTIFS('Source Data'!$C$21:$C$26,$C8)&lt;&gt;1,"",IF(INDEX('Source Data'!$G$21:$G$26,MATCH($C8,'Source Data'!$C$21:$C$26,0))="","",INDEX('Source Data'!$G$21:$G$26,MATCH($C8,'Source Data'!$C$21:$C$26,0))))</f>
        <v>2025</v>
      </c>
      <c r="G11" s="53" t="n">
        <f aca="false">IF(COUNTIFS('Source Data'!$C$21:$C$26,$C8)&lt;&gt;1,"",IF(INDEX('Source Data'!$G$21:$G$26,MATCH($C8,'Source Data'!$C$21:$C$26,0))="","",INDEX('Source Data'!$G$21:$G$26,MATCH($C8,'Source Data'!$C$21:$C$26,0))))</f>
        <v>2025</v>
      </c>
      <c r="H11" s="53" t="n">
        <f aca="false">IF(COUNTIFS('Source Data'!$C$21:$C$26,$C8)&lt;&gt;1,"",IF(INDEX('Source Data'!$G$21:$G$26,MATCH($C8,'Source Data'!$C$21:$C$26,0))="","",INDEX('Source Data'!$G$21:$G$26,MATCH($C8,'Source Data'!$C$21:$C$26,0))))</f>
        <v>2025</v>
      </c>
      <c r="I11" s="53" t="n">
        <f aca="false">IF(COUNTIFS('Source Data'!$C$21:$C$26,$C8)&lt;&gt;1,"",IF(INDEX('Source Data'!$G$21:$G$26,MATCH($C8,'Source Data'!$C$21:$C$26,0))="","",INDEX('Source Data'!$G$21:$G$26,MATCH($C8,'Source Data'!$C$21:$C$26,0))))</f>
        <v>2025</v>
      </c>
      <c r="J11" s="1"/>
    </row>
    <row r="12" customFormat="false" ht="18" hidden="false" customHeight="true" outlineLevel="0" collapsed="false">
      <c r="A12" s="1"/>
      <c r="B12" s="1"/>
      <c r="C12" s="16" t="s">
        <v>71</v>
      </c>
      <c r="D12" s="54" t="n">
        <f aca="false">IF(COUNT(D11,Assumptions!D$22,Assumptions!D$17)&lt;3,"",IF(OR(Assumptions!D$22&lt;0,Assumptions!D$22&gt;1,YEAR(Assumptions!D$17)&lt;D11),"",(1+Assumptions!D$22)^(YEAR(Assumptions!D$17)-D11)))</f>
        <v>1.03</v>
      </c>
      <c r="E12" s="54" t="n">
        <f aca="false">IF(COUNT(E11,Assumptions!E$22,Assumptions!E$17)&lt;3,"",IF(OR(Assumptions!E$22&lt;0,Assumptions!E$22&gt;1,YEAR(Assumptions!E$17)&lt;E11),"",IF(D12="","",D12*(1+Assumptions!E$22))))</f>
        <v>1.0609</v>
      </c>
      <c r="F12" s="54" t="n">
        <f aca="false">IF(COUNT(F11,Assumptions!F$22,Assumptions!F$17)&lt;3,"",IF(OR(Assumptions!F$22&lt;0,Assumptions!F$22&gt;1,YEAR(Assumptions!F$17)&lt;F11),"",IF(E12="","",E12*(1+Assumptions!F$22))))</f>
        <v>1.092727</v>
      </c>
      <c r="G12" s="54" t="n">
        <f aca="false">IF(COUNT(G11,Assumptions!G$22,Assumptions!G$17)&lt;3,"",IF(OR(Assumptions!G$22&lt;0,Assumptions!G$22&gt;1,YEAR(Assumptions!G$17)&lt;G11),"",IF(F12="","",F12*(1+Assumptions!G$22))))</f>
        <v>1.12550881</v>
      </c>
      <c r="H12" s="54" t="n">
        <f aca="false">IF(COUNT(H11,Assumptions!H$22,Assumptions!H$17)&lt;3,"",IF(OR(Assumptions!H$22&lt;0,Assumptions!H$22&gt;1,YEAR(Assumptions!H$17)&lt;H11),"",IF(G12="","",G12*(1+Assumptions!H$22))))</f>
        <v>1.1592740743</v>
      </c>
      <c r="I12" s="55" t="n">
        <f aca="false">IF(H12="","",H12)</f>
        <v>1.1592740743</v>
      </c>
      <c r="J12" s="1"/>
    </row>
    <row r="13" customFormat="false" ht="18" hidden="false" customHeight="true" outlineLevel="0" collapsed="false">
      <c r="A13" s="1"/>
      <c r="B13" s="1"/>
      <c r="C13" s="2" t="s">
        <v>72</v>
      </c>
      <c r="D13" s="56" t="n">
        <f aca="false">IF(OR(D9&lt;&gt;"Build from wage",COUNT(D10,D12)&lt;2,D10&lt;0),"",D10*D12)</f>
        <v>47.5963</v>
      </c>
      <c r="E13" s="56" t="n">
        <f aca="false">IF(OR(E9&lt;&gt;"Build from wage",COUNT(E10,E12)&lt;2,E10&lt;0),"",E10*E12)</f>
        <v>49.024189</v>
      </c>
      <c r="F13" s="56" t="n">
        <f aca="false">IF(OR(F9&lt;&gt;"Build from wage",COUNT(F10,F12)&lt;2,F10&lt;0),"",F10*F12)</f>
        <v>50.49491467</v>
      </c>
      <c r="G13" s="56" t="n">
        <f aca="false">IF(OR(G9&lt;&gt;"Build from wage",COUNT(G10,G12)&lt;2,G10&lt;0),"",G10*G12)</f>
        <v>52.0097621101</v>
      </c>
      <c r="H13" s="56" t="n">
        <f aca="false">IF(OR(H9&lt;&gt;"Build from wage",COUNT(H10,H12)&lt;2,H10&lt;0),"",H10*H12)</f>
        <v>53.570054973403</v>
      </c>
      <c r="I13" s="56" t="n">
        <f aca="false">IF(OR(I9&lt;&gt;"Build from wage",COUNT(I10,I12)&lt;2,I10&lt;0),"",I10*I12)</f>
        <v>53.570054973403</v>
      </c>
      <c r="J13" s="1"/>
    </row>
    <row r="14" customFormat="false" ht="18" hidden="false" customHeight="true" outlineLevel="0" collapsed="false">
      <c r="A14" s="1"/>
      <c r="B14" s="1"/>
      <c r="C14" s="16" t="s">
        <v>60</v>
      </c>
      <c r="D14" s="46" t="n">
        <f aca="false">IF(Staffing!D16="","",Staffing!D16)</f>
        <v>2351.30434782609</v>
      </c>
      <c r="E14" s="46" t="n">
        <f aca="false">IF(Staffing!E16="","",Staffing!E16)</f>
        <v>2351.30434782609</v>
      </c>
      <c r="F14" s="46" t="n">
        <f aca="false">IF(Staffing!F16="","",Staffing!F16)</f>
        <v>2351.30434782609</v>
      </c>
      <c r="G14" s="46" t="n">
        <f aca="false">IF(Staffing!G16="","",Staffing!G16)</f>
        <v>2351.30434782609</v>
      </c>
      <c r="H14" s="46" t="n">
        <f aca="false">IF(Staffing!H16="","",Staffing!H16)</f>
        <v>2351.30434782609</v>
      </c>
      <c r="I14" s="46" t="n">
        <f aca="false">IF(Staffing!I16="","",Staffing!I16)</f>
        <v>1175.65217391304</v>
      </c>
      <c r="J14" s="1"/>
    </row>
    <row r="15" customFormat="false" ht="18" hidden="false" customHeight="true" outlineLevel="0" collapsed="false">
      <c r="A15" s="1"/>
      <c r="B15" s="1"/>
      <c r="C15" s="2" t="s">
        <v>73</v>
      </c>
      <c r="D15" s="57" t="n">
        <f aca="false">IF(COUNT(D13:D14)&lt;2,"",D13*D14)</f>
        <v>111913.387130435</v>
      </c>
      <c r="E15" s="57" t="n">
        <f aca="false">IF(COUNT(E13:E14)&lt;2,"",E13*E14)</f>
        <v>115270.788744348</v>
      </c>
      <c r="F15" s="57" t="n">
        <f aca="false">IF(COUNT(F13:F14)&lt;2,"",F13*F14)</f>
        <v>118728.912406678</v>
      </c>
      <c r="G15" s="57" t="n">
        <f aca="false">IF(COUNT(G13:G14)&lt;2,"",G13*G14)</f>
        <v>122290.779778879</v>
      </c>
      <c r="H15" s="57" t="n">
        <f aca="false">IF(COUNT(H13:H14)&lt;2,"",H13*H14)</f>
        <v>125959.503172245</v>
      </c>
      <c r="I15" s="57" t="n">
        <f aca="false">IF(COUNT(I13:I14)&lt;2,"",I13*I14)</f>
        <v>62979.7515861225</v>
      </c>
      <c r="J15" s="1"/>
    </row>
    <row r="16" customFormat="false" ht="18" hidden="false" customHeight="true" outlineLevel="0" collapsed="false">
      <c r="A16" s="1"/>
      <c r="B16" s="1"/>
      <c r="C16" s="16" t="s">
        <v>74</v>
      </c>
      <c r="D16" s="58" t="n">
        <f aca="false">IF(OR(COUNT(D15,Assumptions!D$28)&lt;2,Assumptions!D$28&lt;0),"",D15*Assumptions!D$28)</f>
        <v>27978.3467826087</v>
      </c>
      <c r="E16" s="58" t="n">
        <f aca="false">IF(OR(COUNT(E15,Assumptions!E$28)&lt;2,Assumptions!E$28&lt;0),"",E15*Assumptions!E$28)</f>
        <v>28817.697186087</v>
      </c>
      <c r="F16" s="58" t="n">
        <f aca="false">IF(OR(COUNT(F15,Assumptions!F$28)&lt;2,Assumptions!F$28&lt;0),"",F15*Assumptions!F$28)</f>
        <v>29682.2281016696</v>
      </c>
      <c r="G16" s="58" t="n">
        <f aca="false">IF(OR(COUNT(G15,Assumptions!G$28)&lt;2,Assumptions!G$28&lt;0),"",G15*Assumptions!G$28)</f>
        <v>30572.6949447197</v>
      </c>
      <c r="H16" s="58" t="n">
        <f aca="false">IF(OR(COUNT(H15,Assumptions!H$28)&lt;2,Assumptions!H$28&lt;0),"",H15*Assumptions!H$28)</f>
        <v>31489.8757930612</v>
      </c>
      <c r="I16" s="58" t="n">
        <f aca="false">IF(OR(COUNT(I15,Assumptions!I$28)&lt;2,Assumptions!I$28&lt;0),"",I15*Assumptions!I$28)</f>
        <v>15744.9378965306</v>
      </c>
      <c r="J16" s="1"/>
    </row>
    <row r="17" customFormat="false" ht="18" hidden="false" customHeight="true" outlineLevel="0" collapsed="false">
      <c r="A17" s="1"/>
      <c r="B17" s="1"/>
      <c r="C17" s="2" t="s">
        <v>75</v>
      </c>
      <c r="D17" s="59" t="n">
        <f aca="false">IF(OR(D9&lt;&gt;"Build from wage",COUNT(D14,Assumptions!$D$9)&lt;2,Assumptions!$D$9&lt;0),"",D14*Assumptions!$D$9)</f>
        <v>0</v>
      </c>
      <c r="E17" s="59" t="n">
        <f aca="false">IF(OR(E9&lt;&gt;"Build from wage",COUNT(E14,Assumptions!$D$9)&lt;2,Assumptions!$D$9&lt;0),"",E14*Assumptions!$D$9)</f>
        <v>0</v>
      </c>
      <c r="F17" s="59" t="n">
        <f aca="false">IF(OR(F9&lt;&gt;"Build from wage",COUNT(F14,Assumptions!$D$9)&lt;2,Assumptions!$D$9&lt;0),"",F14*Assumptions!$D$9)</f>
        <v>0</v>
      </c>
      <c r="G17" s="59" t="n">
        <f aca="false">IF(OR(G9&lt;&gt;"Build from wage",COUNT(G14,Assumptions!$D$9)&lt;2,Assumptions!$D$9&lt;0),"",G14*Assumptions!$D$9)</f>
        <v>0</v>
      </c>
      <c r="H17" s="59" t="n">
        <f aca="false">IF(OR(H9&lt;&gt;"Build from wage",COUNT(H14,Assumptions!$D$9)&lt;2,Assumptions!$D$9&lt;0),"",H14*Assumptions!$D$9)</f>
        <v>0</v>
      </c>
      <c r="I17" s="59" t="n">
        <f aca="false">IF(OR(I9&lt;&gt;"Build from wage",COUNT(I14,Assumptions!$D$9)&lt;2,Assumptions!$D$9&lt;0),"",I14*Assumptions!$D$9)</f>
        <v>0</v>
      </c>
      <c r="J17" s="1"/>
    </row>
    <row r="18" customFormat="false" ht="18" hidden="false" customHeight="true" outlineLevel="0" collapsed="false">
      <c r="A18" s="1"/>
      <c r="B18" s="1"/>
      <c r="C18" s="16" t="s">
        <v>76</v>
      </c>
      <c r="D18" s="60" t="n">
        <f aca="false">IF(COUNT(D15:D17)&lt;3,"",SUM(D15:D17))</f>
        <v>139891.733913043</v>
      </c>
      <c r="E18" s="60" t="n">
        <f aca="false">IF(COUNT(E15:E17)&lt;3,"",SUM(E15:E17))</f>
        <v>144088.485930435</v>
      </c>
      <c r="F18" s="60" t="n">
        <f aca="false">IF(COUNT(F15:F17)&lt;3,"",SUM(F15:F17))</f>
        <v>148411.140508348</v>
      </c>
      <c r="G18" s="60" t="n">
        <f aca="false">IF(COUNT(G15:G17)&lt;3,"",SUM(G15:G17))</f>
        <v>152863.474723598</v>
      </c>
      <c r="H18" s="60" t="n">
        <f aca="false">IF(COUNT(H15:H17)&lt;3,"",SUM(H15:H17))</f>
        <v>157449.378965306</v>
      </c>
      <c r="I18" s="60" t="n">
        <f aca="false">IF(COUNT(I15:I17)&lt;3,"",SUM(I15:I17))</f>
        <v>78724.6894826531</v>
      </c>
      <c r="J18" s="1"/>
    </row>
    <row r="19" customFormat="false" ht="18" hidden="false" customHeight="true" outlineLevel="0" collapsed="false">
      <c r="A19" s="1"/>
      <c r="B19" s="1"/>
      <c r="C19" s="2" t="s">
        <v>77</v>
      </c>
      <c r="D19" s="59" t="n">
        <f aca="false">IF(OR(COUNT(D18,Assumptions!D$34)&lt;2,Assumptions!D$34&lt;0),"",D18*Assumptions!D$34)</f>
        <v>13989.1733913044</v>
      </c>
      <c r="E19" s="59" t="n">
        <f aca="false">IF(OR(COUNT(E18,Assumptions!E$34)&lt;2,Assumptions!E$34&lt;0),"",E18*Assumptions!E$34)</f>
        <v>14408.8485930435</v>
      </c>
      <c r="F19" s="59" t="n">
        <f aca="false">IF(OR(COUNT(F18,Assumptions!F$34)&lt;2,Assumptions!F$34&lt;0),"",F18*Assumptions!F$34)</f>
        <v>14841.1140508348</v>
      </c>
      <c r="G19" s="59" t="n">
        <f aca="false">IF(OR(COUNT(G18,Assumptions!G$34)&lt;2,Assumptions!G$34&lt;0),"",G18*Assumptions!G$34)</f>
        <v>15286.3474723598</v>
      </c>
      <c r="H19" s="59" t="n">
        <f aca="false">IF(OR(COUNT(H18,Assumptions!H$34)&lt;2,Assumptions!H$34&lt;0),"",H18*Assumptions!H$34)</f>
        <v>15744.9378965306</v>
      </c>
      <c r="I19" s="59" t="n">
        <f aca="false">IF(OR(COUNT(I18,Assumptions!I$34)&lt;2,Assumptions!I$34&lt;0),"",I18*Assumptions!I$34)</f>
        <v>7872.46894826531</v>
      </c>
      <c r="J19" s="1"/>
    </row>
    <row r="20" customFormat="false" ht="18" hidden="false" customHeight="true" outlineLevel="0" collapsed="false">
      <c r="A20" s="1"/>
      <c r="B20" s="1"/>
      <c r="C20" s="16" t="s">
        <v>78</v>
      </c>
      <c r="D20" s="60" t="n">
        <f aca="false">IF(COUNT(D18:D19)&lt;2,"",SUM(D18:D19))</f>
        <v>153880.907304348</v>
      </c>
      <c r="E20" s="60" t="n">
        <f aca="false">IF(COUNT(E18:E19)&lt;2,"",SUM(E18:E19))</f>
        <v>158497.334523478</v>
      </c>
      <c r="F20" s="60" t="n">
        <f aca="false">IF(COUNT(F18:F19)&lt;2,"",SUM(F18:F19))</f>
        <v>163252.254559183</v>
      </c>
      <c r="G20" s="60" t="n">
        <f aca="false">IF(COUNT(G18:G19)&lt;2,"",SUM(G18:G19))</f>
        <v>168149.822195958</v>
      </c>
      <c r="H20" s="60" t="n">
        <f aca="false">IF(COUNT(H18:H19)&lt;2,"",SUM(H18:H19))</f>
        <v>173194.316861837</v>
      </c>
      <c r="I20" s="60" t="n">
        <f aca="false">IF(COUNT(I18:I19)&lt;2,"",SUM(I18:I19))</f>
        <v>86597.1584309184</v>
      </c>
      <c r="J20" s="1"/>
    </row>
    <row r="21" customFormat="false" ht="18" hidden="false" customHeight="true" outlineLevel="0" collapsed="false">
      <c r="A21" s="1"/>
      <c r="B21" s="1"/>
      <c r="C21" s="2" t="s">
        <v>79</v>
      </c>
      <c r="D21" s="59" t="n">
        <f aca="false">IF(OR(COUNT(D20,Assumptions!D$40)&lt;2,Assumptions!D$40&lt;0),"",D20*Assumptions!D$40)</f>
        <v>15388.0907304348</v>
      </c>
      <c r="E21" s="59" t="n">
        <f aca="false">IF(OR(COUNT(E20,Assumptions!E$40)&lt;2,Assumptions!E$40&lt;0),"",E20*Assumptions!E$40)</f>
        <v>15849.7334523478</v>
      </c>
      <c r="F21" s="59" t="n">
        <f aca="false">IF(OR(COUNT(F20,Assumptions!F$40)&lt;2,Assumptions!F$40&lt;0),"",F20*Assumptions!F$40)</f>
        <v>16325.2254559183</v>
      </c>
      <c r="G21" s="59" t="n">
        <f aca="false">IF(OR(COUNT(G20,Assumptions!G$40)&lt;2,Assumptions!G$40&lt;0),"",G20*Assumptions!G$40)</f>
        <v>16814.9822195958</v>
      </c>
      <c r="H21" s="59" t="n">
        <f aca="false">IF(OR(COUNT(H20,Assumptions!H$40)&lt;2,Assumptions!H$40&lt;0),"",H20*Assumptions!H$40)</f>
        <v>17319.4316861837</v>
      </c>
      <c r="I21" s="59" t="n">
        <f aca="false">IF(OR(COUNT(I20,Assumptions!I$40)&lt;2,Assumptions!I$40&lt;0),"",I20*Assumptions!I$40)</f>
        <v>8659.71584309184</v>
      </c>
      <c r="J21" s="1"/>
    </row>
    <row r="22" customFormat="false" ht="18" hidden="false" customHeight="true" outlineLevel="0" collapsed="false">
      <c r="A22" s="1"/>
      <c r="B22" s="1"/>
      <c r="C22" s="16" t="s">
        <v>80</v>
      </c>
      <c r="D22" s="60" t="n">
        <f aca="false">IF(COUNT(D20:D21)&lt;2,"",SUM(D20:D21))</f>
        <v>169268.998034783</v>
      </c>
      <c r="E22" s="60" t="n">
        <f aca="false">IF(COUNT(E20:E21)&lt;2,"",SUM(E20:E21))</f>
        <v>174347.067975826</v>
      </c>
      <c r="F22" s="60" t="n">
        <f aca="false">IF(COUNT(F20:F21)&lt;2,"",SUM(F20:F21))</f>
        <v>179577.480015101</v>
      </c>
      <c r="G22" s="60" t="n">
        <f aca="false">IF(COUNT(G20:G21)&lt;2,"",SUM(G20:G21))</f>
        <v>184964.804415554</v>
      </c>
      <c r="H22" s="60" t="n">
        <f aca="false">IF(COUNT(H20:H21)&lt;2,"",SUM(H20:H21))</f>
        <v>190513.748548021</v>
      </c>
      <c r="I22" s="60" t="n">
        <f aca="false">IF(COUNT(I20:I21)&lt;2,"",SUM(I20:I21))</f>
        <v>95256.8742740103</v>
      </c>
      <c r="J22" s="1"/>
    </row>
    <row r="23" customFormat="false" ht="18" hidden="false" customHeight="true" outlineLevel="0" collapsed="false">
      <c r="A23" s="1"/>
      <c r="B23" s="1"/>
      <c r="C23" s="2" t="s">
        <v>81</v>
      </c>
      <c r="D23" s="59" t="n">
        <f aca="false">IF(OR(COUNT(D22,Assumptions!$D$10)&lt;2,Assumptions!$D$10&lt;0),"",IF(Assumptions!$D$11="Profit on cost",D22*Assumptions!$D$10,IF(Assumptions!$D$11="Margin on sales",IF(Assumptions!$D$10&gt;=1,"",D22/(1-Assumptions!$D$10)-D22),"")))</f>
        <v>16926.8998034783</v>
      </c>
      <c r="E23" s="59" t="n">
        <f aca="false">IF(OR(COUNT(E22,Assumptions!$D$10)&lt;2,Assumptions!$D$10&lt;0),"",IF(Assumptions!$D$11="Profit on cost",E22*Assumptions!$D$10,IF(Assumptions!$D$11="Margin on sales",IF(Assumptions!$D$10&gt;=1,"",E22/(1-Assumptions!$D$10)-E22),"")))</f>
        <v>17434.7067975826</v>
      </c>
      <c r="F23" s="59" t="n">
        <f aca="false">IF(OR(COUNT(F22,Assumptions!$D$10)&lt;2,Assumptions!$D$10&lt;0),"",IF(Assumptions!$D$11="Profit on cost",F22*Assumptions!$D$10,IF(Assumptions!$D$11="Margin on sales",IF(Assumptions!$D$10&gt;=1,"",F22/(1-Assumptions!$D$10)-F22),"")))</f>
        <v>17957.7480015101</v>
      </c>
      <c r="G23" s="59" t="n">
        <f aca="false">IF(OR(COUNT(G22,Assumptions!$D$10)&lt;2,Assumptions!$D$10&lt;0),"",IF(Assumptions!$D$11="Profit on cost",G22*Assumptions!$D$10,IF(Assumptions!$D$11="Margin on sales",IF(Assumptions!$D$10&gt;=1,"",G22/(1-Assumptions!$D$10)-G22),"")))</f>
        <v>18496.4804415554</v>
      </c>
      <c r="H23" s="59" t="n">
        <f aca="false">IF(OR(COUNT(H22,Assumptions!$D$10)&lt;2,Assumptions!$D$10&lt;0),"",IF(Assumptions!$D$11="Profit on cost",H22*Assumptions!$D$10,IF(Assumptions!$D$11="Margin on sales",IF(Assumptions!$D$10&gt;=1,"",H22/(1-Assumptions!$D$10)-H22),"")))</f>
        <v>19051.3748548021</v>
      </c>
      <c r="I23" s="59" t="n">
        <f aca="false">IF(OR(COUNT(I22,Assumptions!$D$10)&lt;2,Assumptions!$D$10&lt;0),"",IF(Assumptions!$D$11="Profit on cost",I22*Assumptions!$D$10,IF(Assumptions!$D$11="Margin on sales",IF(Assumptions!$D$10&gt;=1,"",I22/(1-Assumptions!$D$10)-I22),"")))</f>
        <v>9525.68742740102</v>
      </c>
      <c r="J23" s="1"/>
    </row>
    <row r="24" customFormat="false" ht="18" hidden="false" customHeight="true" outlineLevel="0" collapsed="false">
      <c r="A24" s="1"/>
      <c r="B24" s="1"/>
      <c r="C24" s="16" t="s">
        <v>82</v>
      </c>
      <c r="D24" s="61" t="n">
        <f aca="false">IF(D9="Use supplied loaded rate",IF(COUNTIFS('Source Data'!$C$21:$C$26,$C8)&lt;&gt;1,"",IF(INDEX('Source Data'!$I$21:$I$26,MATCH($C8,'Source Data'!$C$21:$C$26,0))="","",INDEX('Source Data'!$I$21:$I$26,MATCH($C8,'Source Data'!$C$21:$C$26,0)))),IF(OR(D9&lt;&gt;"Build from wage",COUNT(D22:D23)&lt;2,NOT(ISNUMBER(Staffing!D9)),Staffing!D9&lt;=0),"",SUM(D22:D23)/Staffing!D9))</f>
        <v>89.517258576087</v>
      </c>
      <c r="E24" s="61" t="n">
        <f aca="false">IF(E9="Use supplied loaded rate",IF(OR(COUNT(D24,Assumptions!E$46)&lt;2,Assumptions!E$46&lt;0,Assumptions!E$46&gt;1),"",D24*(1+Assumptions!E$46)),IF(OR(E9&lt;&gt;"Build from wage",COUNT(E22:E23)&lt;2,NOT(ISNUMBER(Staffing!E9)),Staffing!E9&lt;=0),"",SUM(E22:E23)/Staffing!E9))</f>
        <v>92.2027763333696</v>
      </c>
      <c r="F24" s="61" t="n">
        <f aca="false">IF(F9="Use supplied loaded rate",IF(OR(COUNT(E24,Assumptions!F$46)&lt;2,Assumptions!F$46&lt;0,Assumptions!F$46&gt;1),"",E24*(1+Assumptions!F$46)),IF(OR(F9&lt;&gt;"Build from wage",COUNT(F22:F23)&lt;2,NOT(ISNUMBER(Staffing!F9)),Staffing!F9&lt;=0),"",SUM(F22:F23)/Staffing!F9))</f>
        <v>94.9688596233707</v>
      </c>
      <c r="G24" s="61" t="n">
        <f aca="false">IF(G9="Use supplied loaded rate",IF(OR(COUNT(F24,Assumptions!G$46)&lt;2,Assumptions!G$46&lt;0,Assumptions!G$46&gt;1),"",F24*(1+Assumptions!G$46)),IF(OR(G9&lt;&gt;"Build from wage",COUNT(G22:G23)&lt;2,NOT(ISNUMBER(Staffing!G9)),Staffing!G9&lt;=0),"",SUM(G22:G23)/Staffing!G9))</f>
        <v>97.8179254120718</v>
      </c>
      <c r="H24" s="61" t="n">
        <f aca="false">IF(H9="Use supplied loaded rate",IF(OR(COUNT(G24,Assumptions!H$46)&lt;2,Assumptions!H$46&lt;0,Assumptions!H$46&gt;1),"",G24*(1+Assumptions!H$46)),IF(OR(H9&lt;&gt;"Build from wage",COUNT(H22:H23)&lt;2,NOT(ISNUMBER(Staffing!H9)),Staffing!H9&lt;=0),"",SUM(H22:H23)/Staffing!H9))</f>
        <v>100.752463174434</v>
      </c>
      <c r="I24" s="61" t="n">
        <f aca="false">IF(I9="Use supplied loaded rate",IF(H24="","",H24),IF(OR(I9&lt;&gt;"Build from wage",COUNT(I22:I23)&lt;2,NOT(ISNUMBER(Staffing!I9)),Staffing!I9&lt;=0),"",SUM(I22:I23)/Staffing!I9))</f>
        <v>100.752463174434</v>
      </c>
      <c r="J24" s="1"/>
    </row>
    <row r="25" customFormat="false" ht="18" hidden="false" customHeight="true" outlineLevel="0" collapsed="false">
      <c r="A25" s="1"/>
      <c r="B25" s="1"/>
      <c r="C25" s="2" t="s">
        <v>83</v>
      </c>
      <c r="D25" s="62"/>
      <c r="E25" s="62"/>
      <c r="F25" s="62"/>
      <c r="G25" s="62"/>
      <c r="H25" s="62"/>
      <c r="I25" s="62"/>
      <c r="J25" s="1"/>
    </row>
    <row r="26" customFormat="false" ht="18" hidden="false" customHeight="true" outlineLevel="0" collapsed="false">
      <c r="A26" s="1"/>
      <c r="B26" s="1"/>
      <c r="C26" s="63" t="s">
        <v>84</v>
      </c>
      <c r="D26" s="64" t="n">
        <f aca="false">IF(D25="",IF(OR(NOT(ISNUMBER(D24)),D24&lt;0),"",ROUND(D24,4)),IF(AND(ISNUMBER(D25),D25&gt;=0),ROUND(D25,4),""))</f>
        <v>89.5173</v>
      </c>
      <c r="E26" s="64" t="n">
        <f aca="false">IF(E25="",IF(OR(NOT(ISNUMBER(E24)),E24&lt;0),"",ROUND(E24,4)),IF(AND(ISNUMBER(E25),E25&gt;=0),ROUND(E25,4),""))</f>
        <v>92.2028</v>
      </c>
      <c r="F26" s="64" t="n">
        <f aca="false">IF(F25="",IF(OR(NOT(ISNUMBER(F24)),F24&lt;0),"",ROUND(F24,4)),IF(AND(ISNUMBER(F25),F25&gt;=0),ROUND(F25,4),""))</f>
        <v>94.9689</v>
      </c>
      <c r="G26" s="64" t="n">
        <f aca="false">IF(G25="",IF(OR(NOT(ISNUMBER(G24)),G24&lt;0),"",ROUND(G24,4)),IF(AND(ISNUMBER(G25),G25&gt;=0),ROUND(G25,4),""))</f>
        <v>97.8179</v>
      </c>
      <c r="H26" s="64" t="n">
        <f aca="false">IF(H25="",IF(OR(NOT(ISNUMBER(H24)),H24&lt;0),"",ROUND(H24,4)),IF(AND(ISNUMBER(H25),H25&gt;=0),ROUND(H25,4),""))</f>
        <v>100.7525</v>
      </c>
      <c r="I26" s="64" t="n">
        <f aca="false">IF(I25="",IF(OR(NOT(ISNUMBER(H26)),H26&lt;0),"",ROUND(H26,4)),IF(AND(ISNUMBER(I25),I25&gt;=0),ROUND(I25,4),""))</f>
        <v>100.7525</v>
      </c>
      <c r="J26" s="1"/>
    </row>
    <row r="27" customFormat="false" ht="32" hidden="false" customHeight="true" outlineLevel="0" collapsed="false">
      <c r="A27" s="1"/>
      <c r="B27" s="1"/>
      <c r="C27" s="2" t="s">
        <v>61</v>
      </c>
      <c r="D27" s="65" t="str">
        <f aca="false">IF(Staffing!D17&lt;&gt;"Complete",Staffing!D17,IF(AND(D9&lt;&gt;"Build from wage",D9&lt;&gt;"Use supplied loaded rate"),"Invalid rate basis",IF(Staffing!D9=0,"Zero hours",IF(D26="","Missing / invalid rate",IF(AND(D9="Build from wage",COUNT(D22:D23)&lt;2),"Missing cost inputs","Complete")))))</f>
        <v>Complete</v>
      </c>
      <c r="E27" s="65" t="str">
        <f aca="false">IF(Staffing!E17&lt;&gt;"Complete",Staffing!E17,IF(AND(E9&lt;&gt;"Build from wage",E9&lt;&gt;"Use supplied loaded rate"),"Invalid rate basis",IF(Staffing!E9=0,"Zero hours",IF(E26="","Missing / invalid rate",IF(AND(E9="Build from wage",COUNT(E22:E23)&lt;2),"Missing cost inputs","Complete")))))</f>
        <v>Complete</v>
      </c>
      <c r="F27" s="65" t="str">
        <f aca="false">IF(Staffing!F17&lt;&gt;"Complete",Staffing!F17,IF(AND(F9&lt;&gt;"Build from wage",F9&lt;&gt;"Use supplied loaded rate"),"Invalid rate basis",IF(Staffing!F9=0,"Zero hours",IF(F26="","Missing / invalid rate",IF(AND(F9="Build from wage",COUNT(F22:F23)&lt;2),"Missing cost inputs","Complete")))))</f>
        <v>Complete</v>
      </c>
      <c r="G27" s="65" t="str">
        <f aca="false">IF(Staffing!G17&lt;&gt;"Complete",Staffing!G17,IF(AND(G9&lt;&gt;"Build from wage",G9&lt;&gt;"Use supplied loaded rate"),"Invalid rate basis",IF(Staffing!G9=0,"Zero hours",IF(G26="","Missing / invalid rate",IF(AND(G9="Build from wage",COUNT(G22:G23)&lt;2),"Missing cost inputs","Complete")))))</f>
        <v>Complete</v>
      </c>
      <c r="H27" s="65" t="str">
        <f aca="false">IF(Staffing!H17&lt;&gt;"Complete",Staffing!H17,IF(AND(H9&lt;&gt;"Build from wage",H9&lt;&gt;"Use supplied loaded rate"),"Invalid rate basis",IF(Staffing!H9=0,"Zero hours",IF(H26="","Missing / invalid rate",IF(AND(H9="Build from wage",COUNT(H22:H23)&lt;2),"Missing cost inputs","Complete")))))</f>
        <v>Complete</v>
      </c>
      <c r="I27" s="65" t="str">
        <f aca="false">IF(Staffing!I17&lt;&gt;"Complete",Staffing!I17,IF(AND(I9&lt;&gt;"Build from wage",I9&lt;&gt;"Use supplied loaded rate"),"Invalid rate basis",IF(Staffing!I9=0,"Zero hours",IF(I26="","Missing / invalid rate",IF(AND(I9="Build from wage",COUNT(I22:I23)&lt;2),"Missing cost inputs","Complete")))))</f>
        <v>Complete</v>
      </c>
      <c r="J27" s="1"/>
    </row>
    <row r="28" customFormat="false" ht="18" hidden="false" customHeight="true" outlineLevel="0" collapsed="false">
      <c r="A28" s="1"/>
      <c r="B28" s="1"/>
      <c r="C28" s="2"/>
      <c r="D28" s="3"/>
      <c r="E28" s="3"/>
      <c r="F28" s="3"/>
      <c r="G28" s="3"/>
      <c r="H28" s="3"/>
      <c r="I28" s="3"/>
      <c r="J28" s="1"/>
    </row>
    <row r="29" customFormat="false" ht="18" hidden="false" customHeight="true" outlineLevel="0" collapsed="false">
      <c r="A29" s="1"/>
      <c r="B29" s="1"/>
      <c r="C29" s="2"/>
      <c r="D29" s="3"/>
      <c r="E29" s="3"/>
      <c r="F29" s="3"/>
      <c r="G29" s="3"/>
      <c r="H29" s="3"/>
      <c r="I29" s="3"/>
      <c r="J29" s="1"/>
    </row>
    <row r="30" customFormat="false" ht="18" hidden="false" customHeight="true" outlineLevel="0" collapsed="false">
      <c r="A30" s="1"/>
      <c r="B30" s="1"/>
      <c r="C30" s="2"/>
      <c r="D30" s="3"/>
      <c r="E30" s="3"/>
      <c r="F30" s="3"/>
      <c r="G30" s="3"/>
      <c r="H30" s="3"/>
      <c r="I30" s="3"/>
      <c r="J30" s="1"/>
    </row>
    <row r="31" customFormat="false" ht="18" hidden="false" customHeight="true" outlineLevel="0" collapsed="false">
      <c r="A31" s="1"/>
      <c r="B31" s="1"/>
      <c r="C31" s="43" t="s">
        <v>62</v>
      </c>
      <c r="D31" s="44" t="str">
        <f aca="false">IF(COUNTIFS('Source Data'!$C$21:$C$26,$C31)&lt;&gt;1,"",IF(INDEX('Source Data'!$D$21:$D$26,MATCH($C31,'Source Data'!$C$21:$C$26,0))="","",INDEX('Source Data'!$D$21:$D$26,MATCH($C31,'Source Data'!$C$21:$C$26,0))))</f>
        <v>Financial Analyst</v>
      </c>
      <c r="E31" s="44"/>
      <c r="F31" s="44"/>
      <c r="G31" s="44"/>
      <c r="H31" s="44"/>
      <c r="I31" s="44"/>
      <c r="J31" s="1"/>
    </row>
    <row r="32" customFormat="false" ht="31" hidden="false" customHeight="true" outlineLevel="0" collapsed="false">
      <c r="A32" s="1"/>
      <c r="B32" s="1"/>
      <c r="C32" s="16" t="s">
        <v>68</v>
      </c>
      <c r="D32" s="66" t="str">
        <f aca="false">IF(COUNTIFS('Source Data'!$C$21:$C$26,$C31)&lt;&gt;1,"",IF(INDEX('Source Data'!$H$21:$H$26,MATCH($C31,'Source Data'!$C$21:$C$26,0))="","",INDEX('Source Data'!$H$21:$H$26,MATCH($C31,'Source Data'!$C$21:$C$26,0))))</f>
        <v>Build from wage</v>
      </c>
      <c r="E32" s="66" t="str">
        <f aca="false">IF(COUNTIFS('Source Data'!$C$21:$C$26,$C31)&lt;&gt;1,"",IF(INDEX('Source Data'!$H$21:$H$26,MATCH($C31,'Source Data'!$C$21:$C$26,0))="","",INDEX('Source Data'!$H$21:$H$26,MATCH($C31,'Source Data'!$C$21:$C$26,0))))</f>
        <v>Build from wage</v>
      </c>
      <c r="F32" s="66" t="str">
        <f aca="false">IF(COUNTIFS('Source Data'!$C$21:$C$26,$C31)&lt;&gt;1,"",IF(INDEX('Source Data'!$H$21:$H$26,MATCH($C31,'Source Data'!$C$21:$C$26,0))="","",INDEX('Source Data'!$H$21:$H$26,MATCH($C31,'Source Data'!$C$21:$C$26,0))))</f>
        <v>Build from wage</v>
      </c>
      <c r="G32" s="66" t="str">
        <f aca="false">IF(COUNTIFS('Source Data'!$C$21:$C$26,$C31)&lt;&gt;1,"",IF(INDEX('Source Data'!$H$21:$H$26,MATCH($C31,'Source Data'!$C$21:$C$26,0))="","",INDEX('Source Data'!$H$21:$H$26,MATCH($C31,'Source Data'!$C$21:$C$26,0))))</f>
        <v>Build from wage</v>
      </c>
      <c r="H32" s="66" t="str">
        <f aca="false">IF(COUNTIFS('Source Data'!$C$21:$C$26,$C31)&lt;&gt;1,"",IF(INDEX('Source Data'!$H$21:$H$26,MATCH($C31,'Source Data'!$C$21:$C$26,0))="","",INDEX('Source Data'!$H$21:$H$26,MATCH($C31,'Source Data'!$C$21:$C$26,0))))</f>
        <v>Build from wage</v>
      </c>
      <c r="I32" s="66" t="str">
        <f aca="false">IF(COUNTIFS('Source Data'!$C$21:$C$26,$C31)&lt;&gt;1,"",IF(INDEX('Source Data'!$H$21:$H$26,MATCH($C31,'Source Data'!$C$21:$C$26,0))="","",INDEX('Source Data'!$H$21:$H$26,MATCH($C31,'Source Data'!$C$21:$C$26,0))))</f>
        <v>Build from wage</v>
      </c>
      <c r="J32" s="1"/>
    </row>
    <row r="33" customFormat="false" ht="18" hidden="false" customHeight="true" outlineLevel="0" collapsed="false">
      <c r="A33" s="1"/>
      <c r="B33" s="1"/>
      <c r="C33" s="2" t="s">
        <v>69</v>
      </c>
      <c r="D33" s="67" t="n">
        <f aca="false">IF(COUNTIFS('Source Data'!$C$21:$C$26,$C31)&lt;&gt;1,"",IF(INDEX('Source Data'!$F$21:$F$26,MATCH($C31,'Source Data'!$C$21:$C$26,0))="","",INDEX('Source Data'!$F$21:$F$26,MATCH($C31,'Source Data'!$C$21:$C$26,0))))</f>
        <v>60.82</v>
      </c>
      <c r="E33" s="67" t="n">
        <f aca="false">IF(COUNTIFS('Source Data'!$C$21:$C$26,$C31)&lt;&gt;1,"",IF(INDEX('Source Data'!$F$21:$F$26,MATCH($C31,'Source Data'!$C$21:$C$26,0))="","",INDEX('Source Data'!$F$21:$F$26,MATCH($C31,'Source Data'!$C$21:$C$26,0))))</f>
        <v>60.82</v>
      </c>
      <c r="F33" s="67" t="n">
        <f aca="false">IF(COUNTIFS('Source Data'!$C$21:$C$26,$C31)&lt;&gt;1,"",IF(INDEX('Source Data'!$F$21:$F$26,MATCH($C31,'Source Data'!$C$21:$C$26,0))="","",INDEX('Source Data'!$F$21:$F$26,MATCH($C31,'Source Data'!$C$21:$C$26,0))))</f>
        <v>60.82</v>
      </c>
      <c r="G33" s="67" t="n">
        <f aca="false">IF(COUNTIFS('Source Data'!$C$21:$C$26,$C31)&lt;&gt;1,"",IF(INDEX('Source Data'!$F$21:$F$26,MATCH($C31,'Source Data'!$C$21:$C$26,0))="","",INDEX('Source Data'!$F$21:$F$26,MATCH($C31,'Source Data'!$C$21:$C$26,0))))</f>
        <v>60.82</v>
      </c>
      <c r="H33" s="67" t="n">
        <f aca="false">IF(COUNTIFS('Source Data'!$C$21:$C$26,$C31)&lt;&gt;1,"",IF(INDEX('Source Data'!$F$21:$F$26,MATCH($C31,'Source Data'!$C$21:$C$26,0))="","",INDEX('Source Data'!$F$21:$F$26,MATCH($C31,'Source Data'!$C$21:$C$26,0))))</f>
        <v>60.82</v>
      </c>
      <c r="I33" s="67" t="n">
        <f aca="false">IF(COUNTIFS('Source Data'!$C$21:$C$26,$C31)&lt;&gt;1,"",IF(INDEX('Source Data'!$F$21:$F$26,MATCH($C31,'Source Data'!$C$21:$C$26,0))="","",INDEX('Source Data'!$F$21:$F$26,MATCH($C31,'Source Data'!$C$21:$C$26,0))))</f>
        <v>60.82</v>
      </c>
      <c r="J33" s="1"/>
    </row>
    <row r="34" customFormat="false" ht="18" hidden="false" customHeight="true" outlineLevel="0" collapsed="false">
      <c r="A34" s="1"/>
      <c r="B34" s="1"/>
      <c r="C34" s="16" t="s">
        <v>70</v>
      </c>
      <c r="D34" s="68" t="n">
        <f aca="false">IF(COUNTIFS('Source Data'!$C$21:$C$26,$C31)&lt;&gt;1,"",IF(INDEX('Source Data'!$G$21:$G$26,MATCH($C31,'Source Data'!$C$21:$C$26,0))="","",INDEX('Source Data'!$G$21:$G$26,MATCH($C31,'Source Data'!$C$21:$C$26,0))))</f>
        <v>2025</v>
      </c>
      <c r="E34" s="68" t="n">
        <f aca="false">IF(COUNTIFS('Source Data'!$C$21:$C$26,$C31)&lt;&gt;1,"",IF(INDEX('Source Data'!$G$21:$G$26,MATCH($C31,'Source Data'!$C$21:$C$26,0))="","",INDEX('Source Data'!$G$21:$G$26,MATCH($C31,'Source Data'!$C$21:$C$26,0))))</f>
        <v>2025</v>
      </c>
      <c r="F34" s="68" t="n">
        <f aca="false">IF(COUNTIFS('Source Data'!$C$21:$C$26,$C31)&lt;&gt;1,"",IF(INDEX('Source Data'!$G$21:$G$26,MATCH($C31,'Source Data'!$C$21:$C$26,0))="","",INDEX('Source Data'!$G$21:$G$26,MATCH($C31,'Source Data'!$C$21:$C$26,0))))</f>
        <v>2025</v>
      </c>
      <c r="G34" s="68" t="n">
        <f aca="false">IF(COUNTIFS('Source Data'!$C$21:$C$26,$C31)&lt;&gt;1,"",IF(INDEX('Source Data'!$G$21:$G$26,MATCH($C31,'Source Data'!$C$21:$C$26,0))="","",INDEX('Source Data'!$G$21:$G$26,MATCH($C31,'Source Data'!$C$21:$C$26,0))))</f>
        <v>2025</v>
      </c>
      <c r="H34" s="68" t="n">
        <f aca="false">IF(COUNTIFS('Source Data'!$C$21:$C$26,$C31)&lt;&gt;1,"",IF(INDEX('Source Data'!$G$21:$G$26,MATCH($C31,'Source Data'!$C$21:$C$26,0))="","",INDEX('Source Data'!$G$21:$G$26,MATCH($C31,'Source Data'!$C$21:$C$26,0))))</f>
        <v>2025</v>
      </c>
      <c r="I34" s="68" t="n">
        <f aca="false">IF(COUNTIFS('Source Data'!$C$21:$C$26,$C31)&lt;&gt;1,"",IF(INDEX('Source Data'!$G$21:$G$26,MATCH($C31,'Source Data'!$C$21:$C$26,0))="","",INDEX('Source Data'!$G$21:$G$26,MATCH($C31,'Source Data'!$C$21:$C$26,0))))</f>
        <v>2025</v>
      </c>
      <c r="J34" s="1"/>
    </row>
    <row r="35" customFormat="false" ht="18" hidden="false" customHeight="true" outlineLevel="0" collapsed="false">
      <c r="A35" s="1"/>
      <c r="B35" s="1"/>
      <c r="C35" s="2" t="s">
        <v>71</v>
      </c>
      <c r="D35" s="69" t="n">
        <f aca="false">IF(COUNT(D34,Assumptions!D$22,Assumptions!D$17)&lt;3,"",IF(OR(Assumptions!D$22&lt;0,Assumptions!D$22&gt;1,YEAR(Assumptions!D$17)&lt;D34),"",(1+Assumptions!D$22)^(YEAR(Assumptions!D$17)-D34)))</f>
        <v>1.03</v>
      </c>
      <c r="E35" s="69" t="n">
        <f aca="false">IF(COUNT(E34,Assumptions!E$22,Assumptions!E$17)&lt;3,"",IF(OR(Assumptions!E$22&lt;0,Assumptions!E$22&gt;1,YEAR(Assumptions!E$17)&lt;E34),"",IF(D35="","",D35*(1+Assumptions!E$22))))</f>
        <v>1.0609</v>
      </c>
      <c r="F35" s="69" t="n">
        <f aca="false">IF(COUNT(F34,Assumptions!F$22,Assumptions!F$17)&lt;3,"",IF(OR(Assumptions!F$22&lt;0,Assumptions!F$22&gt;1,YEAR(Assumptions!F$17)&lt;F34),"",IF(E35="","",E35*(1+Assumptions!F$22))))</f>
        <v>1.092727</v>
      </c>
      <c r="G35" s="69" t="n">
        <f aca="false">IF(COUNT(G34,Assumptions!G$22,Assumptions!G$17)&lt;3,"",IF(OR(Assumptions!G$22&lt;0,Assumptions!G$22&gt;1,YEAR(Assumptions!G$17)&lt;G34),"",IF(F35="","",F35*(1+Assumptions!G$22))))</f>
        <v>1.12550881</v>
      </c>
      <c r="H35" s="69" t="n">
        <f aca="false">IF(COUNT(H34,Assumptions!H$22,Assumptions!H$17)&lt;3,"",IF(OR(Assumptions!H$22&lt;0,Assumptions!H$22&gt;1,YEAR(Assumptions!H$17)&lt;H34),"",IF(G35="","",G35*(1+Assumptions!H$22))))</f>
        <v>1.1592740743</v>
      </c>
      <c r="I35" s="38" t="n">
        <f aca="false">IF(H35="","",H35)</f>
        <v>1.1592740743</v>
      </c>
      <c r="J35" s="1"/>
    </row>
    <row r="36" customFormat="false" ht="18" hidden="false" customHeight="true" outlineLevel="0" collapsed="false">
      <c r="A36" s="1"/>
      <c r="B36" s="1"/>
      <c r="C36" s="16" t="s">
        <v>72</v>
      </c>
      <c r="D36" s="70" t="n">
        <f aca="false">IF(OR(D32&lt;&gt;"Build from wage",COUNT(D33,D35)&lt;2,D33&lt;0),"",D33*D35)</f>
        <v>62.6446</v>
      </c>
      <c r="E36" s="70" t="n">
        <f aca="false">IF(OR(E32&lt;&gt;"Build from wage",COUNT(E33,E35)&lt;2,E33&lt;0),"",E33*E35)</f>
        <v>64.523938</v>
      </c>
      <c r="F36" s="70" t="n">
        <f aca="false">IF(OR(F32&lt;&gt;"Build from wage",COUNT(F33,F35)&lt;2,F33&lt;0),"",F33*F35)</f>
        <v>66.45965614</v>
      </c>
      <c r="G36" s="70" t="n">
        <f aca="false">IF(OR(G32&lt;&gt;"Build from wage",COUNT(G33,G35)&lt;2,G33&lt;0),"",G33*G35)</f>
        <v>68.4534458242</v>
      </c>
      <c r="H36" s="70" t="n">
        <f aca="false">IF(OR(H32&lt;&gt;"Build from wage",COUNT(H33,H35)&lt;2,H33&lt;0),"",H33*H35)</f>
        <v>70.507049198926</v>
      </c>
      <c r="I36" s="70" t="n">
        <f aca="false">IF(OR(I32&lt;&gt;"Build from wage",COUNT(I33,I35)&lt;2,I33&lt;0),"",I33*I35)</f>
        <v>70.507049198926</v>
      </c>
      <c r="J36" s="1"/>
    </row>
    <row r="37" customFormat="false" ht="18" hidden="false" customHeight="true" outlineLevel="0" collapsed="false">
      <c r="A37" s="1"/>
      <c r="B37" s="1"/>
      <c r="C37" s="2" t="s">
        <v>60</v>
      </c>
      <c r="D37" s="45" t="n">
        <f aca="false">IF(Staffing!D28="","",Staffing!D28)</f>
        <v>4702.60869565217</v>
      </c>
      <c r="E37" s="45" t="n">
        <f aca="false">IF(Staffing!E28="","",Staffing!E28)</f>
        <v>4702.60869565217</v>
      </c>
      <c r="F37" s="45" t="n">
        <f aca="false">IF(Staffing!F28="","",Staffing!F28)</f>
        <v>4702.60869565217</v>
      </c>
      <c r="G37" s="45" t="n">
        <f aca="false">IF(Staffing!G28="","",Staffing!G28)</f>
        <v>4702.60869565217</v>
      </c>
      <c r="H37" s="45" t="n">
        <f aca="false">IF(Staffing!H28="","",Staffing!H28)</f>
        <v>4702.60869565217</v>
      </c>
      <c r="I37" s="45" t="n">
        <f aca="false">IF(Staffing!I28="","",Staffing!I28)</f>
        <v>2351.30434782609</v>
      </c>
      <c r="J37" s="1"/>
    </row>
    <row r="38" customFormat="false" ht="18" hidden="false" customHeight="true" outlineLevel="0" collapsed="false">
      <c r="A38" s="1"/>
      <c r="B38" s="1"/>
      <c r="C38" s="16" t="s">
        <v>73</v>
      </c>
      <c r="D38" s="60" t="n">
        <f aca="false">IF(COUNT(D36:D37)&lt;2,"",D36*D37)</f>
        <v>294593.040695652</v>
      </c>
      <c r="E38" s="60" t="n">
        <f aca="false">IF(COUNT(E36:E37)&lt;2,"",E36*E37)</f>
        <v>303430.831916522</v>
      </c>
      <c r="F38" s="60" t="n">
        <f aca="false">IF(COUNT(F36:F37)&lt;2,"",F36*F37)</f>
        <v>312533.756874017</v>
      </c>
      <c r="G38" s="60" t="n">
        <f aca="false">IF(COUNT(G36:G37)&lt;2,"",G36*G37)</f>
        <v>321909.769580238</v>
      </c>
      <c r="H38" s="60" t="n">
        <f aca="false">IF(COUNT(H36:H37)&lt;2,"",H36*H37)</f>
        <v>331567.062667645</v>
      </c>
      <c r="I38" s="60" t="n">
        <f aca="false">IF(COUNT(I36:I37)&lt;2,"",I36*I37)</f>
        <v>165783.531333823</v>
      </c>
      <c r="J38" s="1"/>
    </row>
    <row r="39" customFormat="false" ht="18" hidden="false" customHeight="true" outlineLevel="0" collapsed="false">
      <c r="A39" s="1"/>
      <c r="B39" s="1"/>
      <c r="C39" s="2" t="s">
        <v>74</v>
      </c>
      <c r="D39" s="59" t="n">
        <f aca="false">IF(OR(COUNT(D38,Assumptions!D$28)&lt;2,Assumptions!D$28&lt;0),"",D38*Assumptions!D$28)</f>
        <v>73648.2601739131</v>
      </c>
      <c r="E39" s="59" t="n">
        <f aca="false">IF(OR(COUNT(E38,Assumptions!E$28)&lt;2,Assumptions!E$28&lt;0),"",E38*Assumptions!E$28)</f>
        <v>75857.7079791304</v>
      </c>
      <c r="F39" s="59" t="n">
        <f aca="false">IF(OR(COUNT(F38,Assumptions!F$28)&lt;2,Assumptions!F$28&lt;0),"",F38*Assumptions!F$28)</f>
        <v>78133.4392185044</v>
      </c>
      <c r="G39" s="59" t="n">
        <f aca="false">IF(OR(COUNT(G38,Assumptions!G$28)&lt;2,Assumptions!G$28&lt;0),"",G38*Assumptions!G$28)</f>
        <v>80477.4423950595</v>
      </c>
      <c r="H39" s="59" t="n">
        <f aca="false">IF(OR(COUNT(H38,Assumptions!H$28)&lt;2,Assumptions!H$28&lt;0),"",H38*Assumptions!H$28)</f>
        <v>82891.7656669113</v>
      </c>
      <c r="I39" s="59" t="n">
        <f aca="false">IF(OR(COUNT(I38,Assumptions!I$28)&lt;2,Assumptions!I$28&lt;0),"",I38*Assumptions!I$28)</f>
        <v>41445.8828334556</v>
      </c>
      <c r="J39" s="1"/>
    </row>
    <row r="40" customFormat="false" ht="18" hidden="false" customHeight="true" outlineLevel="0" collapsed="false">
      <c r="A40" s="1"/>
      <c r="B40" s="1"/>
      <c r="C40" s="16" t="s">
        <v>75</v>
      </c>
      <c r="D40" s="58" t="n">
        <f aca="false">IF(OR(D32&lt;&gt;"Build from wage",COUNT(D37,Assumptions!$D$9)&lt;2,Assumptions!$D$9&lt;0),"",D37*Assumptions!$D$9)</f>
        <v>0</v>
      </c>
      <c r="E40" s="58" t="n">
        <f aca="false">IF(OR(E32&lt;&gt;"Build from wage",COUNT(E37,Assumptions!$D$9)&lt;2,Assumptions!$D$9&lt;0),"",E37*Assumptions!$D$9)</f>
        <v>0</v>
      </c>
      <c r="F40" s="58" t="n">
        <f aca="false">IF(OR(F32&lt;&gt;"Build from wage",COUNT(F37,Assumptions!$D$9)&lt;2,Assumptions!$D$9&lt;0),"",F37*Assumptions!$D$9)</f>
        <v>0</v>
      </c>
      <c r="G40" s="58" t="n">
        <f aca="false">IF(OR(G32&lt;&gt;"Build from wage",COUNT(G37,Assumptions!$D$9)&lt;2,Assumptions!$D$9&lt;0),"",G37*Assumptions!$D$9)</f>
        <v>0</v>
      </c>
      <c r="H40" s="58" t="n">
        <f aca="false">IF(OR(H32&lt;&gt;"Build from wage",COUNT(H37,Assumptions!$D$9)&lt;2,Assumptions!$D$9&lt;0),"",H37*Assumptions!$D$9)</f>
        <v>0</v>
      </c>
      <c r="I40" s="58" t="n">
        <f aca="false">IF(OR(I32&lt;&gt;"Build from wage",COUNT(I37,Assumptions!$D$9)&lt;2,Assumptions!$D$9&lt;0),"",I37*Assumptions!$D$9)</f>
        <v>0</v>
      </c>
      <c r="J40" s="1"/>
    </row>
    <row r="41" customFormat="false" ht="18" hidden="false" customHeight="true" outlineLevel="0" collapsed="false">
      <c r="A41" s="1"/>
      <c r="B41" s="1"/>
      <c r="C41" s="2" t="s">
        <v>76</v>
      </c>
      <c r="D41" s="57" t="n">
        <f aca="false">IF(COUNT(D38:D40)&lt;3,"",SUM(D38:D40))</f>
        <v>368241.300869565</v>
      </c>
      <c r="E41" s="57" t="n">
        <f aca="false">IF(COUNT(E38:E40)&lt;3,"",SUM(E38:E40))</f>
        <v>379288.539895652</v>
      </c>
      <c r="F41" s="57" t="n">
        <f aca="false">IF(COUNT(F38:F40)&lt;3,"",SUM(F38:F40))</f>
        <v>390667.196092522</v>
      </c>
      <c r="G41" s="57" t="n">
        <f aca="false">IF(COUNT(G38:G40)&lt;3,"",SUM(G38:G40))</f>
        <v>402387.211975297</v>
      </c>
      <c r="H41" s="57" t="n">
        <f aca="false">IF(COUNT(H38:H40)&lt;3,"",SUM(H38:H40))</f>
        <v>414458.828334556</v>
      </c>
      <c r="I41" s="57" t="n">
        <f aca="false">IF(COUNT(I38:I40)&lt;3,"",SUM(I38:I40))</f>
        <v>207229.414167278</v>
      </c>
      <c r="J41" s="1"/>
    </row>
    <row r="42" customFormat="false" ht="18" hidden="false" customHeight="true" outlineLevel="0" collapsed="false">
      <c r="A42" s="1"/>
      <c r="B42" s="1"/>
      <c r="C42" s="16" t="s">
        <v>77</v>
      </c>
      <c r="D42" s="58" t="n">
        <f aca="false">IF(OR(COUNT(D41,Assumptions!D$34)&lt;2,Assumptions!D$34&lt;0),"",D41*Assumptions!D$34)</f>
        <v>36824.1300869565</v>
      </c>
      <c r="E42" s="58" t="n">
        <f aca="false">IF(OR(COUNT(E41,Assumptions!E$34)&lt;2,Assumptions!E$34&lt;0),"",E41*Assumptions!E$34)</f>
        <v>37928.8539895652</v>
      </c>
      <c r="F42" s="58" t="n">
        <f aca="false">IF(OR(COUNT(F41,Assumptions!F$34)&lt;2,Assumptions!F$34&lt;0),"",F41*Assumptions!F$34)</f>
        <v>39066.7196092522</v>
      </c>
      <c r="G42" s="58" t="n">
        <f aca="false">IF(OR(COUNT(G41,Assumptions!G$34)&lt;2,Assumptions!G$34&lt;0),"",G41*Assumptions!G$34)</f>
        <v>40238.7211975298</v>
      </c>
      <c r="H42" s="58" t="n">
        <f aca="false">IF(OR(COUNT(H41,Assumptions!H$34)&lt;2,Assumptions!H$34&lt;0),"",H41*Assumptions!H$34)</f>
        <v>41445.8828334556</v>
      </c>
      <c r="I42" s="58" t="n">
        <f aca="false">IF(OR(COUNT(I41,Assumptions!I$34)&lt;2,Assumptions!I$34&lt;0),"",I41*Assumptions!I$34)</f>
        <v>20722.9414167278</v>
      </c>
      <c r="J42" s="1"/>
    </row>
    <row r="43" customFormat="false" ht="18" hidden="false" customHeight="true" outlineLevel="0" collapsed="false">
      <c r="A43" s="1"/>
      <c r="B43" s="1"/>
      <c r="C43" s="2" t="s">
        <v>78</v>
      </c>
      <c r="D43" s="57" t="n">
        <f aca="false">IF(COUNT(D41:D42)&lt;2,"",SUM(D41:D42))</f>
        <v>405065.430956522</v>
      </c>
      <c r="E43" s="57" t="n">
        <f aca="false">IF(COUNT(E41:E42)&lt;2,"",SUM(E41:E42))</f>
        <v>417217.393885217</v>
      </c>
      <c r="F43" s="57" t="n">
        <f aca="false">IF(COUNT(F41:F42)&lt;2,"",SUM(F41:F42))</f>
        <v>429733.915701774</v>
      </c>
      <c r="G43" s="57" t="n">
        <f aca="false">IF(COUNT(G41:G42)&lt;2,"",SUM(G41:G42))</f>
        <v>442625.933172827</v>
      </c>
      <c r="H43" s="57" t="n">
        <f aca="false">IF(COUNT(H41:H42)&lt;2,"",SUM(H41:H42))</f>
        <v>455904.711168012</v>
      </c>
      <c r="I43" s="57" t="n">
        <f aca="false">IF(COUNT(I41:I42)&lt;2,"",SUM(I41:I42))</f>
        <v>227952.355584006</v>
      </c>
      <c r="J43" s="1"/>
    </row>
    <row r="44" customFormat="false" ht="18" hidden="false" customHeight="true" outlineLevel="0" collapsed="false">
      <c r="A44" s="1"/>
      <c r="B44" s="1"/>
      <c r="C44" s="16" t="s">
        <v>79</v>
      </c>
      <c r="D44" s="58" t="n">
        <f aca="false">IF(OR(COUNT(D43,Assumptions!D$40)&lt;2,Assumptions!D$40&lt;0),"",D43*Assumptions!D$40)</f>
        <v>40506.5430956522</v>
      </c>
      <c r="E44" s="58" t="n">
        <f aca="false">IF(OR(COUNT(E43,Assumptions!E$40)&lt;2,Assumptions!E$40&lt;0),"",E43*Assumptions!E$40)</f>
        <v>41721.7393885217</v>
      </c>
      <c r="F44" s="58" t="n">
        <f aca="false">IF(OR(COUNT(F43,Assumptions!F$40)&lt;2,Assumptions!F$40&lt;0),"",F43*Assumptions!F$40)</f>
        <v>42973.3915701774</v>
      </c>
      <c r="G44" s="58" t="n">
        <f aca="false">IF(OR(COUNT(G43,Assumptions!G$40)&lt;2,Assumptions!G$40&lt;0),"",G43*Assumptions!G$40)</f>
        <v>44262.5933172827</v>
      </c>
      <c r="H44" s="58" t="n">
        <f aca="false">IF(OR(COUNT(H43,Assumptions!H$40)&lt;2,Assumptions!H$40&lt;0),"",H43*Assumptions!H$40)</f>
        <v>45590.4711168012</v>
      </c>
      <c r="I44" s="58" t="n">
        <f aca="false">IF(OR(COUNT(I43,Assumptions!I$40)&lt;2,Assumptions!I$40&lt;0),"",I43*Assumptions!I$40)</f>
        <v>22795.2355584006</v>
      </c>
      <c r="J44" s="1"/>
    </row>
    <row r="45" customFormat="false" ht="18" hidden="false" customHeight="true" outlineLevel="0" collapsed="false">
      <c r="A45" s="1"/>
      <c r="B45" s="1"/>
      <c r="C45" s="2" t="s">
        <v>80</v>
      </c>
      <c r="D45" s="57" t="n">
        <f aca="false">IF(COUNT(D43:D44)&lt;2,"",SUM(D43:D44))</f>
        <v>445571.974052174</v>
      </c>
      <c r="E45" s="57" t="n">
        <f aca="false">IF(COUNT(E43:E44)&lt;2,"",SUM(E43:E44))</f>
        <v>458939.133273739</v>
      </c>
      <c r="F45" s="57" t="n">
        <f aca="false">IF(COUNT(F43:F44)&lt;2,"",SUM(F43:F44))</f>
        <v>472707.307271951</v>
      </c>
      <c r="G45" s="57" t="n">
        <f aca="false">IF(COUNT(G43:G44)&lt;2,"",SUM(G43:G44))</f>
        <v>486888.52649011</v>
      </c>
      <c r="H45" s="57" t="n">
        <f aca="false">IF(COUNT(H43:H44)&lt;2,"",SUM(H43:H44))</f>
        <v>501495.182284813</v>
      </c>
      <c r="I45" s="57" t="n">
        <f aca="false">IF(COUNT(I43:I44)&lt;2,"",SUM(I43:I44))</f>
        <v>250747.591142407</v>
      </c>
      <c r="J45" s="1"/>
    </row>
    <row r="46" customFormat="false" ht="18" hidden="false" customHeight="true" outlineLevel="0" collapsed="false">
      <c r="A46" s="1"/>
      <c r="B46" s="1"/>
      <c r="C46" s="16" t="s">
        <v>81</v>
      </c>
      <c r="D46" s="58" t="n">
        <f aca="false">IF(OR(COUNT(D45,Assumptions!$D$10)&lt;2,Assumptions!$D$10&lt;0),"",IF(Assumptions!$D$11="Profit on cost",D45*Assumptions!$D$10,IF(Assumptions!$D$11="Margin on sales",IF(Assumptions!$D$10&gt;=1,"",D45/(1-Assumptions!$D$10)-D45),"")))</f>
        <v>44557.1974052174</v>
      </c>
      <c r="E46" s="58" t="n">
        <f aca="false">IF(OR(COUNT(E45,Assumptions!$D$10)&lt;2,Assumptions!$D$10&lt;0),"",IF(Assumptions!$D$11="Profit on cost",E45*Assumptions!$D$10,IF(Assumptions!$D$11="Margin on sales",IF(Assumptions!$D$10&gt;=1,"",E45/(1-Assumptions!$D$10)-E45),"")))</f>
        <v>45893.9133273739</v>
      </c>
      <c r="F46" s="58" t="n">
        <f aca="false">IF(OR(COUNT(F45,Assumptions!$D$10)&lt;2,Assumptions!$D$10&lt;0),"",IF(Assumptions!$D$11="Profit on cost",F45*Assumptions!$D$10,IF(Assumptions!$D$11="Margin on sales",IF(Assumptions!$D$10&gt;=1,"",F45/(1-Assumptions!$D$10)-F45),"")))</f>
        <v>47270.7307271951</v>
      </c>
      <c r="G46" s="58" t="n">
        <f aca="false">IF(OR(COUNT(G45,Assumptions!$D$10)&lt;2,Assumptions!$D$10&lt;0),"",IF(Assumptions!$D$11="Profit on cost",G45*Assumptions!$D$10,IF(Assumptions!$D$11="Margin on sales",IF(Assumptions!$D$10&gt;=1,"",G45/(1-Assumptions!$D$10)-G45),"")))</f>
        <v>48688.852649011</v>
      </c>
      <c r="H46" s="58" t="n">
        <f aca="false">IF(OR(COUNT(H45,Assumptions!$D$10)&lt;2,Assumptions!$D$10&lt;0),"",IF(Assumptions!$D$11="Profit on cost",H45*Assumptions!$D$10,IF(Assumptions!$D$11="Margin on sales",IF(Assumptions!$D$10&gt;=1,"",H45/(1-Assumptions!$D$10)-H45),"")))</f>
        <v>50149.5182284813</v>
      </c>
      <c r="I46" s="58" t="n">
        <f aca="false">IF(OR(COUNT(I45,Assumptions!$D$10)&lt;2,Assumptions!$D$10&lt;0),"",IF(Assumptions!$D$11="Profit on cost",I45*Assumptions!$D$10,IF(Assumptions!$D$11="Margin on sales",IF(Assumptions!$D$10&gt;=1,"",I45/(1-Assumptions!$D$10)-I45),"")))</f>
        <v>25074.7591142407</v>
      </c>
      <c r="J46" s="1"/>
    </row>
    <row r="47" customFormat="false" ht="18" hidden="false" customHeight="true" outlineLevel="0" collapsed="false">
      <c r="A47" s="1"/>
      <c r="B47" s="1"/>
      <c r="C47" s="2" t="s">
        <v>82</v>
      </c>
      <c r="D47" s="71" t="n">
        <f aca="false">IF(D32="Use supplied loaded rate",IF(COUNTIFS('Source Data'!$C$21:$C$26,$C31)&lt;&gt;1,"",IF(INDEX('Source Data'!$I$21:$I$26,MATCH($C31,'Source Data'!$C$21:$C$26,0))="","",INDEX('Source Data'!$I$21:$I$26,MATCH($C31,'Source Data'!$C$21:$C$26,0)))),IF(OR(D32&lt;&gt;"Build from wage",COUNT(D45:D46)&lt;2,NOT(ISNUMBER(Staffing!D21)),Staffing!D21&lt;=0),"",SUM(D45:D46)/Staffing!D21))</f>
        <v>117.819512369565</v>
      </c>
      <c r="E47" s="71" t="n">
        <f aca="false">IF(E32="Use supplied loaded rate",IF(OR(COUNT(D47,Assumptions!E$46)&lt;2,Assumptions!E$46&lt;0,Assumptions!E$46&gt;1),"",D47*(1+Assumptions!E$46)),IF(OR(E32&lt;&gt;"Build from wage",COUNT(E45:E46)&lt;2,NOT(ISNUMBER(Staffing!E21)),Staffing!E21&lt;=0),"",SUM(E45:E46)/Staffing!E21))</f>
        <v>121.354097740652</v>
      </c>
      <c r="F47" s="71" t="n">
        <f aca="false">IF(F32="Use supplied loaded rate",IF(OR(COUNT(E47,Assumptions!F$46)&lt;2,Assumptions!F$46&lt;0,Assumptions!F$46&gt;1),"",E47*(1+Assumptions!F$46)),IF(OR(F32&lt;&gt;"Build from wage",COUNT(F45:F46)&lt;2,NOT(ISNUMBER(Staffing!F21)),Staffing!F21&lt;=0),"",SUM(F45:F46)/Staffing!F21))</f>
        <v>124.994720672872</v>
      </c>
      <c r="G47" s="71" t="n">
        <f aca="false">IF(G32="Use supplied loaded rate",IF(OR(COUNT(F47,Assumptions!G$46)&lt;2,Assumptions!G$46&lt;0,Assumptions!G$46&gt;1),"",F47*(1+Assumptions!G$46)),IF(OR(G32&lt;&gt;"Build from wage",COUNT(G45:G46)&lt;2,NOT(ISNUMBER(Staffing!G21)),Staffing!G21&lt;=0),"",SUM(G45:G46)/Staffing!G21))</f>
        <v>128.744562293058</v>
      </c>
      <c r="H47" s="71" t="n">
        <f aca="false">IF(H32="Use supplied loaded rate",IF(OR(COUNT(G47,Assumptions!H$46)&lt;2,Assumptions!H$46&lt;0,Assumptions!H$46&gt;1),"",G47*(1+Assumptions!H$46)),IF(OR(H32&lt;&gt;"Build from wage",COUNT(H45:H46)&lt;2,NOT(ISNUMBER(Staffing!H21)),Staffing!H21&lt;=0),"",SUM(H45:H46)/Staffing!H21))</f>
        <v>132.60689916185</v>
      </c>
      <c r="I47" s="71" t="n">
        <f aca="false">IF(I32="Use supplied loaded rate",IF(H47="","",H47),IF(OR(I32&lt;&gt;"Build from wage",COUNT(I45:I46)&lt;2,NOT(ISNUMBER(Staffing!I21)),Staffing!I21&lt;=0),"",SUM(I45:I46)/Staffing!I21))</f>
        <v>132.60689916185</v>
      </c>
      <c r="J47" s="1"/>
    </row>
    <row r="48" customFormat="false" ht="18" hidden="false" customHeight="true" outlineLevel="0" collapsed="false">
      <c r="A48" s="1"/>
      <c r="B48" s="1"/>
      <c r="C48" s="16" t="s">
        <v>83</v>
      </c>
      <c r="D48" s="62"/>
      <c r="E48" s="62"/>
      <c r="F48" s="62"/>
      <c r="G48" s="62"/>
      <c r="H48" s="62"/>
      <c r="I48" s="62"/>
      <c r="J48" s="1"/>
    </row>
    <row r="49" customFormat="false" ht="18" hidden="false" customHeight="true" outlineLevel="0" collapsed="false">
      <c r="A49" s="1"/>
      <c r="B49" s="1"/>
      <c r="C49" s="72" t="s">
        <v>84</v>
      </c>
      <c r="D49" s="73" t="n">
        <f aca="false">IF(D48="",IF(OR(NOT(ISNUMBER(D47)),D47&lt;0),"",ROUND(D47,4)),IF(AND(ISNUMBER(D48),D48&gt;=0),ROUND(D48,4),""))</f>
        <v>117.8195</v>
      </c>
      <c r="E49" s="73" t="n">
        <f aca="false">IF(E48="",IF(OR(NOT(ISNUMBER(E47)),E47&lt;0),"",ROUND(E47,4)),IF(AND(ISNUMBER(E48),E48&gt;=0),ROUND(E48,4),""))</f>
        <v>121.3541</v>
      </c>
      <c r="F49" s="73" t="n">
        <f aca="false">IF(F48="",IF(OR(NOT(ISNUMBER(F47)),F47&lt;0),"",ROUND(F47,4)),IF(AND(ISNUMBER(F48),F48&gt;=0),ROUND(F48,4),""))</f>
        <v>124.9947</v>
      </c>
      <c r="G49" s="73" t="n">
        <f aca="false">IF(G48="",IF(OR(NOT(ISNUMBER(G47)),G47&lt;0),"",ROUND(G47,4)),IF(AND(ISNUMBER(G48),G48&gt;=0),ROUND(G48,4),""))</f>
        <v>128.7446</v>
      </c>
      <c r="H49" s="73" t="n">
        <f aca="false">IF(H48="",IF(OR(NOT(ISNUMBER(H47)),H47&lt;0),"",ROUND(H47,4)),IF(AND(ISNUMBER(H48),H48&gt;=0),ROUND(H48,4),""))</f>
        <v>132.6069</v>
      </c>
      <c r="I49" s="73" t="n">
        <f aca="false">IF(I48="",IF(OR(NOT(ISNUMBER(H49)),H49&lt;0),"",ROUND(H49,4)),IF(AND(ISNUMBER(I48),I48&gt;=0),ROUND(I48,4),""))</f>
        <v>132.6069</v>
      </c>
      <c r="J49" s="1"/>
    </row>
    <row r="50" customFormat="false" ht="32" hidden="false" customHeight="true" outlineLevel="0" collapsed="false">
      <c r="A50" s="1"/>
      <c r="B50" s="1"/>
      <c r="C50" s="16" t="s">
        <v>61</v>
      </c>
      <c r="D50" s="74" t="str">
        <f aca="false">IF(Staffing!D29&lt;&gt;"Complete",Staffing!D29,IF(AND(D32&lt;&gt;"Build from wage",D32&lt;&gt;"Use supplied loaded rate"),"Invalid rate basis",IF(Staffing!D21=0,"Zero hours",IF(D49="","Missing / invalid rate",IF(AND(D32="Build from wage",COUNT(D45:D46)&lt;2),"Missing cost inputs","Complete")))))</f>
        <v>Complete</v>
      </c>
      <c r="E50" s="74" t="str">
        <f aca="false">IF(Staffing!E29&lt;&gt;"Complete",Staffing!E29,IF(AND(E32&lt;&gt;"Build from wage",E32&lt;&gt;"Use supplied loaded rate"),"Invalid rate basis",IF(Staffing!E21=0,"Zero hours",IF(E49="","Missing / invalid rate",IF(AND(E32="Build from wage",COUNT(E45:E46)&lt;2),"Missing cost inputs","Complete")))))</f>
        <v>Complete</v>
      </c>
      <c r="F50" s="74" t="str">
        <f aca="false">IF(Staffing!F29&lt;&gt;"Complete",Staffing!F29,IF(AND(F32&lt;&gt;"Build from wage",F32&lt;&gt;"Use supplied loaded rate"),"Invalid rate basis",IF(Staffing!F21=0,"Zero hours",IF(F49="","Missing / invalid rate",IF(AND(F32="Build from wage",COUNT(F45:F46)&lt;2),"Missing cost inputs","Complete")))))</f>
        <v>Complete</v>
      </c>
      <c r="G50" s="74" t="str">
        <f aca="false">IF(Staffing!G29&lt;&gt;"Complete",Staffing!G29,IF(AND(G32&lt;&gt;"Build from wage",G32&lt;&gt;"Use supplied loaded rate"),"Invalid rate basis",IF(Staffing!G21=0,"Zero hours",IF(G49="","Missing / invalid rate",IF(AND(G32="Build from wage",COUNT(G45:G46)&lt;2),"Missing cost inputs","Complete")))))</f>
        <v>Complete</v>
      </c>
      <c r="H50" s="74" t="str">
        <f aca="false">IF(Staffing!H29&lt;&gt;"Complete",Staffing!H29,IF(AND(H32&lt;&gt;"Build from wage",H32&lt;&gt;"Use supplied loaded rate"),"Invalid rate basis",IF(Staffing!H21=0,"Zero hours",IF(H49="","Missing / invalid rate",IF(AND(H32="Build from wage",COUNT(H45:H46)&lt;2),"Missing cost inputs","Complete")))))</f>
        <v>Complete</v>
      </c>
      <c r="I50" s="74" t="str">
        <f aca="false">IF(Staffing!I29&lt;&gt;"Complete",Staffing!I29,IF(AND(I32&lt;&gt;"Build from wage",I32&lt;&gt;"Use supplied loaded rate"),"Invalid rate basis",IF(Staffing!I21=0,"Zero hours",IF(I49="","Missing / invalid rate",IF(AND(I32="Build from wage",COUNT(I45:I46)&lt;2),"Missing cost inputs","Complete")))))</f>
        <v>Complete</v>
      </c>
      <c r="J50" s="1"/>
    </row>
    <row r="51" customFormat="false" ht="18" hidden="false" customHeight="true" outlineLevel="0" collapsed="false">
      <c r="A51" s="1"/>
      <c r="B51" s="1"/>
      <c r="C51" s="2"/>
      <c r="D51" s="3"/>
      <c r="E51" s="3"/>
      <c r="F51" s="3"/>
      <c r="G51" s="3"/>
      <c r="H51" s="3"/>
      <c r="I51" s="3"/>
      <c r="J51" s="1"/>
    </row>
    <row r="52" customFormat="false" ht="18" hidden="false" customHeight="true" outlineLevel="0" collapsed="false">
      <c r="A52" s="1"/>
      <c r="B52" s="1"/>
      <c r="C52" s="2"/>
      <c r="D52" s="3"/>
      <c r="E52" s="3"/>
      <c r="F52" s="3"/>
      <c r="G52" s="3"/>
      <c r="H52" s="3"/>
      <c r="I52" s="3"/>
      <c r="J52" s="1"/>
    </row>
    <row r="53" customFormat="false" ht="18" hidden="false" customHeight="true" outlineLevel="0" collapsed="false">
      <c r="A53" s="1"/>
      <c r="B53" s="1"/>
      <c r="C53" s="2"/>
      <c r="D53" s="3"/>
      <c r="E53" s="3"/>
      <c r="F53" s="3"/>
      <c r="G53" s="3"/>
      <c r="H53" s="3"/>
      <c r="I53" s="3"/>
      <c r="J53" s="1"/>
    </row>
    <row r="54" customFormat="false" ht="18" hidden="false" customHeight="true" outlineLevel="0" collapsed="false">
      <c r="A54" s="1"/>
      <c r="B54" s="1"/>
      <c r="C54" s="43" t="s">
        <v>63</v>
      </c>
      <c r="D54" s="44" t="str">
        <f aca="false">IF(COUNTIFS('Source Data'!$C$21:$C$26,$C54)&lt;&gt;1,"",IF(INDEX('Source Data'!$D$21:$D$26,MATCH($C54,'Source Data'!$C$21:$C$26,0))="","",INDEX('Source Data'!$D$21:$D$26,MATCH($C54,'Source Data'!$C$21:$C$26,0))))</f>
        <v>Administrative Assistant</v>
      </c>
      <c r="E54" s="44"/>
      <c r="F54" s="44"/>
      <c r="G54" s="44"/>
      <c r="H54" s="44"/>
      <c r="I54" s="44"/>
      <c r="J54" s="1"/>
    </row>
    <row r="55" customFormat="false" ht="31" hidden="false" customHeight="true" outlineLevel="0" collapsed="false">
      <c r="A55" s="1"/>
      <c r="B55" s="1"/>
      <c r="C55" s="2" t="s">
        <v>68</v>
      </c>
      <c r="D55" s="51" t="str">
        <f aca="false">IF(COUNTIFS('Source Data'!$C$21:$C$26,$C54)&lt;&gt;1,"",IF(INDEX('Source Data'!$H$21:$H$26,MATCH($C54,'Source Data'!$C$21:$C$26,0))="","",INDEX('Source Data'!$H$21:$H$26,MATCH($C54,'Source Data'!$C$21:$C$26,0))))</f>
        <v>Build from wage</v>
      </c>
      <c r="E55" s="51" t="str">
        <f aca="false">IF(COUNTIFS('Source Data'!$C$21:$C$26,$C54)&lt;&gt;1,"",IF(INDEX('Source Data'!$H$21:$H$26,MATCH($C54,'Source Data'!$C$21:$C$26,0))="","",INDEX('Source Data'!$H$21:$H$26,MATCH($C54,'Source Data'!$C$21:$C$26,0))))</f>
        <v>Build from wage</v>
      </c>
      <c r="F55" s="51" t="str">
        <f aca="false">IF(COUNTIFS('Source Data'!$C$21:$C$26,$C54)&lt;&gt;1,"",IF(INDEX('Source Data'!$H$21:$H$26,MATCH($C54,'Source Data'!$C$21:$C$26,0))="","",INDEX('Source Data'!$H$21:$H$26,MATCH($C54,'Source Data'!$C$21:$C$26,0))))</f>
        <v>Build from wage</v>
      </c>
      <c r="G55" s="51" t="str">
        <f aca="false">IF(COUNTIFS('Source Data'!$C$21:$C$26,$C54)&lt;&gt;1,"",IF(INDEX('Source Data'!$H$21:$H$26,MATCH($C54,'Source Data'!$C$21:$C$26,0))="","",INDEX('Source Data'!$H$21:$H$26,MATCH($C54,'Source Data'!$C$21:$C$26,0))))</f>
        <v>Build from wage</v>
      </c>
      <c r="H55" s="51" t="str">
        <f aca="false">IF(COUNTIFS('Source Data'!$C$21:$C$26,$C54)&lt;&gt;1,"",IF(INDEX('Source Data'!$H$21:$H$26,MATCH($C54,'Source Data'!$C$21:$C$26,0))="","",INDEX('Source Data'!$H$21:$H$26,MATCH($C54,'Source Data'!$C$21:$C$26,0))))</f>
        <v>Build from wage</v>
      </c>
      <c r="I55" s="51" t="str">
        <f aca="false">IF(COUNTIFS('Source Data'!$C$21:$C$26,$C54)&lt;&gt;1,"",IF(INDEX('Source Data'!$H$21:$H$26,MATCH($C54,'Source Data'!$C$21:$C$26,0))="","",INDEX('Source Data'!$H$21:$H$26,MATCH($C54,'Source Data'!$C$21:$C$26,0))))</f>
        <v>Build from wage</v>
      </c>
      <c r="J55" s="1"/>
    </row>
    <row r="56" customFormat="false" ht="18" hidden="false" customHeight="true" outlineLevel="0" collapsed="false">
      <c r="A56" s="1"/>
      <c r="B56" s="1"/>
      <c r="C56" s="16" t="s">
        <v>69</v>
      </c>
      <c r="D56" s="52" t="n">
        <f aca="false">IF(COUNTIFS('Source Data'!$C$21:$C$26,$C54)&lt;&gt;1,"",IF(INDEX('Source Data'!$F$21:$F$26,MATCH($C54,'Source Data'!$C$21:$C$26,0))="","",INDEX('Source Data'!$F$21:$F$26,MATCH($C54,'Source Data'!$C$21:$C$26,0))))</f>
        <v>25.8</v>
      </c>
      <c r="E56" s="52" t="n">
        <f aca="false">IF(COUNTIFS('Source Data'!$C$21:$C$26,$C54)&lt;&gt;1,"",IF(INDEX('Source Data'!$F$21:$F$26,MATCH($C54,'Source Data'!$C$21:$C$26,0))="","",INDEX('Source Data'!$F$21:$F$26,MATCH($C54,'Source Data'!$C$21:$C$26,0))))</f>
        <v>25.8</v>
      </c>
      <c r="F56" s="52" t="n">
        <f aca="false">IF(COUNTIFS('Source Data'!$C$21:$C$26,$C54)&lt;&gt;1,"",IF(INDEX('Source Data'!$F$21:$F$26,MATCH($C54,'Source Data'!$C$21:$C$26,0))="","",INDEX('Source Data'!$F$21:$F$26,MATCH($C54,'Source Data'!$C$21:$C$26,0))))</f>
        <v>25.8</v>
      </c>
      <c r="G56" s="52" t="n">
        <f aca="false">IF(COUNTIFS('Source Data'!$C$21:$C$26,$C54)&lt;&gt;1,"",IF(INDEX('Source Data'!$F$21:$F$26,MATCH($C54,'Source Data'!$C$21:$C$26,0))="","",INDEX('Source Data'!$F$21:$F$26,MATCH($C54,'Source Data'!$C$21:$C$26,0))))</f>
        <v>25.8</v>
      </c>
      <c r="H56" s="52" t="n">
        <f aca="false">IF(COUNTIFS('Source Data'!$C$21:$C$26,$C54)&lt;&gt;1,"",IF(INDEX('Source Data'!$F$21:$F$26,MATCH($C54,'Source Data'!$C$21:$C$26,0))="","",INDEX('Source Data'!$F$21:$F$26,MATCH($C54,'Source Data'!$C$21:$C$26,0))))</f>
        <v>25.8</v>
      </c>
      <c r="I56" s="52" t="n">
        <f aca="false">IF(COUNTIFS('Source Data'!$C$21:$C$26,$C54)&lt;&gt;1,"",IF(INDEX('Source Data'!$F$21:$F$26,MATCH($C54,'Source Data'!$C$21:$C$26,0))="","",INDEX('Source Data'!$F$21:$F$26,MATCH($C54,'Source Data'!$C$21:$C$26,0))))</f>
        <v>25.8</v>
      </c>
      <c r="J56" s="1"/>
    </row>
    <row r="57" customFormat="false" ht="18" hidden="false" customHeight="true" outlineLevel="0" collapsed="false">
      <c r="A57" s="1"/>
      <c r="B57" s="1"/>
      <c r="C57" s="2" t="s">
        <v>70</v>
      </c>
      <c r="D57" s="53" t="n">
        <f aca="false">IF(COUNTIFS('Source Data'!$C$21:$C$26,$C54)&lt;&gt;1,"",IF(INDEX('Source Data'!$G$21:$G$26,MATCH($C54,'Source Data'!$C$21:$C$26,0))="","",INDEX('Source Data'!$G$21:$G$26,MATCH($C54,'Source Data'!$C$21:$C$26,0))))</f>
        <v>2025</v>
      </c>
      <c r="E57" s="53" t="n">
        <f aca="false">IF(COUNTIFS('Source Data'!$C$21:$C$26,$C54)&lt;&gt;1,"",IF(INDEX('Source Data'!$G$21:$G$26,MATCH($C54,'Source Data'!$C$21:$C$26,0))="","",INDEX('Source Data'!$G$21:$G$26,MATCH($C54,'Source Data'!$C$21:$C$26,0))))</f>
        <v>2025</v>
      </c>
      <c r="F57" s="53" t="n">
        <f aca="false">IF(COUNTIFS('Source Data'!$C$21:$C$26,$C54)&lt;&gt;1,"",IF(INDEX('Source Data'!$G$21:$G$26,MATCH($C54,'Source Data'!$C$21:$C$26,0))="","",INDEX('Source Data'!$G$21:$G$26,MATCH($C54,'Source Data'!$C$21:$C$26,0))))</f>
        <v>2025</v>
      </c>
      <c r="G57" s="53" t="n">
        <f aca="false">IF(COUNTIFS('Source Data'!$C$21:$C$26,$C54)&lt;&gt;1,"",IF(INDEX('Source Data'!$G$21:$G$26,MATCH($C54,'Source Data'!$C$21:$C$26,0))="","",INDEX('Source Data'!$G$21:$G$26,MATCH($C54,'Source Data'!$C$21:$C$26,0))))</f>
        <v>2025</v>
      </c>
      <c r="H57" s="53" t="n">
        <f aca="false">IF(COUNTIFS('Source Data'!$C$21:$C$26,$C54)&lt;&gt;1,"",IF(INDEX('Source Data'!$G$21:$G$26,MATCH($C54,'Source Data'!$C$21:$C$26,0))="","",INDEX('Source Data'!$G$21:$G$26,MATCH($C54,'Source Data'!$C$21:$C$26,0))))</f>
        <v>2025</v>
      </c>
      <c r="I57" s="53" t="n">
        <f aca="false">IF(COUNTIFS('Source Data'!$C$21:$C$26,$C54)&lt;&gt;1,"",IF(INDEX('Source Data'!$G$21:$G$26,MATCH($C54,'Source Data'!$C$21:$C$26,0))="","",INDEX('Source Data'!$G$21:$G$26,MATCH($C54,'Source Data'!$C$21:$C$26,0))))</f>
        <v>2025</v>
      </c>
      <c r="J57" s="1"/>
    </row>
    <row r="58" customFormat="false" ht="18" hidden="false" customHeight="true" outlineLevel="0" collapsed="false">
      <c r="A58" s="1"/>
      <c r="B58" s="1"/>
      <c r="C58" s="16" t="s">
        <v>71</v>
      </c>
      <c r="D58" s="54" t="n">
        <f aca="false">IF(COUNT(D57,Assumptions!D$22,Assumptions!D$17)&lt;3,"",IF(OR(Assumptions!D$22&lt;0,Assumptions!D$22&gt;1,YEAR(Assumptions!D$17)&lt;D57),"",(1+Assumptions!D$22)^(YEAR(Assumptions!D$17)-D57)))</f>
        <v>1.03</v>
      </c>
      <c r="E58" s="54" t="n">
        <f aca="false">IF(COUNT(E57,Assumptions!E$22,Assumptions!E$17)&lt;3,"",IF(OR(Assumptions!E$22&lt;0,Assumptions!E$22&gt;1,YEAR(Assumptions!E$17)&lt;E57),"",IF(D58="","",D58*(1+Assumptions!E$22))))</f>
        <v>1.0609</v>
      </c>
      <c r="F58" s="54" t="n">
        <f aca="false">IF(COUNT(F57,Assumptions!F$22,Assumptions!F$17)&lt;3,"",IF(OR(Assumptions!F$22&lt;0,Assumptions!F$22&gt;1,YEAR(Assumptions!F$17)&lt;F57),"",IF(E58="","",E58*(1+Assumptions!F$22))))</f>
        <v>1.092727</v>
      </c>
      <c r="G58" s="54" t="n">
        <f aca="false">IF(COUNT(G57,Assumptions!G$22,Assumptions!G$17)&lt;3,"",IF(OR(Assumptions!G$22&lt;0,Assumptions!G$22&gt;1,YEAR(Assumptions!G$17)&lt;G57),"",IF(F58="","",F58*(1+Assumptions!G$22))))</f>
        <v>1.12550881</v>
      </c>
      <c r="H58" s="54" t="n">
        <f aca="false">IF(COUNT(H57,Assumptions!H$22,Assumptions!H$17)&lt;3,"",IF(OR(Assumptions!H$22&lt;0,Assumptions!H$22&gt;1,YEAR(Assumptions!H$17)&lt;H57),"",IF(G58="","",G58*(1+Assumptions!H$22))))</f>
        <v>1.1592740743</v>
      </c>
      <c r="I58" s="55" t="n">
        <f aca="false">IF(H58="","",H58)</f>
        <v>1.1592740743</v>
      </c>
      <c r="J58" s="1"/>
    </row>
    <row r="59" customFormat="false" ht="18" hidden="false" customHeight="true" outlineLevel="0" collapsed="false">
      <c r="A59" s="1"/>
      <c r="B59" s="1"/>
      <c r="C59" s="2" t="s">
        <v>72</v>
      </c>
      <c r="D59" s="56" t="n">
        <f aca="false">IF(OR(D55&lt;&gt;"Build from wage",COUNT(D56,D58)&lt;2,D56&lt;0),"",D56*D58)</f>
        <v>26.574</v>
      </c>
      <c r="E59" s="56" t="n">
        <f aca="false">IF(OR(E55&lt;&gt;"Build from wage",COUNT(E56,E58)&lt;2,E56&lt;0),"",E56*E58)</f>
        <v>27.37122</v>
      </c>
      <c r="F59" s="56" t="n">
        <f aca="false">IF(OR(F55&lt;&gt;"Build from wage",COUNT(F56,F58)&lt;2,F56&lt;0),"",F56*F58)</f>
        <v>28.1923566</v>
      </c>
      <c r="G59" s="56" t="n">
        <f aca="false">IF(OR(G55&lt;&gt;"Build from wage",COUNT(G56,G58)&lt;2,G56&lt;0),"",G56*G58)</f>
        <v>29.038127298</v>
      </c>
      <c r="H59" s="56" t="n">
        <f aca="false">IF(OR(H55&lt;&gt;"Build from wage",COUNT(H56,H58)&lt;2,H56&lt;0),"",H56*H58)</f>
        <v>29.90927111694</v>
      </c>
      <c r="I59" s="56" t="n">
        <f aca="false">IF(OR(I55&lt;&gt;"Build from wage",COUNT(I56,I58)&lt;2,I56&lt;0),"",I56*I58)</f>
        <v>29.90927111694</v>
      </c>
      <c r="J59" s="1"/>
    </row>
    <row r="60" customFormat="false" ht="18" hidden="false" customHeight="true" outlineLevel="0" collapsed="false">
      <c r="A60" s="1"/>
      <c r="B60" s="1"/>
      <c r="C60" s="16" t="s">
        <v>60</v>
      </c>
      <c r="D60" s="46" t="n">
        <f aca="false">IF(Staffing!D40="","",Staffing!D40)</f>
        <v>2351.30434782609</v>
      </c>
      <c r="E60" s="46" t="n">
        <f aca="false">IF(Staffing!E40="","",Staffing!E40)</f>
        <v>2351.30434782609</v>
      </c>
      <c r="F60" s="46" t="n">
        <f aca="false">IF(Staffing!F40="","",Staffing!F40)</f>
        <v>2351.30434782609</v>
      </c>
      <c r="G60" s="46" t="n">
        <f aca="false">IF(Staffing!G40="","",Staffing!G40)</f>
        <v>2351.30434782609</v>
      </c>
      <c r="H60" s="46" t="n">
        <f aca="false">IF(Staffing!H40="","",Staffing!H40)</f>
        <v>2351.30434782609</v>
      </c>
      <c r="I60" s="46" t="n">
        <f aca="false">IF(Staffing!I40="","",Staffing!I40)</f>
        <v>1175.65217391304</v>
      </c>
      <c r="J60" s="1"/>
    </row>
    <row r="61" customFormat="false" ht="18" hidden="false" customHeight="true" outlineLevel="0" collapsed="false">
      <c r="A61" s="1"/>
      <c r="B61" s="1"/>
      <c r="C61" s="2" t="s">
        <v>73</v>
      </c>
      <c r="D61" s="57" t="n">
        <f aca="false">IF(COUNT(D59:D60)&lt;2,"",D59*D60)</f>
        <v>62483.5617391304</v>
      </c>
      <c r="E61" s="57" t="n">
        <f aca="false">IF(COUNT(E59:E60)&lt;2,"",E59*E60)</f>
        <v>64358.0685913044</v>
      </c>
      <c r="F61" s="57" t="n">
        <f aca="false">IF(COUNT(F59:F60)&lt;2,"",F59*F60)</f>
        <v>66288.8106490435</v>
      </c>
      <c r="G61" s="57" t="n">
        <f aca="false">IF(COUNT(G59:G60)&lt;2,"",G59*G60)</f>
        <v>68277.4749685148</v>
      </c>
      <c r="H61" s="57" t="n">
        <f aca="false">IF(COUNT(H59:H60)&lt;2,"",H59*H60)</f>
        <v>70325.7992175702</v>
      </c>
      <c r="I61" s="57" t="n">
        <f aca="false">IF(COUNT(I59:I60)&lt;2,"",I59*I60)</f>
        <v>35162.8996087851</v>
      </c>
      <c r="J61" s="1"/>
    </row>
    <row r="62" customFormat="false" ht="18" hidden="false" customHeight="true" outlineLevel="0" collapsed="false">
      <c r="A62" s="1"/>
      <c r="B62" s="1"/>
      <c r="C62" s="16" t="s">
        <v>74</v>
      </c>
      <c r="D62" s="58" t="n">
        <f aca="false">IF(OR(COUNT(D61,Assumptions!D$28)&lt;2,Assumptions!D$28&lt;0),"",D61*Assumptions!D$28)</f>
        <v>15620.8904347826</v>
      </c>
      <c r="E62" s="58" t="n">
        <f aca="false">IF(OR(COUNT(E61,Assumptions!E$28)&lt;2,Assumptions!E$28&lt;0),"",E61*Assumptions!E$28)</f>
        <v>16089.5171478261</v>
      </c>
      <c r="F62" s="58" t="n">
        <f aca="false">IF(OR(COUNT(F61,Assumptions!F$28)&lt;2,Assumptions!F$28&lt;0),"",F61*Assumptions!F$28)</f>
        <v>16572.2026622609</v>
      </c>
      <c r="G62" s="58" t="n">
        <f aca="false">IF(OR(COUNT(G61,Assumptions!G$28)&lt;2,Assumptions!G$28&lt;0),"",G61*Assumptions!G$28)</f>
        <v>17069.3687421287</v>
      </c>
      <c r="H62" s="58" t="n">
        <f aca="false">IF(OR(COUNT(H61,Assumptions!H$28)&lt;2,Assumptions!H$28&lt;0),"",H61*Assumptions!H$28)</f>
        <v>17581.4498043926</v>
      </c>
      <c r="I62" s="58" t="n">
        <f aca="false">IF(OR(COUNT(I61,Assumptions!I$28)&lt;2,Assumptions!I$28&lt;0),"",I61*Assumptions!I$28)</f>
        <v>8790.72490219628</v>
      </c>
      <c r="J62" s="1"/>
    </row>
    <row r="63" customFormat="false" ht="18" hidden="false" customHeight="true" outlineLevel="0" collapsed="false">
      <c r="A63" s="1"/>
      <c r="B63" s="1"/>
      <c r="C63" s="2" t="s">
        <v>75</v>
      </c>
      <c r="D63" s="59" t="n">
        <f aca="false">IF(OR(D55&lt;&gt;"Build from wage",COUNT(D60,Assumptions!$D$9)&lt;2,Assumptions!$D$9&lt;0),"",D60*Assumptions!$D$9)</f>
        <v>0</v>
      </c>
      <c r="E63" s="59" t="n">
        <f aca="false">IF(OR(E55&lt;&gt;"Build from wage",COUNT(E60,Assumptions!$D$9)&lt;2,Assumptions!$D$9&lt;0),"",E60*Assumptions!$D$9)</f>
        <v>0</v>
      </c>
      <c r="F63" s="59" t="n">
        <f aca="false">IF(OR(F55&lt;&gt;"Build from wage",COUNT(F60,Assumptions!$D$9)&lt;2,Assumptions!$D$9&lt;0),"",F60*Assumptions!$D$9)</f>
        <v>0</v>
      </c>
      <c r="G63" s="59" t="n">
        <f aca="false">IF(OR(G55&lt;&gt;"Build from wage",COUNT(G60,Assumptions!$D$9)&lt;2,Assumptions!$D$9&lt;0),"",G60*Assumptions!$D$9)</f>
        <v>0</v>
      </c>
      <c r="H63" s="59" t="n">
        <f aca="false">IF(OR(H55&lt;&gt;"Build from wage",COUNT(H60,Assumptions!$D$9)&lt;2,Assumptions!$D$9&lt;0),"",H60*Assumptions!$D$9)</f>
        <v>0</v>
      </c>
      <c r="I63" s="59" t="n">
        <f aca="false">IF(OR(I55&lt;&gt;"Build from wage",COUNT(I60,Assumptions!$D$9)&lt;2,Assumptions!$D$9&lt;0),"",I60*Assumptions!$D$9)</f>
        <v>0</v>
      </c>
      <c r="J63" s="1"/>
    </row>
    <row r="64" customFormat="false" ht="18" hidden="false" customHeight="true" outlineLevel="0" collapsed="false">
      <c r="A64" s="1"/>
      <c r="B64" s="1"/>
      <c r="C64" s="16" t="s">
        <v>76</v>
      </c>
      <c r="D64" s="60" t="n">
        <f aca="false">IF(COUNT(D61:D63)&lt;3,"",SUM(D61:D63))</f>
        <v>78104.452173913</v>
      </c>
      <c r="E64" s="60" t="n">
        <f aca="false">IF(COUNT(E61:E63)&lt;3,"",SUM(E61:E63))</f>
        <v>80447.5857391304</v>
      </c>
      <c r="F64" s="60" t="n">
        <f aca="false">IF(COUNT(F61:F63)&lt;3,"",SUM(F61:F63))</f>
        <v>82861.0133113043</v>
      </c>
      <c r="G64" s="60" t="n">
        <f aca="false">IF(COUNT(G61:G63)&lt;3,"",SUM(G61:G63))</f>
        <v>85346.8437106435</v>
      </c>
      <c r="H64" s="60" t="n">
        <f aca="false">IF(COUNT(H61:H63)&lt;3,"",SUM(H61:H63))</f>
        <v>87907.2490219628</v>
      </c>
      <c r="I64" s="60" t="n">
        <f aca="false">IF(COUNT(I61:I63)&lt;3,"",SUM(I61:I63))</f>
        <v>43953.6245109814</v>
      </c>
      <c r="J64" s="1"/>
    </row>
    <row r="65" customFormat="false" ht="18" hidden="false" customHeight="true" outlineLevel="0" collapsed="false">
      <c r="A65" s="1"/>
      <c r="B65" s="1"/>
      <c r="C65" s="2" t="s">
        <v>77</v>
      </c>
      <c r="D65" s="59" t="n">
        <f aca="false">IF(OR(COUNT(D64,Assumptions!D$34)&lt;2,Assumptions!D$34&lt;0),"",D64*Assumptions!D$34)</f>
        <v>7810.44521739131</v>
      </c>
      <c r="E65" s="59" t="n">
        <f aca="false">IF(OR(COUNT(E64,Assumptions!E$34)&lt;2,Assumptions!E$34&lt;0),"",E64*Assumptions!E$34)</f>
        <v>8044.75857391304</v>
      </c>
      <c r="F65" s="59" t="n">
        <f aca="false">IF(OR(COUNT(F64,Assumptions!F$34)&lt;2,Assumptions!F$34&lt;0),"",F64*Assumptions!F$34)</f>
        <v>8286.10133113043</v>
      </c>
      <c r="G65" s="59" t="n">
        <f aca="false">IF(OR(COUNT(G64,Assumptions!G$34)&lt;2,Assumptions!G$34&lt;0),"",G64*Assumptions!G$34)</f>
        <v>8534.68437106435</v>
      </c>
      <c r="H65" s="59" t="n">
        <f aca="false">IF(OR(COUNT(H64,Assumptions!H$34)&lt;2,Assumptions!H$34&lt;0),"",H64*Assumptions!H$34)</f>
        <v>8790.72490219628</v>
      </c>
      <c r="I65" s="59" t="n">
        <f aca="false">IF(OR(COUNT(I64,Assumptions!I$34)&lt;2,Assumptions!I$34&lt;0),"",I64*Assumptions!I$34)</f>
        <v>4395.36245109814</v>
      </c>
      <c r="J65" s="1"/>
    </row>
    <row r="66" customFormat="false" ht="18" hidden="false" customHeight="true" outlineLevel="0" collapsed="false">
      <c r="A66" s="1"/>
      <c r="B66" s="1"/>
      <c r="C66" s="16" t="s">
        <v>78</v>
      </c>
      <c r="D66" s="60" t="n">
        <f aca="false">IF(COUNT(D64:D65)&lt;2,"",SUM(D64:D65))</f>
        <v>85914.8973913043</v>
      </c>
      <c r="E66" s="60" t="n">
        <f aca="false">IF(COUNT(E64:E65)&lt;2,"",SUM(E64:E65))</f>
        <v>88492.3443130435</v>
      </c>
      <c r="F66" s="60" t="n">
        <f aca="false">IF(COUNT(F64:F65)&lt;2,"",SUM(F64:F65))</f>
        <v>91147.1146424348</v>
      </c>
      <c r="G66" s="60" t="n">
        <f aca="false">IF(COUNT(G64:G65)&lt;2,"",SUM(G64:G65))</f>
        <v>93881.5280817078</v>
      </c>
      <c r="H66" s="60" t="n">
        <f aca="false">IF(COUNT(H64:H65)&lt;2,"",SUM(H64:H65))</f>
        <v>96697.9739241591</v>
      </c>
      <c r="I66" s="60" t="n">
        <f aca="false">IF(COUNT(I64:I65)&lt;2,"",SUM(I64:I65))</f>
        <v>48348.9869620795</v>
      </c>
      <c r="J66" s="1"/>
    </row>
    <row r="67" customFormat="false" ht="18" hidden="false" customHeight="true" outlineLevel="0" collapsed="false">
      <c r="A67" s="1"/>
      <c r="B67" s="1"/>
      <c r="C67" s="2" t="s">
        <v>79</v>
      </c>
      <c r="D67" s="59" t="n">
        <f aca="false">IF(OR(COUNT(D66,Assumptions!D$40)&lt;2,Assumptions!D$40&lt;0),"",D66*Assumptions!D$40)</f>
        <v>8591.48973913044</v>
      </c>
      <c r="E67" s="59" t="n">
        <f aca="false">IF(OR(COUNT(E66,Assumptions!E$40)&lt;2,Assumptions!E$40&lt;0),"",E66*Assumptions!E$40)</f>
        <v>8849.23443130435</v>
      </c>
      <c r="F67" s="59" t="n">
        <f aca="false">IF(OR(COUNT(F66,Assumptions!F$40)&lt;2,Assumptions!F$40&lt;0),"",F66*Assumptions!F$40)</f>
        <v>9114.71146424348</v>
      </c>
      <c r="G67" s="59" t="n">
        <f aca="false">IF(OR(COUNT(G66,Assumptions!G$40)&lt;2,Assumptions!G$40&lt;0),"",G66*Assumptions!G$40)</f>
        <v>9388.15280817078</v>
      </c>
      <c r="H67" s="59" t="n">
        <f aca="false">IF(OR(COUNT(H66,Assumptions!H$40)&lt;2,Assumptions!H$40&lt;0),"",H66*Assumptions!H$40)</f>
        <v>9669.79739241591</v>
      </c>
      <c r="I67" s="59" t="n">
        <f aca="false">IF(OR(COUNT(I66,Assumptions!I$40)&lt;2,Assumptions!I$40&lt;0),"",I66*Assumptions!I$40)</f>
        <v>4834.89869620795</v>
      </c>
      <c r="J67" s="1"/>
    </row>
    <row r="68" customFormat="false" ht="18" hidden="false" customHeight="true" outlineLevel="0" collapsed="false">
      <c r="A68" s="1"/>
      <c r="B68" s="1"/>
      <c r="C68" s="16" t="s">
        <v>80</v>
      </c>
      <c r="D68" s="60" t="n">
        <f aca="false">IF(COUNT(D66:D67)&lt;2,"",SUM(D66:D67))</f>
        <v>94506.3871304348</v>
      </c>
      <c r="E68" s="60" t="n">
        <f aca="false">IF(COUNT(E66:E67)&lt;2,"",SUM(E66:E67))</f>
        <v>97341.5787443478</v>
      </c>
      <c r="F68" s="60" t="n">
        <f aca="false">IF(COUNT(F66:F67)&lt;2,"",SUM(F66:F67))</f>
        <v>100261.826106678</v>
      </c>
      <c r="G68" s="60" t="n">
        <f aca="false">IF(COUNT(G66:G67)&lt;2,"",SUM(G66:G67))</f>
        <v>103269.680889879</v>
      </c>
      <c r="H68" s="60" t="n">
        <f aca="false">IF(COUNT(H66:H67)&lt;2,"",SUM(H66:H67))</f>
        <v>106367.771316575</v>
      </c>
      <c r="I68" s="60" t="n">
        <f aca="false">IF(COUNT(I66:I67)&lt;2,"",SUM(I66:I67))</f>
        <v>53183.8856582875</v>
      </c>
      <c r="J68" s="1"/>
    </row>
    <row r="69" customFormat="false" ht="18" hidden="false" customHeight="true" outlineLevel="0" collapsed="false">
      <c r="A69" s="1"/>
      <c r="B69" s="1"/>
      <c r="C69" s="2" t="s">
        <v>81</v>
      </c>
      <c r="D69" s="59" t="n">
        <f aca="false">IF(OR(COUNT(D68,Assumptions!$D$10)&lt;2,Assumptions!$D$10&lt;0),"",IF(Assumptions!$D$11="Profit on cost",D68*Assumptions!$D$10,IF(Assumptions!$D$11="Margin on sales",IF(Assumptions!$D$10&gt;=1,"",D68/(1-Assumptions!$D$10)-D68),"")))</f>
        <v>9450.63871304348</v>
      </c>
      <c r="E69" s="59" t="n">
        <f aca="false">IF(OR(COUNT(E68,Assumptions!$D$10)&lt;2,Assumptions!$D$10&lt;0),"",IF(Assumptions!$D$11="Profit on cost",E68*Assumptions!$D$10,IF(Assumptions!$D$11="Margin on sales",IF(Assumptions!$D$10&gt;=1,"",E68/(1-Assumptions!$D$10)-E68),"")))</f>
        <v>9734.15787443478</v>
      </c>
      <c r="F69" s="59" t="n">
        <f aca="false">IF(OR(COUNT(F68,Assumptions!$D$10)&lt;2,Assumptions!$D$10&lt;0),"",IF(Assumptions!$D$11="Profit on cost",F68*Assumptions!$D$10,IF(Assumptions!$D$11="Margin on sales",IF(Assumptions!$D$10&gt;=1,"",F68/(1-Assumptions!$D$10)-F68),"")))</f>
        <v>10026.1826106678</v>
      </c>
      <c r="G69" s="59" t="n">
        <f aca="false">IF(OR(COUNT(G68,Assumptions!$D$10)&lt;2,Assumptions!$D$10&lt;0),"",IF(Assumptions!$D$11="Profit on cost",G68*Assumptions!$D$10,IF(Assumptions!$D$11="Margin on sales",IF(Assumptions!$D$10&gt;=1,"",G68/(1-Assumptions!$D$10)-G68),"")))</f>
        <v>10326.9680889879</v>
      </c>
      <c r="H69" s="59" t="n">
        <f aca="false">IF(OR(COUNT(H68,Assumptions!$D$10)&lt;2,Assumptions!$D$10&lt;0),"",IF(Assumptions!$D$11="Profit on cost",H68*Assumptions!$D$10,IF(Assumptions!$D$11="Margin on sales",IF(Assumptions!$D$10&gt;=1,"",H68/(1-Assumptions!$D$10)-H68),"")))</f>
        <v>10636.7771316575</v>
      </c>
      <c r="I69" s="59" t="n">
        <f aca="false">IF(OR(COUNT(I68,Assumptions!$D$10)&lt;2,Assumptions!$D$10&lt;0),"",IF(Assumptions!$D$11="Profit on cost",I68*Assumptions!$D$10,IF(Assumptions!$D$11="Margin on sales",IF(Assumptions!$D$10&gt;=1,"",I68/(1-Assumptions!$D$10)-I68),"")))</f>
        <v>5318.38856582875</v>
      </c>
      <c r="J69" s="1"/>
    </row>
    <row r="70" customFormat="false" ht="18" hidden="false" customHeight="true" outlineLevel="0" collapsed="false">
      <c r="A70" s="1"/>
      <c r="B70" s="1"/>
      <c r="C70" s="16" t="s">
        <v>82</v>
      </c>
      <c r="D70" s="61" t="n">
        <f aca="false">IF(D55="Use supplied loaded rate",IF(COUNTIFS('Source Data'!$C$21:$C$26,$C54)&lt;&gt;1,"",IF(INDEX('Source Data'!$I$21:$I$26,MATCH($C54,'Source Data'!$C$21:$C$26,0))="","",INDEX('Source Data'!$I$21:$I$26,MATCH($C54,'Source Data'!$C$21:$C$26,0)))),IF(OR(D55&lt;&gt;"Build from wage",COUNT(D68:D69)&lt;2,NOT(ISNUMBER(Staffing!D33)),Staffing!D33&lt;=0),"",SUM(D68:D69)/Staffing!D33))</f>
        <v>49.9793393478261</v>
      </c>
      <c r="E70" s="61" t="n">
        <f aca="false">IF(E55="Use supplied loaded rate",IF(OR(COUNT(D70,Assumptions!E$46)&lt;2,Assumptions!E$46&lt;0,Assumptions!E$46&gt;1),"",D70*(1+Assumptions!E$46)),IF(OR(E55&lt;&gt;"Build from wage",COUNT(E68:E69)&lt;2,NOT(ISNUMBER(Staffing!E33)),Staffing!E33&lt;=0),"",SUM(E68:E69)/Staffing!E33))</f>
        <v>51.4787195282609</v>
      </c>
      <c r="F70" s="61" t="n">
        <f aca="false">IF(F55="Use supplied loaded rate",IF(OR(COUNT(E70,Assumptions!F$46)&lt;2,Assumptions!F$46&lt;0,Assumptions!F$46&gt;1),"",E70*(1+Assumptions!F$46)),IF(OR(F55&lt;&gt;"Build from wage",COUNT(F68:F69)&lt;2,NOT(ISNUMBER(Staffing!F33)),Staffing!F33&lt;=0),"",SUM(F68:F69)/Staffing!F33))</f>
        <v>53.0230811141087</v>
      </c>
      <c r="G70" s="61" t="n">
        <f aca="false">IF(G55="Use supplied loaded rate",IF(OR(COUNT(F70,Assumptions!G$46)&lt;2,Assumptions!G$46&lt;0,Assumptions!G$46&gt;1),"",F70*(1+Assumptions!G$46)),IF(OR(G55&lt;&gt;"Build from wage",COUNT(G68:G69)&lt;2,NOT(ISNUMBER(Staffing!G33)),Staffing!G33&lt;=0),"",SUM(G68:G69)/Staffing!G33))</f>
        <v>54.613773547532</v>
      </c>
      <c r="H70" s="61" t="n">
        <f aca="false">IF(H55="Use supplied loaded rate",IF(OR(COUNT(G70,Assumptions!H$46)&lt;2,Assumptions!H$46&lt;0,Assumptions!H$46&gt;1),"",G70*(1+Assumptions!H$46)),IF(OR(H55&lt;&gt;"Build from wage",COUNT(H68:H69)&lt;2,NOT(ISNUMBER(Staffing!H33)),Staffing!H33&lt;=0),"",SUM(H68:H69)/Staffing!H33))</f>
        <v>56.2521867539579</v>
      </c>
      <c r="I70" s="61" t="n">
        <f aca="false">IF(I55="Use supplied loaded rate",IF(H70="","",H70),IF(OR(I55&lt;&gt;"Build from wage",COUNT(I68:I69)&lt;2,NOT(ISNUMBER(Staffing!I33)),Staffing!I33&lt;=0),"",SUM(I68:I69)/Staffing!I33))</f>
        <v>56.2521867539579</v>
      </c>
      <c r="J70" s="1"/>
    </row>
    <row r="71" customFormat="false" ht="18" hidden="false" customHeight="true" outlineLevel="0" collapsed="false">
      <c r="A71" s="1"/>
      <c r="B71" s="1"/>
      <c r="C71" s="2" t="s">
        <v>83</v>
      </c>
      <c r="D71" s="62"/>
      <c r="E71" s="62"/>
      <c r="F71" s="62"/>
      <c r="G71" s="62"/>
      <c r="H71" s="62"/>
      <c r="I71" s="62"/>
      <c r="J71" s="1"/>
    </row>
    <row r="72" customFormat="false" ht="18" hidden="false" customHeight="true" outlineLevel="0" collapsed="false">
      <c r="A72" s="1"/>
      <c r="B72" s="1"/>
      <c r="C72" s="63" t="s">
        <v>84</v>
      </c>
      <c r="D72" s="64" t="n">
        <f aca="false">IF(D71="",IF(OR(NOT(ISNUMBER(D70)),D70&lt;0),"",ROUND(D70,4)),IF(AND(ISNUMBER(D71),D71&gt;=0),ROUND(D71,4),""))</f>
        <v>49.9793</v>
      </c>
      <c r="E72" s="64" t="n">
        <f aca="false">IF(E71="",IF(OR(NOT(ISNUMBER(E70)),E70&lt;0),"",ROUND(E70,4)),IF(AND(ISNUMBER(E71),E71&gt;=0),ROUND(E71,4),""))</f>
        <v>51.4787</v>
      </c>
      <c r="F72" s="64" t="n">
        <f aca="false">IF(F71="",IF(OR(NOT(ISNUMBER(F70)),F70&lt;0),"",ROUND(F70,4)),IF(AND(ISNUMBER(F71),F71&gt;=0),ROUND(F71,4),""))</f>
        <v>53.0231</v>
      </c>
      <c r="G72" s="64" t="n">
        <f aca="false">IF(G71="",IF(OR(NOT(ISNUMBER(G70)),G70&lt;0),"",ROUND(G70,4)),IF(AND(ISNUMBER(G71),G71&gt;=0),ROUND(G71,4),""))</f>
        <v>54.6138</v>
      </c>
      <c r="H72" s="64" t="n">
        <f aca="false">IF(H71="",IF(OR(NOT(ISNUMBER(H70)),H70&lt;0),"",ROUND(H70,4)),IF(AND(ISNUMBER(H71),H71&gt;=0),ROUND(H71,4),""))</f>
        <v>56.2522</v>
      </c>
      <c r="I72" s="64" t="n">
        <f aca="false">IF(I71="",IF(OR(NOT(ISNUMBER(H72)),H72&lt;0),"",ROUND(H72,4)),IF(AND(ISNUMBER(I71),I71&gt;=0),ROUND(I71,4),""))</f>
        <v>56.2522</v>
      </c>
      <c r="J72" s="1"/>
    </row>
    <row r="73" customFormat="false" ht="32" hidden="false" customHeight="true" outlineLevel="0" collapsed="false">
      <c r="A73" s="1"/>
      <c r="B73" s="1"/>
      <c r="C73" s="2" t="s">
        <v>61</v>
      </c>
      <c r="D73" s="65" t="str">
        <f aca="false">IF(Staffing!D41&lt;&gt;"Complete",Staffing!D41,IF(AND(D55&lt;&gt;"Build from wage",D55&lt;&gt;"Use supplied loaded rate"),"Invalid rate basis",IF(Staffing!D33=0,"Zero hours",IF(D72="","Missing / invalid rate",IF(AND(D55="Build from wage",COUNT(D68:D69)&lt;2),"Missing cost inputs","Complete")))))</f>
        <v>Complete</v>
      </c>
      <c r="E73" s="65" t="str">
        <f aca="false">IF(Staffing!E41&lt;&gt;"Complete",Staffing!E41,IF(AND(E55&lt;&gt;"Build from wage",E55&lt;&gt;"Use supplied loaded rate"),"Invalid rate basis",IF(Staffing!E33=0,"Zero hours",IF(E72="","Missing / invalid rate",IF(AND(E55="Build from wage",COUNT(E68:E69)&lt;2),"Missing cost inputs","Complete")))))</f>
        <v>Complete</v>
      </c>
      <c r="F73" s="65" t="str">
        <f aca="false">IF(Staffing!F41&lt;&gt;"Complete",Staffing!F41,IF(AND(F55&lt;&gt;"Build from wage",F55&lt;&gt;"Use supplied loaded rate"),"Invalid rate basis",IF(Staffing!F33=0,"Zero hours",IF(F72="","Missing / invalid rate",IF(AND(F55="Build from wage",COUNT(F68:F69)&lt;2),"Missing cost inputs","Complete")))))</f>
        <v>Complete</v>
      </c>
      <c r="G73" s="65" t="str">
        <f aca="false">IF(Staffing!G41&lt;&gt;"Complete",Staffing!G41,IF(AND(G55&lt;&gt;"Build from wage",G55&lt;&gt;"Use supplied loaded rate"),"Invalid rate basis",IF(Staffing!G33=0,"Zero hours",IF(G72="","Missing / invalid rate",IF(AND(G55="Build from wage",COUNT(G68:G69)&lt;2),"Missing cost inputs","Complete")))))</f>
        <v>Complete</v>
      </c>
      <c r="H73" s="65" t="str">
        <f aca="false">IF(Staffing!H41&lt;&gt;"Complete",Staffing!H41,IF(AND(H55&lt;&gt;"Build from wage",H55&lt;&gt;"Use supplied loaded rate"),"Invalid rate basis",IF(Staffing!H33=0,"Zero hours",IF(H72="","Missing / invalid rate",IF(AND(H55="Build from wage",COUNT(H68:H69)&lt;2),"Missing cost inputs","Complete")))))</f>
        <v>Complete</v>
      </c>
      <c r="I73" s="65" t="str">
        <f aca="false">IF(Staffing!I41&lt;&gt;"Complete",Staffing!I41,IF(AND(I55&lt;&gt;"Build from wage",I55&lt;&gt;"Use supplied loaded rate"),"Invalid rate basis",IF(Staffing!I33=0,"Zero hours",IF(I72="","Missing / invalid rate",IF(AND(I55="Build from wage",COUNT(I68:I69)&lt;2),"Missing cost inputs","Complete")))))</f>
        <v>Complete</v>
      </c>
      <c r="J73" s="1"/>
    </row>
    <row r="74" customFormat="false" ht="18" hidden="false" customHeight="true" outlineLevel="0" collapsed="false">
      <c r="A74" s="1"/>
      <c r="B74" s="1"/>
      <c r="C74" s="2"/>
      <c r="D74" s="3"/>
      <c r="E74" s="3"/>
      <c r="F74" s="3"/>
      <c r="G74" s="3"/>
      <c r="H74" s="3"/>
      <c r="I74" s="3"/>
      <c r="J74" s="1"/>
    </row>
    <row r="75" customFormat="false" ht="18" hidden="false" customHeight="true" outlineLevel="0" collapsed="false">
      <c r="A75" s="1"/>
      <c r="B75" s="1"/>
      <c r="C75" s="2"/>
      <c r="D75" s="3"/>
      <c r="E75" s="3"/>
      <c r="F75" s="3"/>
      <c r="G75" s="3"/>
      <c r="H75" s="3"/>
      <c r="I75" s="3"/>
      <c r="J75" s="1"/>
    </row>
    <row r="76" customFormat="false" ht="18" hidden="false" customHeight="true" outlineLevel="0" collapsed="false">
      <c r="A76" s="1"/>
      <c r="B76" s="1"/>
      <c r="C76" s="2"/>
      <c r="D76" s="3"/>
      <c r="E76" s="3"/>
      <c r="F76" s="3"/>
      <c r="G76" s="3"/>
      <c r="H76" s="3"/>
      <c r="I76" s="3"/>
      <c r="J76" s="1"/>
    </row>
    <row r="77" customFormat="false" ht="18" hidden="false" customHeight="true" outlineLevel="0" collapsed="false">
      <c r="A77" s="1"/>
      <c r="B77" s="1"/>
      <c r="C77" s="43" t="s">
        <v>64</v>
      </c>
      <c r="D77" s="44" t="str">
        <f aca="false">IF(COUNTIFS('Source Data'!$C$21:$C$26,$C77)&lt;&gt;1,"",IF(INDEX('Source Data'!$D$21:$D$26,MATCH($C77,'Source Data'!$C$21:$C$26,0))="","",INDEX('Source Data'!$D$21:$D$26,MATCH($C77,'Source Data'!$C$21:$C$26,0))))</f>
        <v>Program Analyst I</v>
      </c>
      <c r="E77" s="44"/>
      <c r="F77" s="44"/>
      <c r="G77" s="44"/>
      <c r="H77" s="44"/>
      <c r="I77" s="44"/>
      <c r="J77" s="1"/>
    </row>
    <row r="78" customFormat="false" ht="31" hidden="false" customHeight="true" outlineLevel="0" collapsed="false">
      <c r="A78" s="1"/>
      <c r="B78" s="1"/>
      <c r="C78" s="16" t="s">
        <v>68</v>
      </c>
      <c r="D78" s="66" t="str">
        <f aca="false">IF(COUNTIFS('Source Data'!$C$21:$C$26,$C77)&lt;&gt;1,"",IF(INDEX('Source Data'!$H$21:$H$26,MATCH($C77,'Source Data'!$C$21:$C$26,0))="","",INDEX('Source Data'!$H$21:$H$26,MATCH($C77,'Source Data'!$C$21:$C$26,0))))</f>
        <v>Build from wage</v>
      </c>
      <c r="E78" s="66" t="str">
        <f aca="false">IF(COUNTIFS('Source Data'!$C$21:$C$26,$C77)&lt;&gt;1,"",IF(INDEX('Source Data'!$H$21:$H$26,MATCH($C77,'Source Data'!$C$21:$C$26,0))="","",INDEX('Source Data'!$H$21:$H$26,MATCH($C77,'Source Data'!$C$21:$C$26,0))))</f>
        <v>Build from wage</v>
      </c>
      <c r="F78" s="66" t="str">
        <f aca="false">IF(COUNTIFS('Source Data'!$C$21:$C$26,$C77)&lt;&gt;1,"",IF(INDEX('Source Data'!$H$21:$H$26,MATCH($C77,'Source Data'!$C$21:$C$26,0))="","",INDEX('Source Data'!$H$21:$H$26,MATCH($C77,'Source Data'!$C$21:$C$26,0))))</f>
        <v>Build from wage</v>
      </c>
      <c r="G78" s="66" t="str">
        <f aca="false">IF(COUNTIFS('Source Data'!$C$21:$C$26,$C77)&lt;&gt;1,"",IF(INDEX('Source Data'!$H$21:$H$26,MATCH($C77,'Source Data'!$C$21:$C$26,0))="","",INDEX('Source Data'!$H$21:$H$26,MATCH($C77,'Source Data'!$C$21:$C$26,0))))</f>
        <v>Build from wage</v>
      </c>
      <c r="H78" s="66" t="str">
        <f aca="false">IF(COUNTIFS('Source Data'!$C$21:$C$26,$C77)&lt;&gt;1,"",IF(INDEX('Source Data'!$H$21:$H$26,MATCH($C77,'Source Data'!$C$21:$C$26,0))="","",INDEX('Source Data'!$H$21:$H$26,MATCH($C77,'Source Data'!$C$21:$C$26,0))))</f>
        <v>Build from wage</v>
      </c>
      <c r="I78" s="66" t="str">
        <f aca="false">IF(COUNTIFS('Source Data'!$C$21:$C$26,$C77)&lt;&gt;1,"",IF(INDEX('Source Data'!$H$21:$H$26,MATCH($C77,'Source Data'!$C$21:$C$26,0))="","",INDEX('Source Data'!$H$21:$H$26,MATCH($C77,'Source Data'!$C$21:$C$26,0))))</f>
        <v>Build from wage</v>
      </c>
      <c r="J78" s="1"/>
    </row>
    <row r="79" customFormat="false" ht="18" hidden="false" customHeight="true" outlineLevel="0" collapsed="false">
      <c r="A79" s="1"/>
      <c r="B79" s="1"/>
      <c r="C79" s="2" t="s">
        <v>69</v>
      </c>
      <c r="D79" s="67" t="n">
        <f aca="false">IF(COUNTIFS('Source Data'!$C$21:$C$26,$C77)&lt;&gt;1,"",IF(INDEX('Source Data'!$F$21:$F$26,MATCH($C77,'Source Data'!$C$21:$C$26,0))="","",INDEX('Source Data'!$F$21:$F$26,MATCH($C77,'Source Data'!$C$21:$C$26,0))))</f>
        <v>48.75</v>
      </c>
      <c r="E79" s="67" t="n">
        <f aca="false">IF(COUNTIFS('Source Data'!$C$21:$C$26,$C77)&lt;&gt;1,"",IF(INDEX('Source Data'!$F$21:$F$26,MATCH($C77,'Source Data'!$C$21:$C$26,0))="","",INDEX('Source Data'!$F$21:$F$26,MATCH($C77,'Source Data'!$C$21:$C$26,0))))</f>
        <v>48.75</v>
      </c>
      <c r="F79" s="67" t="n">
        <f aca="false">IF(COUNTIFS('Source Data'!$C$21:$C$26,$C77)&lt;&gt;1,"",IF(INDEX('Source Data'!$F$21:$F$26,MATCH($C77,'Source Data'!$C$21:$C$26,0))="","",INDEX('Source Data'!$F$21:$F$26,MATCH($C77,'Source Data'!$C$21:$C$26,0))))</f>
        <v>48.75</v>
      </c>
      <c r="G79" s="67" t="n">
        <f aca="false">IF(COUNTIFS('Source Data'!$C$21:$C$26,$C77)&lt;&gt;1,"",IF(INDEX('Source Data'!$F$21:$F$26,MATCH($C77,'Source Data'!$C$21:$C$26,0))="","",INDEX('Source Data'!$F$21:$F$26,MATCH($C77,'Source Data'!$C$21:$C$26,0))))</f>
        <v>48.75</v>
      </c>
      <c r="H79" s="67" t="n">
        <f aca="false">IF(COUNTIFS('Source Data'!$C$21:$C$26,$C77)&lt;&gt;1,"",IF(INDEX('Source Data'!$F$21:$F$26,MATCH($C77,'Source Data'!$C$21:$C$26,0))="","",INDEX('Source Data'!$F$21:$F$26,MATCH($C77,'Source Data'!$C$21:$C$26,0))))</f>
        <v>48.75</v>
      </c>
      <c r="I79" s="67" t="n">
        <f aca="false">IF(COUNTIFS('Source Data'!$C$21:$C$26,$C77)&lt;&gt;1,"",IF(INDEX('Source Data'!$F$21:$F$26,MATCH($C77,'Source Data'!$C$21:$C$26,0))="","",INDEX('Source Data'!$F$21:$F$26,MATCH($C77,'Source Data'!$C$21:$C$26,0))))</f>
        <v>48.75</v>
      </c>
      <c r="J79" s="1"/>
    </row>
    <row r="80" customFormat="false" ht="18" hidden="false" customHeight="true" outlineLevel="0" collapsed="false">
      <c r="A80" s="1"/>
      <c r="B80" s="1"/>
      <c r="C80" s="16" t="s">
        <v>70</v>
      </c>
      <c r="D80" s="68" t="n">
        <f aca="false">IF(COUNTIFS('Source Data'!$C$21:$C$26,$C77)&lt;&gt;1,"",IF(INDEX('Source Data'!$G$21:$G$26,MATCH($C77,'Source Data'!$C$21:$C$26,0))="","",INDEX('Source Data'!$G$21:$G$26,MATCH($C77,'Source Data'!$C$21:$C$26,0))))</f>
        <v>2025</v>
      </c>
      <c r="E80" s="68" t="n">
        <f aca="false">IF(COUNTIFS('Source Data'!$C$21:$C$26,$C77)&lt;&gt;1,"",IF(INDEX('Source Data'!$G$21:$G$26,MATCH($C77,'Source Data'!$C$21:$C$26,0))="","",INDEX('Source Data'!$G$21:$G$26,MATCH($C77,'Source Data'!$C$21:$C$26,0))))</f>
        <v>2025</v>
      </c>
      <c r="F80" s="68" t="n">
        <f aca="false">IF(COUNTIFS('Source Data'!$C$21:$C$26,$C77)&lt;&gt;1,"",IF(INDEX('Source Data'!$G$21:$G$26,MATCH($C77,'Source Data'!$C$21:$C$26,0))="","",INDEX('Source Data'!$G$21:$G$26,MATCH($C77,'Source Data'!$C$21:$C$26,0))))</f>
        <v>2025</v>
      </c>
      <c r="G80" s="68" t="n">
        <f aca="false">IF(COUNTIFS('Source Data'!$C$21:$C$26,$C77)&lt;&gt;1,"",IF(INDEX('Source Data'!$G$21:$G$26,MATCH($C77,'Source Data'!$C$21:$C$26,0))="","",INDEX('Source Data'!$G$21:$G$26,MATCH($C77,'Source Data'!$C$21:$C$26,0))))</f>
        <v>2025</v>
      </c>
      <c r="H80" s="68" t="n">
        <f aca="false">IF(COUNTIFS('Source Data'!$C$21:$C$26,$C77)&lt;&gt;1,"",IF(INDEX('Source Data'!$G$21:$G$26,MATCH($C77,'Source Data'!$C$21:$C$26,0))="","",INDEX('Source Data'!$G$21:$G$26,MATCH($C77,'Source Data'!$C$21:$C$26,0))))</f>
        <v>2025</v>
      </c>
      <c r="I80" s="68" t="n">
        <f aca="false">IF(COUNTIFS('Source Data'!$C$21:$C$26,$C77)&lt;&gt;1,"",IF(INDEX('Source Data'!$G$21:$G$26,MATCH($C77,'Source Data'!$C$21:$C$26,0))="","",INDEX('Source Data'!$G$21:$G$26,MATCH($C77,'Source Data'!$C$21:$C$26,0))))</f>
        <v>2025</v>
      </c>
      <c r="J80" s="1"/>
    </row>
    <row r="81" customFormat="false" ht="18" hidden="false" customHeight="true" outlineLevel="0" collapsed="false">
      <c r="A81" s="1"/>
      <c r="B81" s="1"/>
      <c r="C81" s="2" t="s">
        <v>71</v>
      </c>
      <c r="D81" s="69" t="n">
        <f aca="false">IF(COUNT(D80,Assumptions!D$22,Assumptions!D$17)&lt;3,"",IF(OR(Assumptions!D$22&lt;0,Assumptions!D$22&gt;1,YEAR(Assumptions!D$17)&lt;D80),"",(1+Assumptions!D$22)^(YEAR(Assumptions!D$17)-D80)))</f>
        <v>1.03</v>
      </c>
      <c r="E81" s="69" t="n">
        <f aca="false">IF(COUNT(E80,Assumptions!E$22,Assumptions!E$17)&lt;3,"",IF(OR(Assumptions!E$22&lt;0,Assumptions!E$22&gt;1,YEAR(Assumptions!E$17)&lt;E80),"",IF(D81="","",D81*(1+Assumptions!E$22))))</f>
        <v>1.0609</v>
      </c>
      <c r="F81" s="69" t="n">
        <f aca="false">IF(COUNT(F80,Assumptions!F$22,Assumptions!F$17)&lt;3,"",IF(OR(Assumptions!F$22&lt;0,Assumptions!F$22&gt;1,YEAR(Assumptions!F$17)&lt;F80),"",IF(E81="","",E81*(1+Assumptions!F$22))))</f>
        <v>1.092727</v>
      </c>
      <c r="G81" s="69" t="n">
        <f aca="false">IF(COUNT(G80,Assumptions!G$22,Assumptions!G$17)&lt;3,"",IF(OR(Assumptions!G$22&lt;0,Assumptions!G$22&gt;1,YEAR(Assumptions!G$17)&lt;G80),"",IF(F81="","",F81*(1+Assumptions!G$22))))</f>
        <v>1.12550881</v>
      </c>
      <c r="H81" s="69" t="n">
        <f aca="false">IF(COUNT(H80,Assumptions!H$22,Assumptions!H$17)&lt;3,"",IF(OR(Assumptions!H$22&lt;0,Assumptions!H$22&gt;1,YEAR(Assumptions!H$17)&lt;H80),"",IF(G81="","",G81*(1+Assumptions!H$22))))</f>
        <v>1.1592740743</v>
      </c>
      <c r="I81" s="38" t="n">
        <f aca="false">IF(H81="","",H81)</f>
        <v>1.1592740743</v>
      </c>
      <c r="J81" s="1"/>
    </row>
    <row r="82" customFormat="false" ht="18" hidden="false" customHeight="true" outlineLevel="0" collapsed="false">
      <c r="A82" s="1"/>
      <c r="B82" s="1"/>
      <c r="C82" s="16" t="s">
        <v>72</v>
      </c>
      <c r="D82" s="70" t="n">
        <f aca="false">IF(OR(D78&lt;&gt;"Build from wage",COUNT(D79,D81)&lt;2,D79&lt;0),"",D79*D81)</f>
        <v>50.2125</v>
      </c>
      <c r="E82" s="70" t="n">
        <f aca="false">IF(OR(E78&lt;&gt;"Build from wage",COUNT(E79,E81)&lt;2,E79&lt;0),"",E79*E81)</f>
        <v>51.718875</v>
      </c>
      <c r="F82" s="70" t="n">
        <f aca="false">IF(OR(F78&lt;&gt;"Build from wage",COUNT(F79,F81)&lt;2,F79&lt;0),"",F79*F81)</f>
        <v>53.27044125</v>
      </c>
      <c r="G82" s="70" t="n">
        <f aca="false">IF(OR(G78&lt;&gt;"Build from wage",COUNT(G79,G81)&lt;2,G79&lt;0),"",G79*G81)</f>
        <v>54.8685544875</v>
      </c>
      <c r="H82" s="70" t="n">
        <f aca="false">IF(OR(H78&lt;&gt;"Build from wage",COUNT(H79,H81)&lt;2,H79&lt;0),"",H79*H81)</f>
        <v>56.514611122125</v>
      </c>
      <c r="I82" s="70" t="n">
        <f aca="false">IF(OR(I78&lt;&gt;"Build from wage",COUNT(I79,I81)&lt;2,I79&lt;0),"",I79*I81)</f>
        <v>56.514611122125</v>
      </c>
      <c r="J82" s="1"/>
    </row>
    <row r="83" customFormat="false" ht="18" hidden="false" customHeight="true" outlineLevel="0" collapsed="false">
      <c r="A83" s="1"/>
      <c r="B83" s="1"/>
      <c r="C83" s="2" t="s">
        <v>60</v>
      </c>
      <c r="D83" s="45" t="n">
        <f aca="false">IF(Staffing!D52="","",Staffing!D52)</f>
        <v>2351.30434782609</v>
      </c>
      <c r="E83" s="45" t="n">
        <f aca="false">IF(Staffing!E52="","",Staffing!E52)</f>
        <v>2351.30434782609</v>
      </c>
      <c r="F83" s="45" t="n">
        <f aca="false">IF(Staffing!F52="","",Staffing!F52)</f>
        <v>2351.30434782609</v>
      </c>
      <c r="G83" s="45" t="n">
        <f aca="false">IF(Staffing!G52="","",Staffing!G52)</f>
        <v>2351.30434782609</v>
      </c>
      <c r="H83" s="45" t="n">
        <f aca="false">IF(Staffing!H52="","",Staffing!H52)</f>
        <v>2351.30434782609</v>
      </c>
      <c r="I83" s="45" t="n">
        <f aca="false">IF(Staffing!I52="","",Staffing!I52)</f>
        <v>1175.65217391304</v>
      </c>
      <c r="J83" s="1"/>
    </row>
    <row r="84" customFormat="false" ht="18" hidden="false" customHeight="true" outlineLevel="0" collapsed="false">
      <c r="A84" s="1"/>
      <c r="B84" s="1"/>
      <c r="C84" s="16" t="s">
        <v>73</v>
      </c>
      <c r="D84" s="60" t="n">
        <f aca="false">IF(COUNT(D82:D83)&lt;2,"",D82*D83)</f>
        <v>118064.869565217</v>
      </c>
      <c r="E84" s="60" t="n">
        <f aca="false">IF(COUNT(E82:E83)&lt;2,"",E82*E83)</f>
        <v>121606.815652174</v>
      </c>
      <c r="F84" s="60" t="n">
        <f aca="false">IF(COUNT(F82:F83)&lt;2,"",F82*F83)</f>
        <v>125255.020121739</v>
      </c>
      <c r="G84" s="60" t="n">
        <f aca="false">IF(COUNT(G82:G83)&lt;2,"",G82*G83)</f>
        <v>129012.670725391</v>
      </c>
      <c r="H84" s="60" t="n">
        <f aca="false">IF(COUNT(H82:H83)&lt;2,"",H82*H83)</f>
        <v>132883.050847153</v>
      </c>
      <c r="I84" s="60" t="n">
        <f aca="false">IF(COUNT(I82:I83)&lt;2,"",I82*I83)</f>
        <v>66441.5254235765</v>
      </c>
      <c r="J84" s="1"/>
    </row>
    <row r="85" customFormat="false" ht="18" hidden="false" customHeight="true" outlineLevel="0" collapsed="false">
      <c r="A85" s="1"/>
      <c r="B85" s="1"/>
      <c r="C85" s="2" t="s">
        <v>74</v>
      </c>
      <c r="D85" s="59" t="n">
        <f aca="false">IF(OR(COUNT(D84,Assumptions!D$28)&lt;2,Assumptions!D$28&lt;0),"",D84*Assumptions!D$28)</f>
        <v>29516.2173913043</v>
      </c>
      <c r="E85" s="59" t="n">
        <f aca="false">IF(OR(COUNT(E84,Assumptions!E$28)&lt;2,Assumptions!E$28&lt;0),"",E84*Assumptions!E$28)</f>
        <v>30401.7039130435</v>
      </c>
      <c r="F85" s="59" t="n">
        <f aca="false">IF(OR(COUNT(F84,Assumptions!F$28)&lt;2,Assumptions!F$28&lt;0),"",F84*Assumptions!F$28)</f>
        <v>31313.7550304348</v>
      </c>
      <c r="G85" s="59" t="n">
        <f aca="false">IF(OR(COUNT(G84,Assumptions!G$28)&lt;2,Assumptions!G$28&lt;0),"",G84*Assumptions!G$28)</f>
        <v>32253.1676813478</v>
      </c>
      <c r="H85" s="59" t="n">
        <f aca="false">IF(OR(COUNT(H84,Assumptions!H$28)&lt;2,Assumptions!H$28&lt;0),"",H84*Assumptions!H$28)</f>
        <v>33220.7627117883</v>
      </c>
      <c r="I85" s="59" t="n">
        <f aca="false">IF(OR(COUNT(I84,Assumptions!I$28)&lt;2,Assumptions!I$28&lt;0),"",I84*Assumptions!I$28)</f>
        <v>16610.3813558941</v>
      </c>
      <c r="J85" s="1"/>
    </row>
    <row r="86" customFormat="false" ht="18" hidden="false" customHeight="true" outlineLevel="0" collapsed="false">
      <c r="A86" s="1"/>
      <c r="B86" s="1"/>
      <c r="C86" s="16" t="s">
        <v>75</v>
      </c>
      <c r="D86" s="58" t="n">
        <f aca="false">IF(OR(D78&lt;&gt;"Build from wage",COUNT(D83,Assumptions!$D$9)&lt;2,Assumptions!$D$9&lt;0),"",D83*Assumptions!$D$9)</f>
        <v>0</v>
      </c>
      <c r="E86" s="58" t="n">
        <f aca="false">IF(OR(E78&lt;&gt;"Build from wage",COUNT(E83,Assumptions!$D$9)&lt;2,Assumptions!$D$9&lt;0),"",E83*Assumptions!$D$9)</f>
        <v>0</v>
      </c>
      <c r="F86" s="58" t="n">
        <f aca="false">IF(OR(F78&lt;&gt;"Build from wage",COUNT(F83,Assumptions!$D$9)&lt;2,Assumptions!$D$9&lt;0),"",F83*Assumptions!$D$9)</f>
        <v>0</v>
      </c>
      <c r="G86" s="58" t="n">
        <f aca="false">IF(OR(G78&lt;&gt;"Build from wage",COUNT(G83,Assumptions!$D$9)&lt;2,Assumptions!$D$9&lt;0),"",G83*Assumptions!$D$9)</f>
        <v>0</v>
      </c>
      <c r="H86" s="58" t="n">
        <f aca="false">IF(OR(H78&lt;&gt;"Build from wage",COUNT(H83,Assumptions!$D$9)&lt;2,Assumptions!$D$9&lt;0),"",H83*Assumptions!$D$9)</f>
        <v>0</v>
      </c>
      <c r="I86" s="58" t="n">
        <f aca="false">IF(OR(I78&lt;&gt;"Build from wage",COUNT(I83,Assumptions!$D$9)&lt;2,Assumptions!$D$9&lt;0),"",I83*Assumptions!$D$9)</f>
        <v>0</v>
      </c>
      <c r="J86" s="1"/>
    </row>
    <row r="87" customFormat="false" ht="18" hidden="false" customHeight="true" outlineLevel="0" collapsed="false">
      <c r="A87" s="1"/>
      <c r="B87" s="1"/>
      <c r="C87" s="2" t="s">
        <v>76</v>
      </c>
      <c r="D87" s="57" t="n">
        <f aca="false">IF(COUNT(D84:D86)&lt;3,"",SUM(D84:D86))</f>
        <v>147581.086956522</v>
      </c>
      <c r="E87" s="57" t="n">
        <f aca="false">IF(COUNT(E84:E86)&lt;3,"",SUM(E84:E86))</f>
        <v>152008.519565217</v>
      </c>
      <c r="F87" s="57" t="n">
        <f aca="false">IF(COUNT(F84:F86)&lt;3,"",SUM(F84:F86))</f>
        <v>156568.775152174</v>
      </c>
      <c r="G87" s="57" t="n">
        <f aca="false">IF(COUNT(G84:G86)&lt;3,"",SUM(G84:G86))</f>
        <v>161265.838406739</v>
      </c>
      <c r="H87" s="57" t="n">
        <f aca="false">IF(COUNT(H84:H86)&lt;3,"",SUM(H84:H86))</f>
        <v>166103.813558941</v>
      </c>
      <c r="I87" s="57" t="n">
        <f aca="false">IF(COUNT(I84:I86)&lt;3,"",SUM(I84:I86))</f>
        <v>83051.9067794707</v>
      </c>
      <c r="J87" s="1"/>
    </row>
    <row r="88" customFormat="false" ht="18" hidden="false" customHeight="true" outlineLevel="0" collapsed="false">
      <c r="A88" s="1"/>
      <c r="B88" s="1"/>
      <c r="C88" s="16" t="s">
        <v>77</v>
      </c>
      <c r="D88" s="58" t="n">
        <f aca="false">IF(OR(COUNT(D87,Assumptions!D$34)&lt;2,Assumptions!D$34&lt;0),"",D87*Assumptions!D$34)</f>
        <v>14758.1086956522</v>
      </c>
      <c r="E88" s="58" t="n">
        <f aca="false">IF(OR(COUNT(E87,Assumptions!E$34)&lt;2,Assumptions!E$34&lt;0),"",E87*Assumptions!E$34)</f>
        <v>15200.8519565217</v>
      </c>
      <c r="F88" s="58" t="n">
        <f aca="false">IF(OR(COUNT(F87,Assumptions!F$34)&lt;2,Assumptions!F$34&lt;0),"",F87*Assumptions!F$34)</f>
        <v>15656.8775152174</v>
      </c>
      <c r="G88" s="58" t="n">
        <f aca="false">IF(OR(COUNT(G87,Assumptions!G$34)&lt;2,Assumptions!G$34&lt;0),"",G87*Assumptions!G$34)</f>
        <v>16126.5838406739</v>
      </c>
      <c r="H88" s="58" t="n">
        <f aca="false">IF(OR(COUNT(H87,Assumptions!H$34)&lt;2,Assumptions!H$34&lt;0),"",H87*Assumptions!H$34)</f>
        <v>16610.3813558941</v>
      </c>
      <c r="I88" s="58" t="n">
        <f aca="false">IF(OR(COUNT(I87,Assumptions!I$34)&lt;2,Assumptions!I$34&lt;0),"",I87*Assumptions!I$34)</f>
        <v>8305.19067794707</v>
      </c>
      <c r="J88" s="1"/>
    </row>
    <row r="89" customFormat="false" ht="18" hidden="false" customHeight="true" outlineLevel="0" collapsed="false">
      <c r="A89" s="1"/>
      <c r="B89" s="1"/>
      <c r="C89" s="2" t="s">
        <v>78</v>
      </c>
      <c r="D89" s="57" t="n">
        <f aca="false">IF(COUNT(D87:D88)&lt;2,"",SUM(D87:D88))</f>
        <v>162339.195652174</v>
      </c>
      <c r="E89" s="57" t="n">
        <f aca="false">IF(COUNT(E87:E88)&lt;2,"",SUM(E87:E88))</f>
        <v>167209.371521739</v>
      </c>
      <c r="F89" s="57" t="n">
        <f aca="false">IF(COUNT(F87:F88)&lt;2,"",SUM(F87:F88))</f>
        <v>172225.652667391</v>
      </c>
      <c r="G89" s="57" t="n">
        <f aca="false">IF(COUNT(G87:G88)&lt;2,"",SUM(G87:G88))</f>
        <v>177392.422247413</v>
      </c>
      <c r="H89" s="57" t="n">
        <f aca="false">IF(COUNT(H87:H88)&lt;2,"",SUM(H87:H88))</f>
        <v>182714.194914835</v>
      </c>
      <c r="I89" s="57" t="n">
        <f aca="false">IF(COUNT(I87:I88)&lt;2,"",SUM(I87:I88))</f>
        <v>91357.0974574177</v>
      </c>
      <c r="J89" s="1"/>
    </row>
    <row r="90" customFormat="false" ht="18" hidden="false" customHeight="true" outlineLevel="0" collapsed="false">
      <c r="A90" s="1"/>
      <c r="B90" s="1"/>
      <c r="C90" s="16" t="s">
        <v>79</v>
      </c>
      <c r="D90" s="58" t="n">
        <f aca="false">IF(OR(COUNT(D89,Assumptions!D$40)&lt;2,Assumptions!D$40&lt;0),"",D89*Assumptions!D$40)</f>
        <v>16233.9195652174</v>
      </c>
      <c r="E90" s="58" t="n">
        <f aca="false">IF(OR(COUNT(E89,Assumptions!E$40)&lt;2,Assumptions!E$40&lt;0),"",E89*Assumptions!E$40)</f>
        <v>16720.9371521739</v>
      </c>
      <c r="F90" s="58" t="n">
        <f aca="false">IF(OR(COUNT(F89,Assumptions!F$40)&lt;2,Assumptions!F$40&lt;0),"",F89*Assumptions!F$40)</f>
        <v>17222.5652667391</v>
      </c>
      <c r="G90" s="58" t="n">
        <f aca="false">IF(OR(COUNT(G89,Assumptions!G$40)&lt;2,Assumptions!G$40&lt;0),"",G89*Assumptions!G$40)</f>
        <v>17739.2422247413</v>
      </c>
      <c r="H90" s="58" t="n">
        <f aca="false">IF(OR(COUNT(H89,Assumptions!H$40)&lt;2,Assumptions!H$40&lt;0),"",H89*Assumptions!H$40)</f>
        <v>18271.4194914835</v>
      </c>
      <c r="I90" s="58" t="n">
        <f aca="false">IF(OR(COUNT(I89,Assumptions!I$40)&lt;2,Assumptions!I$40&lt;0),"",I89*Assumptions!I$40)</f>
        <v>9135.70974574177</v>
      </c>
      <c r="J90" s="1"/>
    </row>
    <row r="91" customFormat="false" ht="18" hidden="false" customHeight="true" outlineLevel="0" collapsed="false">
      <c r="A91" s="1"/>
      <c r="B91" s="1"/>
      <c r="C91" s="2" t="s">
        <v>80</v>
      </c>
      <c r="D91" s="57" t="n">
        <f aca="false">IF(COUNT(D89:D90)&lt;2,"",SUM(D89:D90))</f>
        <v>178573.115217391</v>
      </c>
      <c r="E91" s="57" t="n">
        <f aca="false">IF(COUNT(E89:E90)&lt;2,"",SUM(E89:E90))</f>
        <v>183930.308673913</v>
      </c>
      <c r="F91" s="57" t="n">
        <f aca="false">IF(COUNT(F89:F90)&lt;2,"",SUM(F89:F90))</f>
        <v>189448.21793413</v>
      </c>
      <c r="G91" s="57" t="n">
        <f aca="false">IF(COUNT(G89:G90)&lt;2,"",SUM(G89:G90))</f>
        <v>195131.664472154</v>
      </c>
      <c r="H91" s="57" t="n">
        <f aca="false">IF(COUNT(H89:H90)&lt;2,"",SUM(H89:H90))</f>
        <v>200985.614406319</v>
      </c>
      <c r="I91" s="57" t="n">
        <f aca="false">IF(COUNT(I89:I90)&lt;2,"",SUM(I89:I90))</f>
        <v>100492.80720316</v>
      </c>
      <c r="J91" s="1"/>
    </row>
    <row r="92" customFormat="false" ht="18" hidden="false" customHeight="true" outlineLevel="0" collapsed="false">
      <c r="A92" s="1"/>
      <c r="B92" s="1"/>
      <c r="C92" s="16" t="s">
        <v>81</v>
      </c>
      <c r="D92" s="58" t="n">
        <f aca="false">IF(OR(COUNT(D91,Assumptions!$D$10)&lt;2,Assumptions!$D$10&lt;0),"",IF(Assumptions!$D$11="Profit on cost",D91*Assumptions!$D$10,IF(Assumptions!$D$11="Margin on sales",IF(Assumptions!$D$10&gt;=1,"",D91/(1-Assumptions!$D$10)-D91),"")))</f>
        <v>17857.3115217391</v>
      </c>
      <c r="E92" s="58" t="n">
        <f aca="false">IF(OR(COUNT(E91,Assumptions!$D$10)&lt;2,Assumptions!$D$10&lt;0),"",IF(Assumptions!$D$11="Profit on cost",E91*Assumptions!$D$10,IF(Assumptions!$D$11="Margin on sales",IF(Assumptions!$D$10&gt;=1,"",E91/(1-Assumptions!$D$10)-E91),"")))</f>
        <v>18393.0308673913</v>
      </c>
      <c r="F92" s="58" t="n">
        <f aca="false">IF(OR(COUNT(F91,Assumptions!$D$10)&lt;2,Assumptions!$D$10&lt;0),"",IF(Assumptions!$D$11="Profit on cost",F91*Assumptions!$D$10,IF(Assumptions!$D$11="Margin on sales",IF(Assumptions!$D$10&gt;=1,"",F91/(1-Assumptions!$D$10)-F91),"")))</f>
        <v>18944.821793413</v>
      </c>
      <c r="G92" s="58" t="n">
        <f aca="false">IF(OR(COUNT(G91,Assumptions!$D$10)&lt;2,Assumptions!$D$10&lt;0),"",IF(Assumptions!$D$11="Profit on cost",G91*Assumptions!$D$10,IF(Assumptions!$D$11="Margin on sales",IF(Assumptions!$D$10&gt;=1,"",G91/(1-Assumptions!$D$10)-G91),"")))</f>
        <v>19513.1664472154</v>
      </c>
      <c r="H92" s="58" t="n">
        <f aca="false">IF(OR(COUNT(H91,Assumptions!$D$10)&lt;2,Assumptions!$D$10&lt;0),"",IF(Assumptions!$D$11="Profit on cost",H91*Assumptions!$D$10,IF(Assumptions!$D$11="Margin on sales",IF(Assumptions!$D$10&gt;=1,"",H91/(1-Assumptions!$D$10)-H91),"")))</f>
        <v>20098.5614406319</v>
      </c>
      <c r="I92" s="58" t="n">
        <f aca="false">IF(OR(COUNT(I91,Assumptions!$D$10)&lt;2,Assumptions!$D$10&lt;0),"",IF(Assumptions!$D$11="Profit on cost",I91*Assumptions!$D$10,IF(Assumptions!$D$11="Margin on sales",IF(Assumptions!$D$10&gt;=1,"",I91/(1-Assumptions!$D$10)-I91),"")))</f>
        <v>10049.280720316</v>
      </c>
      <c r="J92" s="1"/>
    </row>
    <row r="93" customFormat="false" ht="18" hidden="false" customHeight="true" outlineLevel="0" collapsed="false">
      <c r="A93" s="1"/>
      <c r="B93" s="1"/>
      <c r="C93" s="2" t="s">
        <v>82</v>
      </c>
      <c r="D93" s="71" t="n">
        <f aca="false">IF(D78="Use supplied loaded rate",IF(COUNTIFS('Source Data'!$C$21:$C$26,$C77)&lt;&gt;1,"",IF(INDEX('Source Data'!$I$21:$I$26,MATCH($C77,'Source Data'!$C$21:$C$26,0))="","",INDEX('Source Data'!$I$21:$I$26,MATCH($C77,'Source Data'!$C$21:$C$26,0)))),IF(OR(D78&lt;&gt;"Build from wage",COUNT(D91:D92)&lt;2,NOT(ISNUMBER(Staffing!D45)),Staffing!D45&lt;=0),"",SUM(D91:D92)/Staffing!D45))</f>
        <v>94.4377051630435</v>
      </c>
      <c r="E93" s="71" t="n">
        <f aca="false">IF(E78="Use supplied loaded rate",IF(OR(COUNT(D93,Assumptions!E$46)&lt;2,Assumptions!E$46&lt;0,Assumptions!E$46&gt;1),"",D93*(1+Assumptions!E$46)),IF(OR(E78&lt;&gt;"Build from wage",COUNT(E91:E92)&lt;2,NOT(ISNUMBER(Staffing!E45)),Staffing!E45&lt;=0),"",SUM(E91:E92)/Staffing!E45))</f>
        <v>97.2708363179348</v>
      </c>
      <c r="F93" s="71" t="n">
        <f aca="false">IF(F78="Use supplied loaded rate",IF(OR(COUNT(E93,Assumptions!F$46)&lt;2,Assumptions!F$46&lt;0,Assumptions!F$46&gt;1),"",E93*(1+Assumptions!F$46)),IF(OR(F78&lt;&gt;"Build from wage",COUNT(F91:F92)&lt;2,NOT(ISNUMBER(Staffing!F45)),Staffing!F45&lt;=0),"",SUM(F91:F92)/Staffing!F45))</f>
        <v>100.188961407473</v>
      </c>
      <c r="G93" s="71" t="n">
        <f aca="false">IF(G78="Use supplied loaded rate",IF(OR(COUNT(F93,Assumptions!G$46)&lt;2,Assumptions!G$46&lt;0,Assumptions!G$46&gt;1),"",F93*(1+Assumptions!G$46)),IF(OR(G78&lt;&gt;"Build from wage",COUNT(G91:G92)&lt;2,NOT(ISNUMBER(Staffing!G45)),Staffing!G45&lt;=0),"",SUM(G91:G92)/Staffing!G45))</f>
        <v>103.194630249697</v>
      </c>
      <c r="H93" s="71" t="n">
        <f aca="false">IF(H78="Use supplied loaded rate",IF(OR(COUNT(G93,Assumptions!H$46)&lt;2,Assumptions!H$46&lt;0,Assumptions!H$46&gt;1),"",G93*(1+Assumptions!H$46)),IF(OR(H78&lt;&gt;"Build from wage",COUNT(H91:H92)&lt;2,NOT(ISNUMBER(Staffing!H45)),Staffing!H45&lt;=0),"",SUM(H91:H92)/Staffing!H45))</f>
        <v>106.290469157188</v>
      </c>
      <c r="I93" s="71" t="n">
        <f aca="false">IF(I78="Use supplied loaded rate",IF(H93="","",H93),IF(OR(I78&lt;&gt;"Build from wage",COUNT(I91:I92)&lt;2,NOT(ISNUMBER(Staffing!I45)),Staffing!I45&lt;=0),"",SUM(I91:I92)/Staffing!I45))</f>
        <v>106.290469157188</v>
      </c>
      <c r="J93" s="1"/>
    </row>
    <row r="94" customFormat="false" ht="18" hidden="false" customHeight="true" outlineLevel="0" collapsed="false">
      <c r="A94" s="1"/>
      <c r="B94" s="1"/>
      <c r="C94" s="16" t="s">
        <v>83</v>
      </c>
      <c r="D94" s="62"/>
      <c r="E94" s="62"/>
      <c r="F94" s="62"/>
      <c r="G94" s="62"/>
      <c r="H94" s="62"/>
      <c r="I94" s="62"/>
      <c r="J94" s="1"/>
    </row>
    <row r="95" customFormat="false" ht="18" hidden="false" customHeight="true" outlineLevel="0" collapsed="false">
      <c r="A95" s="1"/>
      <c r="B95" s="1"/>
      <c r="C95" s="72" t="s">
        <v>84</v>
      </c>
      <c r="D95" s="73" t="n">
        <f aca="false">IF(D94="",IF(OR(NOT(ISNUMBER(D93)),D93&lt;0),"",ROUND(D93,4)),IF(AND(ISNUMBER(D94),D94&gt;=0),ROUND(D94,4),""))</f>
        <v>94.4377</v>
      </c>
      <c r="E95" s="73" t="n">
        <f aca="false">IF(E94="",IF(OR(NOT(ISNUMBER(E93)),E93&lt;0),"",ROUND(E93,4)),IF(AND(ISNUMBER(E94),E94&gt;=0),ROUND(E94,4),""))</f>
        <v>97.2708</v>
      </c>
      <c r="F95" s="73" t="n">
        <f aca="false">IF(F94="",IF(OR(NOT(ISNUMBER(F93)),F93&lt;0),"",ROUND(F93,4)),IF(AND(ISNUMBER(F94),F94&gt;=0),ROUND(F94,4),""))</f>
        <v>100.189</v>
      </c>
      <c r="G95" s="73" t="n">
        <f aca="false">IF(G94="",IF(OR(NOT(ISNUMBER(G93)),G93&lt;0),"",ROUND(G93,4)),IF(AND(ISNUMBER(G94),G94&gt;=0),ROUND(G94,4),""))</f>
        <v>103.1946</v>
      </c>
      <c r="H95" s="73" t="n">
        <f aca="false">IF(H94="",IF(OR(NOT(ISNUMBER(H93)),H93&lt;0),"",ROUND(H93,4)),IF(AND(ISNUMBER(H94),H94&gt;=0),ROUND(H94,4),""))</f>
        <v>106.2905</v>
      </c>
      <c r="I95" s="73" t="n">
        <f aca="false">IF(I94="",IF(OR(NOT(ISNUMBER(H95)),H95&lt;0),"",ROUND(H95,4)),IF(AND(ISNUMBER(I94),I94&gt;=0),ROUND(I94,4),""))</f>
        <v>106.2905</v>
      </c>
      <c r="J95" s="1"/>
    </row>
    <row r="96" customFormat="false" ht="32" hidden="false" customHeight="true" outlineLevel="0" collapsed="false">
      <c r="A96" s="1"/>
      <c r="B96" s="1"/>
      <c r="C96" s="16" t="s">
        <v>61</v>
      </c>
      <c r="D96" s="74" t="str">
        <f aca="false">IF(Staffing!D53&lt;&gt;"Complete",Staffing!D53,IF(AND(D78&lt;&gt;"Build from wage",D78&lt;&gt;"Use supplied loaded rate"),"Invalid rate basis",IF(Staffing!D45=0,"Zero hours",IF(D95="","Missing / invalid rate",IF(AND(D78="Build from wage",COUNT(D91:D92)&lt;2),"Missing cost inputs","Complete")))))</f>
        <v>Complete</v>
      </c>
      <c r="E96" s="74" t="str">
        <f aca="false">IF(Staffing!E53&lt;&gt;"Complete",Staffing!E53,IF(AND(E78&lt;&gt;"Build from wage",E78&lt;&gt;"Use supplied loaded rate"),"Invalid rate basis",IF(Staffing!E45=0,"Zero hours",IF(E95="","Missing / invalid rate",IF(AND(E78="Build from wage",COUNT(E91:E92)&lt;2),"Missing cost inputs","Complete")))))</f>
        <v>Complete</v>
      </c>
      <c r="F96" s="74" t="str">
        <f aca="false">IF(Staffing!F53&lt;&gt;"Complete",Staffing!F53,IF(AND(F78&lt;&gt;"Build from wage",F78&lt;&gt;"Use supplied loaded rate"),"Invalid rate basis",IF(Staffing!F45=0,"Zero hours",IF(F95="","Missing / invalid rate",IF(AND(F78="Build from wage",COUNT(F91:F92)&lt;2),"Missing cost inputs","Complete")))))</f>
        <v>Complete</v>
      </c>
      <c r="G96" s="74" t="str">
        <f aca="false">IF(Staffing!G53&lt;&gt;"Complete",Staffing!G53,IF(AND(G78&lt;&gt;"Build from wage",G78&lt;&gt;"Use supplied loaded rate"),"Invalid rate basis",IF(Staffing!G45=0,"Zero hours",IF(G95="","Missing / invalid rate",IF(AND(G78="Build from wage",COUNT(G91:G92)&lt;2),"Missing cost inputs","Complete")))))</f>
        <v>Complete</v>
      </c>
      <c r="H96" s="74" t="str">
        <f aca="false">IF(Staffing!H53&lt;&gt;"Complete",Staffing!H53,IF(AND(H78&lt;&gt;"Build from wage",H78&lt;&gt;"Use supplied loaded rate"),"Invalid rate basis",IF(Staffing!H45=0,"Zero hours",IF(H95="","Missing / invalid rate",IF(AND(H78="Build from wage",COUNT(H91:H92)&lt;2),"Missing cost inputs","Complete")))))</f>
        <v>Complete</v>
      </c>
      <c r="I96" s="74" t="str">
        <f aca="false">IF(Staffing!I53&lt;&gt;"Complete",Staffing!I53,IF(AND(I78&lt;&gt;"Build from wage",I78&lt;&gt;"Use supplied loaded rate"),"Invalid rate basis",IF(Staffing!I45=0,"Zero hours",IF(I95="","Missing / invalid rate",IF(AND(I78="Build from wage",COUNT(I91:I92)&lt;2),"Missing cost inputs","Complete")))))</f>
        <v>Complete</v>
      </c>
      <c r="J96" s="1"/>
    </row>
    <row r="97" customFormat="false" ht="18" hidden="false" customHeight="true" outlineLevel="0" collapsed="false">
      <c r="A97" s="1"/>
      <c r="B97" s="1"/>
      <c r="C97" s="2"/>
      <c r="D97" s="3"/>
      <c r="E97" s="3"/>
      <c r="F97" s="3"/>
      <c r="G97" s="3"/>
      <c r="H97" s="3"/>
      <c r="I97" s="3"/>
      <c r="J97" s="1"/>
    </row>
    <row r="98" customFormat="false" ht="18" hidden="false" customHeight="true" outlineLevel="0" collapsed="false">
      <c r="A98" s="1"/>
      <c r="B98" s="1"/>
      <c r="C98" s="2"/>
      <c r="D98" s="3"/>
      <c r="E98" s="3"/>
      <c r="F98" s="3"/>
      <c r="G98" s="3"/>
      <c r="H98" s="3"/>
      <c r="I98" s="3"/>
      <c r="J98" s="1"/>
    </row>
    <row r="99" customFormat="false" ht="18" hidden="false" customHeight="true" outlineLevel="0" collapsed="false">
      <c r="A99" s="1"/>
      <c r="B99" s="1"/>
      <c r="C99" s="2"/>
      <c r="D99" s="3"/>
      <c r="E99" s="3"/>
      <c r="F99" s="3"/>
      <c r="G99" s="3"/>
      <c r="H99" s="3"/>
      <c r="I99" s="3"/>
      <c r="J99" s="1"/>
    </row>
    <row r="100" customFormat="false" ht="18" hidden="false" customHeight="true" outlineLevel="0" collapsed="false">
      <c r="A100" s="1"/>
      <c r="B100" s="1"/>
      <c r="C100" s="43" t="s">
        <v>65</v>
      </c>
      <c r="D100" s="44" t="str">
        <f aca="false">IF(COUNTIFS('Source Data'!$C$21:$C$26,$C100)&lt;&gt;1,"",IF(INDEX('Source Data'!$D$21:$D$26,MATCH($C100,'Source Data'!$C$21:$C$26,0))="","",INDEX('Source Data'!$D$21:$D$26,MATCH($C100,'Source Data'!$C$21:$C$26,0))))</f>
        <v>Program Analyst II</v>
      </c>
      <c r="E100" s="44"/>
      <c r="F100" s="44"/>
      <c r="G100" s="44"/>
      <c r="H100" s="44"/>
      <c r="I100" s="44"/>
      <c r="J100" s="1"/>
    </row>
    <row r="101" customFormat="false" ht="31" hidden="false" customHeight="true" outlineLevel="0" collapsed="false">
      <c r="A101" s="1"/>
      <c r="B101" s="1"/>
      <c r="C101" s="2" t="s">
        <v>68</v>
      </c>
      <c r="D101" s="51" t="str">
        <f aca="false">IF(COUNTIFS('Source Data'!$C$21:$C$26,$C100)&lt;&gt;1,"",IF(INDEX('Source Data'!$H$21:$H$26,MATCH($C100,'Source Data'!$C$21:$C$26,0))="","",INDEX('Source Data'!$H$21:$H$26,MATCH($C100,'Source Data'!$C$21:$C$26,0))))</f>
        <v>Build from wage</v>
      </c>
      <c r="E101" s="51" t="str">
        <f aca="false">IF(COUNTIFS('Source Data'!$C$21:$C$26,$C100)&lt;&gt;1,"",IF(INDEX('Source Data'!$H$21:$H$26,MATCH($C100,'Source Data'!$C$21:$C$26,0))="","",INDEX('Source Data'!$H$21:$H$26,MATCH($C100,'Source Data'!$C$21:$C$26,0))))</f>
        <v>Build from wage</v>
      </c>
      <c r="F101" s="51" t="str">
        <f aca="false">IF(COUNTIFS('Source Data'!$C$21:$C$26,$C100)&lt;&gt;1,"",IF(INDEX('Source Data'!$H$21:$H$26,MATCH($C100,'Source Data'!$C$21:$C$26,0))="","",INDEX('Source Data'!$H$21:$H$26,MATCH($C100,'Source Data'!$C$21:$C$26,0))))</f>
        <v>Build from wage</v>
      </c>
      <c r="G101" s="51" t="str">
        <f aca="false">IF(COUNTIFS('Source Data'!$C$21:$C$26,$C100)&lt;&gt;1,"",IF(INDEX('Source Data'!$H$21:$H$26,MATCH($C100,'Source Data'!$C$21:$C$26,0))="","",INDEX('Source Data'!$H$21:$H$26,MATCH($C100,'Source Data'!$C$21:$C$26,0))))</f>
        <v>Build from wage</v>
      </c>
      <c r="H101" s="51" t="str">
        <f aca="false">IF(COUNTIFS('Source Data'!$C$21:$C$26,$C100)&lt;&gt;1,"",IF(INDEX('Source Data'!$H$21:$H$26,MATCH($C100,'Source Data'!$C$21:$C$26,0))="","",INDEX('Source Data'!$H$21:$H$26,MATCH($C100,'Source Data'!$C$21:$C$26,0))))</f>
        <v>Build from wage</v>
      </c>
      <c r="I101" s="51" t="str">
        <f aca="false">IF(COUNTIFS('Source Data'!$C$21:$C$26,$C100)&lt;&gt;1,"",IF(INDEX('Source Data'!$H$21:$H$26,MATCH($C100,'Source Data'!$C$21:$C$26,0))="","",INDEX('Source Data'!$H$21:$H$26,MATCH($C100,'Source Data'!$C$21:$C$26,0))))</f>
        <v>Build from wage</v>
      </c>
      <c r="J101" s="1"/>
    </row>
    <row r="102" customFormat="false" ht="18" hidden="false" customHeight="true" outlineLevel="0" collapsed="false">
      <c r="A102" s="1"/>
      <c r="B102" s="1"/>
      <c r="C102" s="16" t="s">
        <v>69</v>
      </c>
      <c r="D102" s="52" t="n">
        <f aca="false">IF(COUNTIFS('Source Data'!$C$21:$C$26,$C100)&lt;&gt;1,"",IF(INDEX('Source Data'!$F$21:$F$26,MATCH($C100,'Source Data'!$C$21:$C$26,0))="","",INDEX('Source Data'!$F$21:$F$26,MATCH($C100,'Source Data'!$C$21:$C$26,0))))</f>
        <v>60.97</v>
      </c>
      <c r="E102" s="52" t="n">
        <f aca="false">IF(COUNTIFS('Source Data'!$C$21:$C$26,$C100)&lt;&gt;1,"",IF(INDEX('Source Data'!$F$21:$F$26,MATCH($C100,'Source Data'!$C$21:$C$26,0))="","",INDEX('Source Data'!$F$21:$F$26,MATCH($C100,'Source Data'!$C$21:$C$26,0))))</f>
        <v>60.97</v>
      </c>
      <c r="F102" s="52" t="n">
        <f aca="false">IF(COUNTIFS('Source Data'!$C$21:$C$26,$C100)&lt;&gt;1,"",IF(INDEX('Source Data'!$F$21:$F$26,MATCH($C100,'Source Data'!$C$21:$C$26,0))="","",INDEX('Source Data'!$F$21:$F$26,MATCH($C100,'Source Data'!$C$21:$C$26,0))))</f>
        <v>60.97</v>
      </c>
      <c r="G102" s="52" t="n">
        <f aca="false">IF(COUNTIFS('Source Data'!$C$21:$C$26,$C100)&lt;&gt;1,"",IF(INDEX('Source Data'!$F$21:$F$26,MATCH($C100,'Source Data'!$C$21:$C$26,0))="","",INDEX('Source Data'!$F$21:$F$26,MATCH($C100,'Source Data'!$C$21:$C$26,0))))</f>
        <v>60.97</v>
      </c>
      <c r="H102" s="52" t="n">
        <f aca="false">IF(COUNTIFS('Source Data'!$C$21:$C$26,$C100)&lt;&gt;1,"",IF(INDEX('Source Data'!$F$21:$F$26,MATCH($C100,'Source Data'!$C$21:$C$26,0))="","",INDEX('Source Data'!$F$21:$F$26,MATCH($C100,'Source Data'!$C$21:$C$26,0))))</f>
        <v>60.97</v>
      </c>
      <c r="I102" s="52" t="n">
        <f aca="false">IF(COUNTIFS('Source Data'!$C$21:$C$26,$C100)&lt;&gt;1,"",IF(INDEX('Source Data'!$F$21:$F$26,MATCH($C100,'Source Data'!$C$21:$C$26,0))="","",INDEX('Source Data'!$F$21:$F$26,MATCH($C100,'Source Data'!$C$21:$C$26,0))))</f>
        <v>60.97</v>
      </c>
      <c r="J102" s="1"/>
    </row>
    <row r="103" customFormat="false" ht="18" hidden="false" customHeight="true" outlineLevel="0" collapsed="false">
      <c r="A103" s="1"/>
      <c r="B103" s="1"/>
      <c r="C103" s="2" t="s">
        <v>70</v>
      </c>
      <c r="D103" s="53" t="n">
        <f aca="false">IF(COUNTIFS('Source Data'!$C$21:$C$26,$C100)&lt;&gt;1,"",IF(INDEX('Source Data'!$G$21:$G$26,MATCH($C100,'Source Data'!$C$21:$C$26,0))="","",INDEX('Source Data'!$G$21:$G$26,MATCH($C100,'Source Data'!$C$21:$C$26,0))))</f>
        <v>2025</v>
      </c>
      <c r="E103" s="53" t="n">
        <f aca="false">IF(COUNTIFS('Source Data'!$C$21:$C$26,$C100)&lt;&gt;1,"",IF(INDEX('Source Data'!$G$21:$G$26,MATCH($C100,'Source Data'!$C$21:$C$26,0))="","",INDEX('Source Data'!$G$21:$G$26,MATCH($C100,'Source Data'!$C$21:$C$26,0))))</f>
        <v>2025</v>
      </c>
      <c r="F103" s="53" t="n">
        <f aca="false">IF(COUNTIFS('Source Data'!$C$21:$C$26,$C100)&lt;&gt;1,"",IF(INDEX('Source Data'!$G$21:$G$26,MATCH($C100,'Source Data'!$C$21:$C$26,0))="","",INDEX('Source Data'!$G$21:$G$26,MATCH($C100,'Source Data'!$C$21:$C$26,0))))</f>
        <v>2025</v>
      </c>
      <c r="G103" s="53" t="n">
        <f aca="false">IF(COUNTIFS('Source Data'!$C$21:$C$26,$C100)&lt;&gt;1,"",IF(INDEX('Source Data'!$G$21:$G$26,MATCH($C100,'Source Data'!$C$21:$C$26,0))="","",INDEX('Source Data'!$G$21:$G$26,MATCH($C100,'Source Data'!$C$21:$C$26,0))))</f>
        <v>2025</v>
      </c>
      <c r="H103" s="53" t="n">
        <f aca="false">IF(COUNTIFS('Source Data'!$C$21:$C$26,$C100)&lt;&gt;1,"",IF(INDEX('Source Data'!$G$21:$G$26,MATCH($C100,'Source Data'!$C$21:$C$26,0))="","",INDEX('Source Data'!$G$21:$G$26,MATCH($C100,'Source Data'!$C$21:$C$26,0))))</f>
        <v>2025</v>
      </c>
      <c r="I103" s="53" t="n">
        <f aca="false">IF(COUNTIFS('Source Data'!$C$21:$C$26,$C100)&lt;&gt;1,"",IF(INDEX('Source Data'!$G$21:$G$26,MATCH($C100,'Source Data'!$C$21:$C$26,0))="","",INDEX('Source Data'!$G$21:$G$26,MATCH($C100,'Source Data'!$C$21:$C$26,0))))</f>
        <v>2025</v>
      </c>
      <c r="J103" s="1"/>
    </row>
    <row r="104" customFormat="false" ht="18" hidden="false" customHeight="true" outlineLevel="0" collapsed="false">
      <c r="A104" s="1"/>
      <c r="B104" s="1"/>
      <c r="C104" s="16" t="s">
        <v>71</v>
      </c>
      <c r="D104" s="54" t="n">
        <f aca="false">IF(COUNT(D103,Assumptions!D$22,Assumptions!D$17)&lt;3,"",IF(OR(Assumptions!D$22&lt;0,Assumptions!D$22&gt;1,YEAR(Assumptions!D$17)&lt;D103),"",(1+Assumptions!D$22)^(YEAR(Assumptions!D$17)-D103)))</f>
        <v>1.03</v>
      </c>
      <c r="E104" s="54" t="n">
        <f aca="false">IF(COUNT(E103,Assumptions!E$22,Assumptions!E$17)&lt;3,"",IF(OR(Assumptions!E$22&lt;0,Assumptions!E$22&gt;1,YEAR(Assumptions!E$17)&lt;E103),"",IF(D104="","",D104*(1+Assumptions!E$22))))</f>
        <v>1.0609</v>
      </c>
      <c r="F104" s="54" t="n">
        <f aca="false">IF(COUNT(F103,Assumptions!F$22,Assumptions!F$17)&lt;3,"",IF(OR(Assumptions!F$22&lt;0,Assumptions!F$22&gt;1,YEAR(Assumptions!F$17)&lt;F103),"",IF(E104="","",E104*(1+Assumptions!F$22))))</f>
        <v>1.092727</v>
      </c>
      <c r="G104" s="54" t="n">
        <f aca="false">IF(COUNT(G103,Assumptions!G$22,Assumptions!G$17)&lt;3,"",IF(OR(Assumptions!G$22&lt;0,Assumptions!G$22&gt;1,YEAR(Assumptions!G$17)&lt;G103),"",IF(F104="","",F104*(1+Assumptions!G$22))))</f>
        <v>1.12550881</v>
      </c>
      <c r="H104" s="54" t="n">
        <f aca="false">IF(COUNT(H103,Assumptions!H$22,Assumptions!H$17)&lt;3,"",IF(OR(Assumptions!H$22&lt;0,Assumptions!H$22&gt;1,YEAR(Assumptions!H$17)&lt;H103),"",IF(G104="","",G104*(1+Assumptions!H$22))))</f>
        <v>1.1592740743</v>
      </c>
      <c r="I104" s="55" t="n">
        <f aca="false">IF(H104="","",H104)</f>
        <v>1.1592740743</v>
      </c>
      <c r="J104" s="1"/>
    </row>
    <row r="105" customFormat="false" ht="18" hidden="false" customHeight="true" outlineLevel="0" collapsed="false">
      <c r="A105" s="1"/>
      <c r="B105" s="1"/>
      <c r="C105" s="2" t="s">
        <v>72</v>
      </c>
      <c r="D105" s="56" t="n">
        <f aca="false">IF(OR(D101&lt;&gt;"Build from wage",COUNT(D102,D104)&lt;2,D102&lt;0),"",D102*D104)</f>
        <v>62.7991</v>
      </c>
      <c r="E105" s="56" t="n">
        <f aca="false">IF(OR(E101&lt;&gt;"Build from wage",COUNT(E102,E104)&lt;2,E102&lt;0),"",E102*E104)</f>
        <v>64.683073</v>
      </c>
      <c r="F105" s="56" t="n">
        <f aca="false">IF(OR(F101&lt;&gt;"Build from wage",COUNT(F102,F104)&lt;2,F102&lt;0),"",F102*F104)</f>
        <v>66.62356519</v>
      </c>
      <c r="G105" s="56" t="n">
        <f aca="false">IF(OR(G101&lt;&gt;"Build from wage",COUNT(G102,G104)&lt;2,G102&lt;0),"",G102*G104)</f>
        <v>68.6222721457</v>
      </c>
      <c r="H105" s="56" t="n">
        <f aca="false">IF(OR(H101&lt;&gt;"Build from wage",COUNT(H102,H104)&lt;2,H102&lt;0),"",H102*H104)</f>
        <v>70.680940310071</v>
      </c>
      <c r="I105" s="56" t="n">
        <f aca="false">IF(OR(I101&lt;&gt;"Build from wage",COUNT(I102,I104)&lt;2,I102&lt;0),"",I102*I104)</f>
        <v>70.680940310071</v>
      </c>
      <c r="J105" s="1"/>
    </row>
    <row r="106" customFormat="false" ht="18" hidden="false" customHeight="true" outlineLevel="0" collapsed="false">
      <c r="A106" s="1"/>
      <c r="B106" s="1"/>
      <c r="C106" s="16" t="s">
        <v>60</v>
      </c>
      <c r="D106" s="46" t="n">
        <f aca="false">IF(Staffing!D64="","",Staffing!D64)</f>
        <v>4702.60869565217</v>
      </c>
      <c r="E106" s="46" t="n">
        <f aca="false">IF(Staffing!E64="","",Staffing!E64)</f>
        <v>4702.60869565217</v>
      </c>
      <c r="F106" s="46" t="n">
        <f aca="false">IF(Staffing!F64="","",Staffing!F64)</f>
        <v>4702.60869565217</v>
      </c>
      <c r="G106" s="46" t="n">
        <f aca="false">IF(Staffing!G64="","",Staffing!G64)</f>
        <v>4702.60869565217</v>
      </c>
      <c r="H106" s="46" t="n">
        <f aca="false">IF(Staffing!H64="","",Staffing!H64)</f>
        <v>4702.60869565217</v>
      </c>
      <c r="I106" s="46" t="n">
        <f aca="false">IF(Staffing!I64="","",Staffing!I64)</f>
        <v>2351.30434782609</v>
      </c>
      <c r="J106" s="1"/>
    </row>
    <row r="107" customFormat="false" ht="18" hidden="false" customHeight="true" outlineLevel="0" collapsed="false">
      <c r="A107" s="1"/>
      <c r="B107" s="1"/>
      <c r="C107" s="2" t="s">
        <v>73</v>
      </c>
      <c r="D107" s="57" t="n">
        <f aca="false">IF(COUNT(D105:D106)&lt;2,"",D105*D106)</f>
        <v>295319.593739131</v>
      </c>
      <c r="E107" s="57" t="n">
        <f aca="false">IF(COUNT(E105:E106)&lt;2,"",E105*E106)</f>
        <v>304179.181551304</v>
      </c>
      <c r="F107" s="57" t="n">
        <f aca="false">IF(COUNT(F105:F106)&lt;2,"",F105*F106)</f>
        <v>313304.556997843</v>
      </c>
      <c r="G107" s="57" t="n">
        <f aca="false">IF(COUNT(G105:G106)&lt;2,"",G105*G106)</f>
        <v>322703.693707779</v>
      </c>
      <c r="H107" s="57" t="n">
        <f aca="false">IF(COUNT(H105:H106)&lt;2,"",H105*H106)</f>
        <v>332384.804519012</v>
      </c>
      <c r="I107" s="57" t="n">
        <f aca="false">IF(COUNT(I105:I106)&lt;2,"",I105*I106)</f>
        <v>166192.402259506</v>
      </c>
      <c r="J107" s="1"/>
    </row>
    <row r="108" customFormat="false" ht="18" hidden="false" customHeight="true" outlineLevel="0" collapsed="false">
      <c r="A108" s="1"/>
      <c r="B108" s="1"/>
      <c r="C108" s="16" t="s">
        <v>74</v>
      </c>
      <c r="D108" s="58" t="n">
        <f aca="false">IF(OR(COUNT(D107,Assumptions!D$28)&lt;2,Assumptions!D$28&lt;0),"",D107*Assumptions!D$28)</f>
        <v>73829.8984347826</v>
      </c>
      <c r="E108" s="58" t="n">
        <f aca="false">IF(OR(COUNT(E107,Assumptions!E$28)&lt;2,Assumptions!E$28&lt;0),"",E107*Assumptions!E$28)</f>
        <v>76044.7953878261</v>
      </c>
      <c r="F108" s="58" t="n">
        <f aca="false">IF(OR(COUNT(F107,Assumptions!F$28)&lt;2,Assumptions!F$28&lt;0),"",F107*Assumptions!F$28)</f>
        <v>78326.1392494609</v>
      </c>
      <c r="G108" s="58" t="n">
        <f aca="false">IF(OR(COUNT(G107,Assumptions!G$28)&lt;2,Assumptions!G$28&lt;0),"",G107*Assumptions!G$28)</f>
        <v>80675.9234269447</v>
      </c>
      <c r="H108" s="58" t="n">
        <f aca="false">IF(OR(COUNT(H107,Assumptions!H$28)&lt;2,Assumptions!H$28&lt;0),"",H107*Assumptions!H$28)</f>
        <v>83096.201129753</v>
      </c>
      <c r="I108" s="58" t="n">
        <f aca="false">IF(OR(COUNT(I107,Assumptions!I$28)&lt;2,Assumptions!I$28&lt;0),"",I107*Assumptions!I$28)</f>
        <v>41548.1005648765</v>
      </c>
      <c r="J108" s="1"/>
    </row>
    <row r="109" customFormat="false" ht="18" hidden="false" customHeight="true" outlineLevel="0" collapsed="false">
      <c r="A109" s="1"/>
      <c r="B109" s="1"/>
      <c r="C109" s="2" t="s">
        <v>75</v>
      </c>
      <c r="D109" s="59" t="n">
        <f aca="false">IF(OR(D101&lt;&gt;"Build from wage",COUNT(D106,Assumptions!$D$9)&lt;2,Assumptions!$D$9&lt;0),"",D106*Assumptions!$D$9)</f>
        <v>0</v>
      </c>
      <c r="E109" s="59" t="n">
        <f aca="false">IF(OR(E101&lt;&gt;"Build from wage",COUNT(E106,Assumptions!$D$9)&lt;2,Assumptions!$D$9&lt;0),"",E106*Assumptions!$D$9)</f>
        <v>0</v>
      </c>
      <c r="F109" s="59" t="n">
        <f aca="false">IF(OR(F101&lt;&gt;"Build from wage",COUNT(F106,Assumptions!$D$9)&lt;2,Assumptions!$D$9&lt;0),"",F106*Assumptions!$D$9)</f>
        <v>0</v>
      </c>
      <c r="G109" s="59" t="n">
        <f aca="false">IF(OR(G101&lt;&gt;"Build from wage",COUNT(G106,Assumptions!$D$9)&lt;2,Assumptions!$D$9&lt;0),"",G106*Assumptions!$D$9)</f>
        <v>0</v>
      </c>
      <c r="H109" s="59" t="n">
        <f aca="false">IF(OR(H101&lt;&gt;"Build from wage",COUNT(H106,Assumptions!$D$9)&lt;2,Assumptions!$D$9&lt;0),"",H106*Assumptions!$D$9)</f>
        <v>0</v>
      </c>
      <c r="I109" s="59" t="n">
        <f aca="false">IF(OR(I101&lt;&gt;"Build from wage",COUNT(I106,Assumptions!$D$9)&lt;2,Assumptions!$D$9&lt;0),"",I106*Assumptions!$D$9)</f>
        <v>0</v>
      </c>
      <c r="J109" s="1"/>
    </row>
    <row r="110" customFormat="false" ht="18" hidden="false" customHeight="true" outlineLevel="0" collapsed="false">
      <c r="A110" s="1"/>
      <c r="B110" s="1"/>
      <c r="C110" s="16" t="s">
        <v>76</v>
      </c>
      <c r="D110" s="60" t="n">
        <f aca="false">IF(COUNT(D107:D109)&lt;3,"",SUM(D107:D109))</f>
        <v>369149.492173913</v>
      </c>
      <c r="E110" s="60" t="n">
        <f aca="false">IF(COUNT(E107:E109)&lt;3,"",SUM(E107:E109))</f>
        <v>380223.97693913</v>
      </c>
      <c r="F110" s="60" t="n">
        <f aca="false">IF(COUNT(F107:F109)&lt;3,"",SUM(F107:F109))</f>
        <v>391630.696247304</v>
      </c>
      <c r="G110" s="60" t="n">
        <f aca="false">IF(COUNT(G107:G109)&lt;3,"",SUM(G107:G109))</f>
        <v>403379.617134724</v>
      </c>
      <c r="H110" s="60" t="n">
        <f aca="false">IF(COUNT(H107:H109)&lt;3,"",SUM(H107:H109))</f>
        <v>415481.005648765</v>
      </c>
      <c r="I110" s="60" t="n">
        <f aca="false">IF(COUNT(I107:I109)&lt;3,"",SUM(I107:I109))</f>
        <v>207740.502824383</v>
      </c>
      <c r="J110" s="1"/>
    </row>
    <row r="111" customFormat="false" ht="18" hidden="false" customHeight="true" outlineLevel="0" collapsed="false">
      <c r="A111" s="1"/>
      <c r="B111" s="1"/>
      <c r="C111" s="2" t="s">
        <v>77</v>
      </c>
      <c r="D111" s="59" t="n">
        <f aca="false">IF(OR(COUNT(D110,Assumptions!D$34)&lt;2,Assumptions!D$34&lt;0),"",D110*Assumptions!D$34)</f>
        <v>36914.9492173913</v>
      </c>
      <c r="E111" s="59" t="n">
        <f aca="false">IF(OR(COUNT(E110,Assumptions!E$34)&lt;2,Assumptions!E$34&lt;0),"",E110*Assumptions!E$34)</f>
        <v>38022.397693913</v>
      </c>
      <c r="F111" s="59" t="n">
        <f aca="false">IF(OR(COUNT(F110,Assumptions!F$34)&lt;2,Assumptions!F$34&lt;0),"",F110*Assumptions!F$34)</f>
        <v>39163.0696247304</v>
      </c>
      <c r="G111" s="59" t="n">
        <f aca="false">IF(OR(COUNT(G110,Assumptions!G$34)&lt;2,Assumptions!G$34&lt;0),"",G110*Assumptions!G$34)</f>
        <v>40337.9617134724</v>
      </c>
      <c r="H111" s="59" t="n">
        <f aca="false">IF(OR(COUNT(H110,Assumptions!H$34)&lt;2,Assumptions!H$34&lt;0),"",H110*Assumptions!H$34)</f>
        <v>41548.1005648765</v>
      </c>
      <c r="I111" s="59" t="n">
        <f aca="false">IF(OR(COUNT(I110,Assumptions!I$34)&lt;2,Assumptions!I$34&lt;0),"",I110*Assumptions!I$34)</f>
        <v>20774.0502824383</v>
      </c>
      <c r="J111" s="1"/>
    </row>
    <row r="112" customFormat="false" ht="18" hidden="false" customHeight="true" outlineLevel="0" collapsed="false">
      <c r="A112" s="1"/>
      <c r="B112" s="1"/>
      <c r="C112" s="16" t="s">
        <v>78</v>
      </c>
      <c r="D112" s="60" t="n">
        <f aca="false">IF(COUNT(D110:D111)&lt;2,"",SUM(D110:D111))</f>
        <v>406064.441391304</v>
      </c>
      <c r="E112" s="60" t="n">
        <f aca="false">IF(COUNT(E110:E111)&lt;2,"",SUM(E110:E111))</f>
        <v>418246.374633043</v>
      </c>
      <c r="F112" s="60" t="n">
        <f aca="false">IF(COUNT(F110:F111)&lt;2,"",SUM(F110:F111))</f>
        <v>430793.765872035</v>
      </c>
      <c r="G112" s="60" t="n">
        <f aca="false">IF(COUNT(G110:G111)&lt;2,"",SUM(G110:G111))</f>
        <v>443717.578848196</v>
      </c>
      <c r="H112" s="60" t="n">
        <f aca="false">IF(COUNT(H110:H111)&lt;2,"",SUM(H110:H111))</f>
        <v>457029.106213642</v>
      </c>
      <c r="I112" s="60" t="n">
        <f aca="false">IF(COUNT(I110:I111)&lt;2,"",SUM(I110:I111))</f>
        <v>228514.553106821</v>
      </c>
      <c r="J112" s="1"/>
    </row>
    <row r="113" customFormat="false" ht="18" hidden="false" customHeight="true" outlineLevel="0" collapsed="false">
      <c r="A113" s="1"/>
      <c r="B113" s="1"/>
      <c r="C113" s="2" t="s">
        <v>79</v>
      </c>
      <c r="D113" s="59" t="n">
        <f aca="false">IF(OR(COUNT(D112,Assumptions!D$40)&lt;2,Assumptions!D$40&lt;0),"",D112*Assumptions!D$40)</f>
        <v>40606.4441391304</v>
      </c>
      <c r="E113" s="59" t="n">
        <f aca="false">IF(OR(COUNT(E112,Assumptions!E$40)&lt;2,Assumptions!E$40&lt;0),"",E112*Assumptions!E$40)</f>
        <v>41824.6374633043</v>
      </c>
      <c r="F113" s="59" t="n">
        <f aca="false">IF(OR(COUNT(F112,Assumptions!F$40)&lt;2,Assumptions!F$40&lt;0),"",F112*Assumptions!F$40)</f>
        <v>43079.3765872035</v>
      </c>
      <c r="G113" s="59" t="n">
        <f aca="false">IF(OR(COUNT(G112,Assumptions!G$40)&lt;2,Assumptions!G$40&lt;0),"",G112*Assumptions!G$40)</f>
        <v>44371.7578848196</v>
      </c>
      <c r="H113" s="59" t="n">
        <f aca="false">IF(OR(COUNT(H112,Assumptions!H$40)&lt;2,Assumptions!H$40&lt;0),"",H112*Assumptions!H$40)</f>
        <v>45702.9106213642</v>
      </c>
      <c r="I113" s="59" t="n">
        <f aca="false">IF(OR(COUNT(I112,Assumptions!I$40)&lt;2,Assumptions!I$40&lt;0),"",I112*Assumptions!I$40)</f>
        <v>22851.4553106821</v>
      </c>
      <c r="J113" s="1"/>
    </row>
    <row r="114" customFormat="false" ht="18" hidden="false" customHeight="true" outlineLevel="0" collapsed="false">
      <c r="A114" s="1"/>
      <c r="B114" s="1"/>
      <c r="C114" s="16" t="s">
        <v>80</v>
      </c>
      <c r="D114" s="60" t="n">
        <f aca="false">IF(COUNT(D112:D113)&lt;2,"",SUM(D112:D113))</f>
        <v>446670.885530435</v>
      </c>
      <c r="E114" s="60" t="n">
        <f aca="false">IF(COUNT(E112:E113)&lt;2,"",SUM(E112:E113))</f>
        <v>460071.012096348</v>
      </c>
      <c r="F114" s="60" t="n">
        <f aca="false">IF(COUNT(F112:F113)&lt;2,"",SUM(F112:F113))</f>
        <v>473873.142459238</v>
      </c>
      <c r="G114" s="60" t="n">
        <f aca="false">IF(COUNT(G112:G113)&lt;2,"",SUM(G112:G113))</f>
        <v>488089.336733015</v>
      </c>
      <c r="H114" s="60" t="n">
        <f aca="false">IF(COUNT(H112:H113)&lt;2,"",SUM(H112:H113))</f>
        <v>502732.016835006</v>
      </c>
      <c r="I114" s="60" t="n">
        <f aca="false">IF(COUNT(I112:I113)&lt;2,"",SUM(I112:I113))</f>
        <v>251366.008417503</v>
      </c>
      <c r="J114" s="1"/>
    </row>
    <row r="115" customFormat="false" ht="18" hidden="false" customHeight="true" outlineLevel="0" collapsed="false">
      <c r="A115" s="1"/>
      <c r="B115" s="1"/>
      <c r="C115" s="2" t="s">
        <v>81</v>
      </c>
      <c r="D115" s="59" t="n">
        <f aca="false">IF(OR(COUNT(D114,Assumptions!$D$10)&lt;2,Assumptions!$D$10&lt;0),"",IF(Assumptions!$D$11="Profit on cost",D114*Assumptions!$D$10,IF(Assumptions!$D$11="Margin on sales",IF(Assumptions!$D$10&gt;=1,"",D114/(1-Assumptions!$D$10)-D114),"")))</f>
        <v>44667.0885530435</v>
      </c>
      <c r="E115" s="59" t="n">
        <f aca="false">IF(OR(COUNT(E114,Assumptions!$D$10)&lt;2,Assumptions!$D$10&lt;0),"",IF(Assumptions!$D$11="Profit on cost",E114*Assumptions!$D$10,IF(Assumptions!$D$11="Margin on sales",IF(Assumptions!$D$10&gt;=1,"",E114/(1-Assumptions!$D$10)-E114),"")))</f>
        <v>46007.1012096348</v>
      </c>
      <c r="F115" s="59" t="n">
        <f aca="false">IF(OR(COUNT(F114,Assumptions!$D$10)&lt;2,Assumptions!$D$10&lt;0),"",IF(Assumptions!$D$11="Profit on cost",F114*Assumptions!$D$10,IF(Assumptions!$D$11="Margin on sales",IF(Assumptions!$D$10&gt;=1,"",F114/(1-Assumptions!$D$10)-F114),"")))</f>
        <v>47387.3142459238</v>
      </c>
      <c r="G115" s="59" t="n">
        <f aca="false">IF(OR(COUNT(G114,Assumptions!$D$10)&lt;2,Assumptions!$D$10&lt;0),"",IF(Assumptions!$D$11="Profit on cost",G114*Assumptions!$D$10,IF(Assumptions!$D$11="Margin on sales",IF(Assumptions!$D$10&gt;=1,"",G114/(1-Assumptions!$D$10)-G114),"")))</f>
        <v>48808.9336733015</v>
      </c>
      <c r="H115" s="59" t="n">
        <f aca="false">IF(OR(COUNT(H114,Assumptions!$D$10)&lt;2,Assumptions!$D$10&lt;0),"",IF(Assumptions!$D$11="Profit on cost",H114*Assumptions!$D$10,IF(Assumptions!$D$11="Margin on sales",IF(Assumptions!$D$10&gt;=1,"",H114/(1-Assumptions!$D$10)-H114),"")))</f>
        <v>50273.2016835006</v>
      </c>
      <c r="I115" s="59" t="n">
        <f aca="false">IF(OR(COUNT(I114,Assumptions!$D$10)&lt;2,Assumptions!$D$10&lt;0),"",IF(Assumptions!$D$11="Profit on cost",I114*Assumptions!$D$10,IF(Assumptions!$D$11="Margin on sales",IF(Assumptions!$D$10&gt;=1,"",I114/(1-Assumptions!$D$10)-I114),"")))</f>
        <v>25136.6008417503</v>
      </c>
      <c r="J115" s="1"/>
    </row>
    <row r="116" customFormat="false" ht="18" hidden="false" customHeight="true" outlineLevel="0" collapsed="false">
      <c r="A116" s="1"/>
      <c r="B116" s="1"/>
      <c r="C116" s="16" t="s">
        <v>82</v>
      </c>
      <c r="D116" s="61" t="n">
        <f aca="false">IF(D101="Use supplied loaded rate",IF(COUNTIFS('Source Data'!$C$21:$C$26,$C100)&lt;&gt;1,"",IF(INDEX('Source Data'!$I$21:$I$26,MATCH($C100,'Source Data'!$C$21:$C$26,0))="","",INDEX('Source Data'!$I$21:$I$26,MATCH($C100,'Source Data'!$C$21:$C$26,0)))),IF(OR(D101&lt;&gt;"Build from wage",COUNT(D114:D115)&lt;2,NOT(ISNUMBER(Staffing!D57)),Staffing!D57&lt;=0),"",SUM(D114:D115)/Staffing!D57))</f>
        <v>118.110089923913</v>
      </c>
      <c r="E116" s="61" t="n">
        <f aca="false">IF(E101="Use supplied loaded rate",IF(OR(COUNT(D116,Assumptions!E$46)&lt;2,Assumptions!E$46&lt;0,Assumptions!E$46&gt;1),"",D116*(1+Assumptions!E$46)),IF(OR(E101&lt;&gt;"Build from wage",COUNT(E114:E115)&lt;2,NOT(ISNUMBER(Staffing!E57)),Staffing!E57&lt;=0),"",SUM(E114:E115)/Staffing!E57))</f>
        <v>121.65339262163</v>
      </c>
      <c r="F116" s="61" t="n">
        <f aca="false">IF(F101="Use supplied loaded rate",IF(OR(COUNT(E116,Assumptions!F$46)&lt;2,Assumptions!F$46&lt;0,Assumptions!F$46&gt;1),"",E116*(1+Assumptions!F$46)),IF(OR(F101&lt;&gt;"Build from wage",COUNT(F114:F115)&lt;2,NOT(ISNUMBER(Staffing!F57)),Staffing!F57&lt;=0),"",SUM(F114:F115)/Staffing!F57))</f>
        <v>125.302994400279</v>
      </c>
      <c r="G116" s="61" t="n">
        <f aca="false">IF(G101="Use supplied loaded rate",IF(OR(COUNT(F116,Assumptions!G$46)&lt;2,Assumptions!G$46&lt;0,Assumptions!G$46&gt;1),"",F116*(1+Assumptions!G$46)),IF(OR(G101&lt;&gt;"Build from wage",COUNT(G114:G115)&lt;2,NOT(ISNUMBER(Staffing!G57)),Staffing!G57&lt;=0),"",SUM(G114:G115)/Staffing!G57))</f>
        <v>129.062084232288</v>
      </c>
      <c r="H116" s="61" t="n">
        <f aca="false">IF(H101="Use supplied loaded rate",IF(OR(COUNT(G116,Assumptions!H$46)&lt;2,Assumptions!H$46&lt;0,Assumptions!H$46&gt;1),"",G116*(1+Assumptions!H$46)),IF(OR(H101&lt;&gt;"Build from wage",COUNT(H114:H115)&lt;2,NOT(ISNUMBER(Staffing!H57)),Staffing!H57&lt;=0),"",SUM(H114:H115)/Staffing!H57))</f>
        <v>132.933946759256</v>
      </c>
      <c r="I116" s="61" t="n">
        <f aca="false">IF(I101="Use supplied loaded rate",IF(H116="","",H116),IF(OR(I101&lt;&gt;"Build from wage",COUNT(I114:I115)&lt;2,NOT(ISNUMBER(Staffing!I57)),Staffing!I57&lt;=0),"",SUM(I114:I115)/Staffing!I57))</f>
        <v>132.933946759256</v>
      </c>
      <c r="J116" s="1"/>
    </row>
    <row r="117" customFormat="false" ht="18" hidden="false" customHeight="true" outlineLevel="0" collapsed="false">
      <c r="A117" s="1"/>
      <c r="B117" s="1"/>
      <c r="C117" s="2" t="s">
        <v>83</v>
      </c>
      <c r="D117" s="62"/>
      <c r="E117" s="62"/>
      <c r="F117" s="62"/>
      <c r="G117" s="62"/>
      <c r="H117" s="62"/>
      <c r="I117" s="62"/>
      <c r="J117" s="1"/>
    </row>
    <row r="118" customFormat="false" ht="18" hidden="false" customHeight="true" outlineLevel="0" collapsed="false">
      <c r="A118" s="1"/>
      <c r="B118" s="1"/>
      <c r="C118" s="63" t="s">
        <v>84</v>
      </c>
      <c r="D118" s="64" t="n">
        <f aca="false">IF(D117="",IF(OR(NOT(ISNUMBER(D116)),D116&lt;0),"",ROUND(D116,4)),IF(AND(ISNUMBER(D117),D117&gt;=0),ROUND(D117,4),""))</f>
        <v>118.1101</v>
      </c>
      <c r="E118" s="64" t="n">
        <f aca="false">IF(E117="",IF(OR(NOT(ISNUMBER(E116)),E116&lt;0),"",ROUND(E116,4)),IF(AND(ISNUMBER(E117),E117&gt;=0),ROUND(E117,4),""))</f>
        <v>121.6534</v>
      </c>
      <c r="F118" s="64" t="n">
        <f aca="false">IF(F117="",IF(OR(NOT(ISNUMBER(F116)),F116&lt;0),"",ROUND(F116,4)),IF(AND(ISNUMBER(F117),F117&gt;=0),ROUND(F117,4),""))</f>
        <v>125.303</v>
      </c>
      <c r="G118" s="64" t="n">
        <f aca="false">IF(G117="",IF(OR(NOT(ISNUMBER(G116)),G116&lt;0),"",ROUND(G116,4)),IF(AND(ISNUMBER(G117),G117&gt;=0),ROUND(G117,4),""))</f>
        <v>129.0621</v>
      </c>
      <c r="H118" s="64" t="n">
        <f aca="false">IF(H117="",IF(OR(NOT(ISNUMBER(H116)),H116&lt;0),"",ROUND(H116,4)),IF(AND(ISNUMBER(H117),H117&gt;=0),ROUND(H117,4),""))</f>
        <v>132.9339</v>
      </c>
      <c r="I118" s="64" t="n">
        <f aca="false">IF(I117="",IF(OR(NOT(ISNUMBER(H118)),H118&lt;0),"",ROUND(H118,4)),IF(AND(ISNUMBER(I117),I117&gt;=0),ROUND(I117,4),""))</f>
        <v>132.9339</v>
      </c>
      <c r="J118" s="1"/>
    </row>
    <row r="119" customFormat="false" ht="32" hidden="false" customHeight="true" outlineLevel="0" collapsed="false">
      <c r="A119" s="1"/>
      <c r="B119" s="1"/>
      <c r="C119" s="2" t="s">
        <v>61</v>
      </c>
      <c r="D119" s="65" t="str">
        <f aca="false">IF(Staffing!D65&lt;&gt;"Complete",Staffing!D65,IF(AND(D101&lt;&gt;"Build from wage",D101&lt;&gt;"Use supplied loaded rate"),"Invalid rate basis",IF(Staffing!D57=0,"Zero hours",IF(D118="","Missing / invalid rate",IF(AND(D101="Build from wage",COUNT(D114:D115)&lt;2),"Missing cost inputs","Complete")))))</f>
        <v>Complete</v>
      </c>
      <c r="E119" s="65" t="str">
        <f aca="false">IF(Staffing!E65&lt;&gt;"Complete",Staffing!E65,IF(AND(E101&lt;&gt;"Build from wage",E101&lt;&gt;"Use supplied loaded rate"),"Invalid rate basis",IF(Staffing!E57=0,"Zero hours",IF(E118="","Missing / invalid rate",IF(AND(E101="Build from wage",COUNT(E114:E115)&lt;2),"Missing cost inputs","Complete")))))</f>
        <v>Complete</v>
      </c>
      <c r="F119" s="65" t="str">
        <f aca="false">IF(Staffing!F65&lt;&gt;"Complete",Staffing!F65,IF(AND(F101&lt;&gt;"Build from wage",F101&lt;&gt;"Use supplied loaded rate"),"Invalid rate basis",IF(Staffing!F57=0,"Zero hours",IF(F118="","Missing / invalid rate",IF(AND(F101="Build from wage",COUNT(F114:F115)&lt;2),"Missing cost inputs","Complete")))))</f>
        <v>Complete</v>
      </c>
      <c r="G119" s="65" t="str">
        <f aca="false">IF(Staffing!G65&lt;&gt;"Complete",Staffing!G65,IF(AND(G101&lt;&gt;"Build from wage",G101&lt;&gt;"Use supplied loaded rate"),"Invalid rate basis",IF(Staffing!G57=0,"Zero hours",IF(G118="","Missing / invalid rate",IF(AND(G101="Build from wage",COUNT(G114:G115)&lt;2),"Missing cost inputs","Complete")))))</f>
        <v>Complete</v>
      </c>
      <c r="H119" s="65" t="str">
        <f aca="false">IF(Staffing!H65&lt;&gt;"Complete",Staffing!H65,IF(AND(H101&lt;&gt;"Build from wage",H101&lt;&gt;"Use supplied loaded rate"),"Invalid rate basis",IF(Staffing!H57=0,"Zero hours",IF(H118="","Missing / invalid rate",IF(AND(H101="Build from wage",COUNT(H114:H115)&lt;2),"Missing cost inputs","Complete")))))</f>
        <v>Complete</v>
      </c>
      <c r="I119" s="65" t="str">
        <f aca="false">IF(Staffing!I65&lt;&gt;"Complete",Staffing!I65,IF(AND(I101&lt;&gt;"Build from wage",I101&lt;&gt;"Use supplied loaded rate"),"Invalid rate basis",IF(Staffing!I57=0,"Zero hours",IF(I118="","Missing / invalid rate",IF(AND(I101="Build from wage",COUNT(I114:I115)&lt;2),"Missing cost inputs","Complete")))))</f>
        <v>Complete</v>
      </c>
      <c r="J119" s="1"/>
    </row>
    <row r="120" customFormat="false" ht="18" hidden="false" customHeight="true" outlineLevel="0" collapsed="false">
      <c r="A120" s="1"/>
      <c r="B120" s="1"/>
      <c r="C120" s="2"/>
      <c r="D120" s="3"/>
      <c r="E120" s="3"/>
      <c r="F120" s="3"/>
      <c r="G120" s="3"/>
      <c r="H120" s="3"/>
      <c r="I120" s="3"/>
      <c r="J120" s="1"/>
    </row>
    <row r="121" customFormat="false" ht="18" hidden="false" customHeight="true" outlineLevel="0" collapsed="false">
      <c r="A121" s="1"/>
      <c r="B121" s="1"/>
      <c r="C121" s="2"/>
      <c r="D121" s="3"/>
      <c r="E121" s="3"/>
      <c r="F121" s="3"/>
      <c r="G121" s="3"/>
      <c r="H121" s="3"/>
      <c r="I121" s="3"/>
      <c r="J121" s="1"/>
    </row>
    <row r="122" customFormat="false" ht="18" hidden="false" customHeight="true" outlineLevel="0" collapsed="false">
      <c r="A122" s="1"/>
      <c r="B122" s="1"/>
      <c r="C122" s="2"/>
      <c r="D122" s="3"/>
      <c r="E122" s="3"/>
      <c r="F122" s="3"/>
      <c r="G122" s="3"/>
      <c r="H122" s="3"/>
      <c r="I122" s="3"/>
      <c r="J122" s="1"/>
    </row>
    <row r="123" customFormat="false" ht="18" hidden="false" customHeight="true" outlineLevel="0" collapsed="false">
      <c r="A123" s="1"/>
      <c r="B123" s="1"/>
      <c r="C123" s="43" t="s">
        <v>66</v>
      </c>
      <c r="D123" s="44" t="str">
        <f aca="false">IF(COUNTIFS('Source Data'!$C$21:$C$26,$C123)&lt;&gt;1,"",IF(INDEX('Source Data'!$D$21:$D$26,MATCH($C123,'Source Data'!$C$21:$C$26,0))="","",INDEX('Source Data'!$D$21:$D$26,MATCH($C123,'Source Data'!$C$21:$C$26,0))))</f>
        <v>Program Analyst III</v>
      </c>
      <c r="E123" s="44"/>
      <c r="F123" s="44"/>
      <c r="G123" s="44"/>
      <c r="H123" s="44"/>
      <c r="I123" s="44"/>
      <c r="J123" s="1"/>
    </row>
    <row r="124" customFormat="false" ht="31" hidden="false" customHeight="true" outlineLevel="0" collapsed="false">
      <c r="A124" s="1"/>
      <c r="B124" s="1"/>
      <c r="C124" s="16" t="s">
        <v>68</v>
      </c>
      <c r="D124" s="66" t="str">
        <f aca="false">IF(COUNTIFS('Source Data'!$C$21:$C$26,$C123)&lt;&gt;1,"",IF(INDEX('Source Data'!$H$21:$H$26,MATCH($C123,'Source Data'!$C$21:$C$26,0))="","",INDEX('Source Data'!$H$21:$H$26,MATCH($C123,'Source Data'!$C$21:$C$26,0))))</f>
        <v>Build from wage</v>
      </c>
      <c r="E124" s="66" t="str">
        <f aca="false">IF(COUNTIFS('Source Data'!$C$21:$C$26,$C123)&lt;&gt;1,"",IF(INDEX('Source Data'!$H$21:$H$26,MATCH($C123,'Source Data'!$C$21:$C$26,0))="","",INDEX('Source Data'!$H$21:$H$26,MATCH($C123,'Source Data'!$C$21:$C$26,0))))</f>
        <v>Build from wage</v>
      </c>
      <c r="F124" s="66" t="str">
        <f aca="false">IF(COUNTIFS('Source Data'!$C$21:$C$26,$C123)&lt;&gt;1,"",IF(INDEX('Source Data'!$H$21:$H$26,MATCH($C123,'Source Data'!$C$21:$C$26,0))="","",INDEX('Source Data'!$H$21:$H$26,MATCH($C123,'Source Data'!$C$21:$C$26,0))))</f>
        <v>Build from wage</v>
      </c>
      <c r="G124" s="66" t="str">
        <f aca="false">IF(COUNTIFS('Source Data'!$C$21:$C$26,$C123)&lt;&gt;1,"",IF(INDEX('Source Data'!$H$21:$H$26,MATCH($C123,'Source Data'!$C$21:$C$26,0))="","",INDEX('Source Data'!$H$21:$H$26,MATCH($C123,'Source Data'!$C$21:$C$26,0))))</f>
        <v>Build from wage</v>
      </c>
      <c r="H124" s="66" t="str">
        <f aca="false">IF(COUNTIFS('Source Data'!$C$21:$C$26,$C123)&lt;&gt;1,"",IF(INDEX('Source Data'!$H$21:$H$26,MATCH($C123,'Source Data'!$C$21:$C$26,0))="","",INDEX('Source Data'!$H$21:$H$26,MATCH($C123,'Source Data'!$C$21:$C$26,0))))</f>
        <v>Build from wage</v>
      </c>
      <c r="I124" s="66" t="str">
        <f aca="false">IF(COUNTIFS('Source Data'!$C$21:$C$26,$C123)&lt;&gt;1,"",IF(INDEX('Source Data'!$H$21:$H$26,MATCH($C123,'Source Data'!$C$21:$C$26,0))="","",INDEX('Source Data'!$H$21:$H$26,MATCH($C123,'Source Data'!$C$21:$C$26,0))))</f>
        <v>Build from wage</v>
      </c>
      <c r="J124" s="1"/>
    </row>
    <row r="125" customFormat="false" ht="18" hidden="false" customHeight="true" outlineLevel="0" collapsed="false">
      <c r="A125" s="1"/>
      <c r="B125" s="1"/>
      <c r="C125" s="2" t="s">
        <v>69</v>
      </c>
      <c r="D125" s="67" t="n">
        <f aca="false">IF(COUNTIFS('Source Data'!$C$21:$C$26,$C123)&lt;&gt;1,"",IF(INDEX('Source Data'!$F$21:$F$26,MATCH($C123,'Source Data'!$C$21:$C$26,0))="","",INDEX('Source Data'!$F$21:$F$26,MATCH($C123,'Source Data'!$C$21:$C$26,0))))</f>
        <v>75.36</v>
      </c>
      <c r="E125" s="67" t="n">
        <f aca="false">IF(COUNTIFS('Source Data'!$C$21:$C$26,$C123)&lt;&gt;1,"",IF(INDEX('Source Data'!$F$21:$F$26,MATCH($C123,'Source Data'!$C$21:$C$26,0))="","",INDEX('Source Data'!$F$21:$F$26,MATCH($C123,'Source Data'!$C$21:$C$26,0))))</f>
        <v>75.36</v>
      </c>
      <c r="F125" s="67" t="n">
        <f aca="false">IF(COUNTIFS('Source Data'!$C$21:$C$26,$C123)&lt;&gt;1,"",IF(INDEX('Source Data'!$F$21:$F$26,MATCH($C123,'Source Data'!$C$21:$C$26,0))="","",INDEX('Source Data'!$F$21:$F$26,MATCH($C123,'Source Data'!$C$21:$C$26,0))))</f>
        <v>75.36</v>
      </c>
      <c r="G125" s="67" t="n">
        <f aca="false">IF(COUNTIFS('Source Data'!$C$21:$C$26,$C123)&lt;&gt;1,"",IF(INDEX('Source Data'!$F$21:$F$26,MATCH($C123,'Source Data'!$C$21:$C$26,0))="","",INDEX('Source Data'!$F$21:$F$26,MATCH($C123,'Source Data'!$C$21:$C$26,0))))</f>
        <v>75.36</v>
      </c>
      <c r="H125" s="67" t="n">
        <f aca="false">IF(COUNTIFS('Source Data'!$C$21:$C$26,$C123)&lt;&gt;1,"",IF(INDEX('Source Data'!$F$21:$F$26,MATCH($C123,'Source Data'!$C$21:$C$26,0))="","",INDEX('Source Data'!$F$21:$F$26,MATCH($C123,'Source Data'!$C$21:$C$26,0))))</f>
        <v>75.36</v>
      </c>
      <c r="I125" s="67" t="n">
        <f aca="false">IF(COUNTIFS('Source Data'!$C$21:$C$26,$C123)&lt;&gt;1,"",IF(INDEX('Source Data'!$F$21:$F$26,MATCH($C123,'Source Data'!$C$21:$C$26,0))="","",INDEX('Source Data'!$F$21:$F$26,MATCH($C123,'Source Data'!$C$21:$C$26,0))))</f>
        <v>75.36</v>
      </c>
      <c r="J125" s="1"/>
    </row>
    <row r="126" customFormat="false" ht="18" hidden="false" customHeight="true" outlineLevel="0" collapsed="false">
      <c r="A126" s="1"/>
      <c r="B126" s="1"/>
      <c r="C126" s="16" t="s">
        <v>70</v>
      </c>
      <c r="D126" s="68" t="n">
        <f aca="false">IF(COUNTIFS('Source Data'!$C$21:$C$26,$C123)&lt;&gt;1,"",IF(INDEX('Source Data'!$G$21:$G$26,MATCH($C123,'Source Data'!$C$21:$C$26,0))="","",INDEX('Source Data'!$G$21:$G$26,MATCH($C123,'Source Data'!$C$21:$C$26,0))))</f>
        <v>2025</v>
      </c>
      <c r="E126" s="68" t="n">
        <f aca="false">IF(COUNTIFS('Source Data'!$C$21:$C$26,$C123)&lt;&gt;1,"",IF(INDEX('Source Data'!$G$21:$G$26,MATCH($C123,'Source Data'!$C$21:$C$26,0))="","",INDEX('Source Data'!$G$21:$G$26,MATCH($C123,'Source Data'!$C$21:$C$26,0))))</f>
        <v>2025</v>
      </c>
      <c r="F126" s="68" t="n">
        <f aca="false">IF(COUNTIFS('Source Data'!$C$21:$C$26,$C123)&lt;&gt;1,"",IF(INDEX('Source Data'!$G$21:$G$26,MATCH($C123,'Source Data'!$C$21:$C$26,0))="","",INDEX('Source Data'!$G$21:$G$26,MATCH($C123,'Source Data'!$C$21:$C$26,0))))</f>
        <v>2025</v>
      </c>
      <c r="G126" s="68" t="n">
        <f aca="false">IF(COUNTIFS('Source Data'!$C$21:$C$26,$C123)&lt;&gt;1,"",IF(INDEX('Source Data'!$G$21:$G$26,MATCH($C123,'Source Data'!$C$21:$C$26,0))="","",INDEX('Source Data'!$G$21:$G$26,MATCH($C123,'Source Data'!$C$21:$C$26,0))))</f>
        <v>2025</v>
      </c>
      <c r="H126" s="68" t="n">
        <f aca="false">IF(COUNTIFS('Source Data'!$C$21:$C$26,$C123)&lt;&gt;1,"",IF(INDEX('Source Data'!$G$21:$G$26,MATCH($C123,'Source Data'!$C$21:$C$26,0))="","",INDEX('Source Data'!$G$21:$G$26,MATCH($C123,'Source Data'!$C$21:$C$26,0))))</f>
        <v>2025</v>
      </c>
      <c r="I126" s="68" t="n">
        <f aca="false">IF(COUNTIFS('Source Data'!$C$21:$C$26,$C123)&lt;&gt;1,"",IF(INDEX('Source Data'!$G$21:$G$26,MATCH($C123,'Source Data'!$C$21:$C$26,0))="","",INDEX('Source Data'!$G$21:$G$26,MATCH($C123,'Source Data'!$C$21:$C$26,0))))</f>
        <v>2025</v>
      </c>
      <c r="J126" s="1"/>
    </row>
    <row r="127" customFormat="false" ht="18" hidden="false" customHeight="true" outlineLevel="0" collapsed="false">
      <c r="A127" s="1"/>
      <c r="B127" s="1"/>
      <c r="C127" s="2" t="s">
        <v>71</v>
      </c>
      <c r="D127" s="69" t="n">
        <f aca="false">IF(COUNT(D126,Assumptions!D$22,Assumptions!D$17)&lt;3,"",IF(OR(Assumptions!D$22&lt;0,Assumptions!D$22&gt;1,YEAR(Assumptions!D$17)&lt;D126),"",(1+Assumptions!D$22)^(YEAR(Assumptions!D$17)-D126)))</f>
        <v>1.03</v>
      </c>
      <c r="E127" s="69" t="n">
        <f aca="false">IF(COUNT(E126,Assumptions!E$22,Assumptions!E$17)&lt;3,"",IF(OR(Assumptions!E$22&lt;0,Assumptions!E$22&gt;1,YEAR(Assumptions!E$17)&lt;E126),"",IF(D127="","",D127*(1+Assumptions!E$22))))</f>
        <v>1.0609</v>
      </c>
      <c r="F127" s="69" t="n">
        <f aca="false">IF(COUNT(F126,Assumptions!F$22,Assumptions!F$17)&lt;3,"",IF(OR(Assumptions!F$22&lt;0,Assumptions!F$22&gt;1,YEAR(Assumptions!F$17)&lt;F126),"",IF(E127="","",E127*(1+Assumptions!F$22))))</f>
        <v>1.092727</v>
      </c>
      <c r="G127" s="69" t="n">
        <f aca="false">IF(COUNT(G126,Assumptions!G$22,Assumptions!G$17)&lt;3,"",IF(OR(Assumptions!G$22&lt;0,Assumptions!G$22&gt;1,YEAR(Assumptions!G$17)&lt;G126),"",IF(F127="","",F127*(1+Assumptions!G$22))))</f>
        <v>1.12550881</v>
      </c>
      <c r="H127" s="69" t="n">
        <f aca="false">IF(COUNT(H126,Assumptions!H$22,Assumptions!H$17)&lt;3,"",IF(OR(Assumptions!H$22&lt;0,Assumptions!H$22&gt;1,YEAR(Assumptions!H$17)&lt;H126),"",IF(G127="","",G127*(1+Assumptions!H$22))))</f>
        <v>1.1592740743</v>
      </c>
      <c r="I127" s="38" t="n">
        <f aca="false">IF(H127="","",H127)</f>
        <v>1.1592740743</v>
      </c>
      <c r="J127" s="1"/>
    </row>
    <row r="128" customFormat="false" ht="18" hidden="false" customHeight="true" outlineLevel="0" collapsed="false">
      <c r="A128" s="1"/>
      <c r="B128" s="1"/>
      <c r="C128" s="16" t="s">
        <v>72</v>
      </c>
      <c r="D128" s="70" t="n">
        <f aca="false">IF(OR(D124&lt;&gt;"Build from wage",COUNT(D125,D127)&lt;2,D125&lt;0),"",D125*D127)</f>
        <v>77.6208</v>
      </c>
      <c r="E128" s="70" t="n">
        <f aca="false">IF(OR(E124&lt;&gt;"Build from wage",COUNT(E125,E127)&lt;2,E125&lt;0),"",E125*E127)</f>
        <v>79.949424</v>
      </c>
      <c r="F128" s="70" t="n">
        <f aca="false">IF(OR(F124&lt;&gt;"Build from wage",COUNT(F125,F127)&lt;2,F125&lt;0),"",F125*F127)</f>
        <v>82.34790672</v>
      </c>
      <c r="G128" s="70" t="n">
        <f aca="false">IF(OR(G124&lt;&gt;"Build from wage",COUNT(G125,G127)&lt;2,G125&lt;0),"",G125*G127)</f>
        <v>84.8183439216</v>
      </c>
      <c r="H128" s="70" t="n">
        <f aca="false">IF(OR(H124&lt;&gt;"Build from wage",COUNT(H125,H127)&lt;2,H125&lt;0),"",H125*H127)</f>
        <v>87.362894239248</v>
      </c>
      <c r="I128" s="70" t="n">
        <f aca="false">IF(OR(I124&lt;&gt;"Build from wage",COUNT(I125,I127)&lt;2,I125&lt;0),"",I125*I127)</f>
        <v>87.362894239248</v>
      </c>
      <c r="J128" s="1"/>
    </row>
    <row r="129" customFormat="false" ht="18" hidden="false" customHeight="true" outlineLevel="0" collapsed="false">
      <c r="A129" s="1"/>
      <c r="B129" s="1"/>
      <c r="C129" s="2" t="s">
        <v>60</v>
      </c>
      <c r="D129" s="45" t="n">
        <f aca="false">IF(Staffing!D76="","",Staffing!D76)</f>
        <v>2351.30434782609</v>
      </c>
      <c r="E129" s="45" t="n">
        <f aca="false">IF(Staffing!E76="","",Staffing!E76)</f>
        <v>2351.30434782609</v>
      </c>
      <c r="F129" s="45" t="n">
        <f aca="false">IF(Staffing!F76="","",Staffing!F76)</f>
        <v>2351.30434782609</v>
      </c>
      <c r="G129" s="45" t="n">
        <f aca="false">IF(Staffing!G76="","",Staffing!G76)</f>
        <v>2351.30434782609</v>
      </c>
      <c r="H129" s="45" t="n">
        <f aca="false">IF(Staffing!H76="","",Staffing!H76)</f>
        <v>2351.30434782609</v>
      </c>
      <c r="I129" s="45" t="n">
        <f aca="false">IF(Staffing!I76="","",Staffing!I76)</f>
        <v>1175.65217391304</v>
      </c>
      <c r="J129" s="1"/>
    </row>
    <row r="130" customFormat="false" ht="18" hidden="false" customHeight="true" outlineLevel="0" collapsed="false">
      <c r="A130" s="1"/>
      <c r="B130" s="1"/>
      <c r="C130" s="16" t="s">
        <v>73</v>
      </c>
      <c r="D130" s="60" t="n">
        <f aca="false">IF(COUNT(D128:D129)&lt;2,"",D128*D129)</f>
        <v>182510.124521739</v>
      </c>
      <c r="E130" s="60" t="n">
        <f aca="false">IF(COUNT(E128:E129)&lt;2,"",E128*E129)</f>
        <v>187985.428257391</v>
      </c>
      <c r="F130" s="60" t="n">
        <f aca="false">IF(COUNT(F128:F129)&lt;2,"",F128*F129)</f>
        <v>193624.991105113</v>
      </c>
      <c r="G130" s="60" t="n">
        <f aca="false">IF(COUNT(G128:G129)&lt;2,"",G128*G129)</f>
        <v>199433.740838266</v>
      </c>
      <c r="H130" s="60" t="n">
        <f aca="false">IF(COUNT(H128:H129)&lt;2,"",H128*H129)</f>
        <v>205416.753063414</v>
      </c>
      <c r="I130" s="60" t="n">
        <f aca="false">IF(COUNT(I128:I129)&lt;2,"",I128*I129)</f>
        <v>102708.376531707</v>
      </c>
      <c r="J130" s="1"/>
    </row>
    <row r="131" customFormat="false" ht="18" hidden="false" customHeight="true" outlineLevel="0" collapsed="false">
      <c r="A131" s="1"/>
      <c r="B131" s="1"/>
      <c r="C131" s="2" t="s">
        <v>74</v>
      </c>
      <c r="D131" s="59" t="n">
        <f aca="false">IF(OR(COUNT(D130,Assumptions!D$28)&lt;2,Assumptions!D$28&lt;0),"",D130*Assumptions!D$28)</f>
        <v>45627.5311304348</v>
      </c>
      <c r="E131" s="59" t="n">
        <f aca="false">IF(OR(COUNT(E130,Assumptions!E$28)&lt;2,Assumptions!E$28&lt;0),"",E130*Assumptions!E$28)</f>
        <v>46996.3570643478</v>
      </c>
      <c r="F131" s="59" t="n">
        <f aca="false">IF(OR(COUNT(F130,Assumptions!F$28)&lt;2,Assumptions!F$28&lt;0),"",F130*Assumptions!F$28)</f>
        <v>48406.2477762783</v>
      </c>
      <c r="G131" s="59" t="n">
        <f aca="false">IF(OR(COUNT(G130,Assumptions!G$28)&lt;2,Assumptions!G$28&lt;0),"",G130*Assumptions!G$28)</f>
        <v>49858.4352095666</v>
      </c>
      <c r="H131" s="59" t="n">
        <f aca="false">IF(OR(COUNT(H130,Assumptions!H$28)&lt;2,Assumptions!H$28&lt;0),"",H130*Assumptions!H$28)</f>
        <v>51354.1882658536</v>
      </c>
      <c r="I131" s="59" t="n">
        <f aca="false">IF(OR(COUNT(I130,Assumptions!I$28)&lt;2,Assumptions!I$28&lt;0),"",I130*Assumptions!I$28)</f>
        <v>25677.0941329268</v>
      </c>
      <c r="J131" s="1"/>
    </row>
    <row r="132" customFormat="false" ht="18" hidden="false" customHeight="true" outlineLevel="0" collapsed="false">
      <c r="A132" s="1"/>
      <c r="B132" s="1"/>
      <c r="C132" s="16" t="s">
        <v>75</v>
      </c>
      <c r="D132" s="58" t="n">
        <f aca="false">IF(OR(D124&lt;&gt;"Build from wage",COUNT(D129,Assumptions!$D$9)&lt;2,Assumptions!$D$9&lt;0),"",D129*Assumptions!$D$9)</f>
        <v>0</v>
      </c>
      <c r="E132" s="58" t="n">
        <f aca="false">IF(OR(E124&lt;&gt;"Build from wage",COUNT(E129,Assumptions!$D$9)&lt;2,Assumptions!$D$9&lt;0),"",E129*Assumptions!$D$9)</f>
        <v>0</v>
      </c>
      <c r="F132" s="58" t="n">
        <f aca="false">IF(OR(F124&lt;&gt;"Build from wage",COUNT(F129,Assumptions!$D$9)&lt;2,Assumptions!$D$9&lt;0),"",F129*Assumptions!$D$9)</f>
        <v>0</v>
      </c>
      <c r="G132" s="58" t="n">
        <f aca="false">IF(OR(G124&lt;&gt;"Build from wage",COUNT(G129,Assumptions!$D$9)&lt;2,Assumptions!$D$9&lt;0),"",G129*Assumptions!$D$9)</f>
        <v>0</v>
      </c>
      <c r="H132" s="58" t="n">
        <f aca="false">IF(OR(H124&lt;&gt;"Build from wage",COUNT(H129,Assumptions!$D$9)&lt;2,Assumptions!$D$9&lt;0),"",H129*Assumptions!$D$9)</f>
        <v>0</v>
      </c>
      <c r="I132" s="58" t="n">
        <f aca="false">IF(OR(I124&lt;&gt;"Build from wage",COUNT(I129,Assumptions!$D$9)&lt;2,Assumptions!$D$9&lt;0),"",I129*Assumptions!$D$9)</f>
        <v>0</v>
      </c>
      <c r="J132" s="1"/>
    </row>
    <row r="133" customFormat="false" ht="18" hidden="false" customHeight="true" outlineLevel="0" collapsed="false">
      <c r="A133" s="1"/>
      <c r="B133" s="1"/>
      <c r="C133" s="2" t="s">
        <v>76</v>
      </c>
      <c r="D133" s="57" t="n">
        <f aca="false">IF(COUNT(D130:D132)&lt;3,"",SUM(D130:D132))</f>
        <v>228137.655652174</v>
      </c>
      <c r="E133" s="57" t="n">
        <f aca="false">IF(COUNT(E130:E132)&lt;3,"",SUM(E130:E132))</f>
        <v>234981.785321739</v>
      </c>
      <c r="F133" s="57" t="n">
        <f aca="false">IF(COUNT(F130:F132)&lt;3,"",SUM(F130:F132))</f>
        <v>242031.238881391</v>
      </c>
      <c r="G133" s="57" t="n">
        <f aca="false">IF(COUNT(G130:G132)&lt;3,"",SUM(G130:G132))</f>
        <v>249292.176047833</v>
      </c>
      <c r="H133" s="57" t="n">
        <f aca="false">IF(COUNT(H130:H132)&lt;3,"",SUM(H130:H132))</f>
        <v>256770.941329268</v>
      </c>
      <c r="I133" s="57" t="n">
        <f aca="false">IF(COUNT(I130:I132)&lt;3,"",SUM(I130:I132))</f>
        <v>128385.470664634</v>
      </c>
      <c r="J133" s="1"/>
    </row>
    <row r="134" customFormat="false" ht="18" hidden="false" customHeight="true" outlineLevel="0" collapsed="false">
      <c r="A134" s="1"/>
      <c r="B134" s="1"/>
      <c r="C134" s="16" t="s">
        <v>77</v>
      </c>
      <c r="D134" s="58" t="n">
        <f aca="false">IF(OR(COUNT(D133,Assumptions!D$34)&lt;2,Assumptions!D$34&lt;0),"",D133*Assumptions!D$34)</f>
        <v>22813.7655652174</v>
      </c>
      <c r="E134" s="58" t="n">
        <f aca="false">IF(OR(COUNT(E133,Assumptions!E$34)&lt;2,Assumptions!E$34&lt;0),"",E133*Assumptions!E$34)</f>
        <v>23498.1785321739</v>
      </c>
      <c r="F134" s="58" t="n">
        <f aca="false">IF(OR(COUNT(F133,Assumptions!F$34)&lt;2,Assumptions!F$34&lt;0),"",F133*Assumptions!F$34)</f>
        <v>24203.1238881391</v>
      </c>
      <c r="G134" s="58" t="n">
        <f aca="false">IF(OR(COUNT(G133,Assumptions!G$34)&lt;2,Assumptions!G$34&lt;0),"",G133*Assumptions!G$34)</f>
        <v>24929.2176047833</v>
      </c>
      <c r="H134" s="58" t="n">
        <f aca="false">IF(OR(COUNT(H133,Assumptions!H$34)&lt;2,Assumptions!H$34&lt;0),"",H133*Assumptions!H$34)</f>
        <v>25677.0941329268</v>
      </c>
      <c r="I134" s="58" t="n">
        <f aca="false">IF(OR(COUNT(I133,Assumptions!I$34)&lt;2,Assumptions!I$34&lt;0),"",I133*Assumptions!I$34)</f>
        <v>12838.5470664634</v>
      </c>
      <c r="J134" s="1"/>
    </row>
    <row r="135" customFormat="false" ht="18" hidden="false" customHeight="true" outlineLevel="0" collapsed="false">
      <c r="A135" s="1"/>
      <c r="B135" s="1"/>
      <c r="C135" s="2" t="s">
        <v>78</v>
      </c>
      <c r="D135" s="57" t="n">
        <f aca="false">IF(COUNT(D133:D134)&lt;2,"",SUM(D133:D134))</f>
        <v>250951.421217391</v>
      </c>
      <c r="E135" s="57" t="n">
        <f aca="false">IF(COUNT(E133:E134)&lt;2,"",SUM(E133:E134))</f>
        <v>258479.963853913</v>
      </c>
      <c r="F135" s="57" t="n">
        <f aca="false">IF(COUNT(F133:F134)&lt;2,"",SUM(F133:F134))</f>
        <v>266234.36276953</v>
      </c>
      <c r="G135" s="57" t="n">
        <f aca="false">IF(COUNT(G133:G134)&lt;2,"",SUM(G133:G134))</f>
        <v>274221.393652616</v>
      </c>
      <c r="H135" s="57" t="n">
        <f aca="false">IF(COUNT(H133:H134)&lt;2,"",SUM(H133:H134))</f>
        <v>282448.035462195</v>
      </c>
      <c r="I135" s="57" t="n">
        <f aca="false">IF(COUNT(I133:I134)&lt;2,"",SUM(I133:I134))</f>
        <v>141224.017731097</v>
      </c>
      <c r="J135" s="1"/>
    </row>
    <row r="136" customFormat="false" ht="18" hidden="false" customHeight="true" outlineLevel="0" collapsed="false">
      <c r="A136" s="1"/>
      <c r="B136" s="1"/>
      <c r="C136" s="16" t="s">
        <v>79</v>
      </c>
      <c r="D136" s="58" t="n">
        <f aca="false">IF(OR(COUNT(D135,Assumptions!D$40)&lt;2,Assumptions!D$40&lt;0),"",D135*Assumptions!D$40)</f>
        <v>25095.1421217391</v>
      </c>
      <c r="E136" s="58" t="n">
        <f aca="false">IF(OR(COUNT(E135,Assumptions!E$40)&lt;2,Assumptions!E$40&lt;0),"",E135*Assumptions!E$40)</f>
        <v>25847.9963853913</v>
      </c>
      <c r="F136" s="58" t="n">
        <f aca="false">IF(OR(COUNT(F135,Assumptions!F$40)&lt;2,Assumptions!F$40&lt;0),"",F135*Assumptions!F$40)</f>
        <v>26623.436276953</v>
      </c>
      <c r="G136" s="58" t="n">
        <f aca="false">IF(OR(COUNT(G135,Assumptions!G$40)&lt;2,Assumptions!G$40&lt;0),"",G135*Assumptions!G$40)</f>
        <v>27422.1393652616</v>
      </c>
      <c r="H136" s="58" t="n">
        <f aca="false">IF(OR(COUNT(H135,Assumptions!H$40)&lt;2,Assumptions!H$40&lt;0),"",H135*Assumptions!H$40)</f>
        <v>28244.8035462195</v>
      </c>
      <c r="I136" s="58" t="n">
        <f aca="false">IF(OR(COUNT(I135,Assumptions!I$40)&lt;2,Assumptions!I$40&lt;0),"",I135*Assumptions!I$40)</f>
        <v>14122.4017731097</v>
      </c>
      <c r="J136" s="1"/>
    </row>
    <row r="137" customFormat="false" ht="18" hidden="false" customHeight="true" outlineLevel="0" collapsed="false">
      <c r="A137" s="1"/>
      <c r="B137" s="1"/>
      <c r="C137" s="2" t="s">
        <v>80</v>
      </c>
      <c r="D137" s="57" t="n">
        <f aca="false">IF(COUNT(D135:D136)&lt;2,"",SUM(D135:D136))</f>
        <v>276046.56333913</v>
      </c>
      <c r="E137" s="57" t="n">
        <f aca="false">IF(COUNT(E135:E136)&lt;2,"",SUM(E135:E136))</f>
        <v>284327.960239304</v>
      </c>
      <c r="F137" s="57" t="n">
        <f aca="false">IF(COUNT(F135:F136)&lt;2,"",SUM(F135:F136))</f>
        <v>292857.799046484</v>
      </c>
      <c r="G137" s="57" t="n">
        <f aca="false">IF(COUNT(G135:G136)&lt;2,"",SUM(G135:G136))</f>
        <v>301643.533017878</v>
      </c>
      <c r="H137" s="57" t="n">
        <f aca="false">IF(COUNT(H135:H136)&lt;2,"",SUM(H135:H136))</f>
        <v>310692.839008414</v>
      </c>
      <c r="I137" s="57" t="n">
        <f aca="false">IF(COUNT(I135:I136)&lt;2,"",SUM(I135:I136))</f>
        <v>155346.419504207</v>
      </c>
      <c r="J137" s="1"/>
    </row>
    <row r="138" customFormat="false" ht="18" hidden="false" customHeight="true" outlineLevel="0" collapsed="false">
      <c r="A138" s="1"/>
      <c r="B138" s="1"/>
      <c r="C138" s="16" t="s">
        <v>81</v>
      </c>
      <c r="D138" s="58" t="n">
        <f aca="false">IF(OR(COUNT(D137,Assumptions!$D$10)&lt;2,Assumptions!$D$10&lt;0),"",IF(Assumptions!$D$11="Profit on cost",D137*Assumptions!$D$10,IF(Assumptions!$D$11="Margin on sales",IF(Assumptions!$D$10&gt;=1,"",D137/(1-Assumptions!$D$10)-D137),"")))</f>
        <v>27604.656333913</v>
      </c>
      <c r="E138" s="58" t="n">
        <f aca="false">IF(OR(COUNT(E137,Assumptions!$D$10)&lt;2,Assumptions!$D$10&lt;0),"",IF(Assumptions!$D$11="Profit on cost",E137*Assumptions!$D$10,IF(Assumptions!$D$11="Margin on sales",IF(Assumptions!$D$10&gt;=1,"",E137/(1-Assumptions!$D$10)-E137),"")))</f>
        <v>28432.7960239304</v>
      </c>
      <c r="F138" s="58" t="n">
        <f aca="false">IF(OR(COUNT(F137,Assumptions!$D$10)&lt;2,Assumptions!$D$10&lt;0),"",IF(Assumptions!$D$11="Profit on cost",F137*Assumptions!$D$10,IF(Assumptions!$D$11="Margin on sales",IF(Assumptions!$D$10&gt;=1,"",F137/(1-Assumptions!$D$10)-F137),"")))</f>
        <v>29285.7799046484</v>
      </c>
      <c r="G138" s="58" t="n">
        <f aca="false">IF(OR(COUNT(G137,Assumptions!$D$10)&lt;2,Assumptions!$D$10&lt;0),"",IF(Assumptions!$D$11="Profit on cost",G137*Assumptions!$D$10,IF(Assumptions!$D$11="Margin on sales",IF(Assumptions!$D$10&gt;=1,"",G137/(1-Assumptions!$D$10)-G137),"")))</f>
        <v>30164.3533017878</v>
      </c>
      <c r="H138" s="58" t="n">
        <f aca="false">IF(OR(COUNT(H137,Assumptions!$D$10)&lt;2,Assumptions!$D$10&lt;0),"",IF(Assumptions!$D$11="Profit on cost",H137*Assumptions!$D$10,IF(Assumptions!$D$11="Margin on sales",IF(Assumptions!$D$10&gt;=1,"",H137/(1-Assumptions!$D$10)-H137),"")))</f>
        <v>31069.2839008414</v>
      </c>
      <c r="I138" s="58" t="n">
        <f aca="false">IF(OR(COUNT(I137,Assumptions!$D$10)&lt;2,Assumptions!$D$10&lt;0),"",IF(Assumptions!$D$11="Profit on cost",I137*Assumptions!$D$10,IF(Assumptions!$D$11="Margin on sales",IF(Assumptions!$D$10&gt;=1,"",I137/(1-Assumptions!$D$10)-I137),"")))</f>
        <v>15534.6419504207</v>
      </c>
      <c r="J138" s="1"/>
    </row>
    <row r="139" customFormat="false" ht="18" hidden="false" customHeight="true" outlineLevel="0" collapsed="false">
      <c r="A139" s="1"/>
      <c r="B139" s="1"/>
      <c r="C139" s="2" t="s">
        <v>82</v>
      </c>
      <c r="D139" s="71" t="n">
        <f aca="false">IF(D124="Use supplied loaded rate",IF(COUNTIFS('Source Data'!$C$21:$C$26,$C123)&lt;&gt;1,"",IF(INDEX('Source Data'!$I$21:$I$26,MATCH($C123,'Source Data'!$C$21:$C$26,0))="","",INDEX('Source Data'!$I$21:$I$26,MATCH($C123,'Source Data'!$C$21:$C$26,0)))),IF(OR(D124&lt;&gt;"Build from wage",COUNT(D137:D138)&lt;2,NOT(ISNUMBER(Staffing!D69)),Staffing!D69&lt;=0),"",SUM(D137:D138)/Staffing!D69))</f>
        <v>145.986163304348</v>
      </c>
      <c r="E139" s="71" t="n">
        <f aca="false">IF(E124="Use supplied loaded rate",IF(OR(COUNT(D139,Assumptions!E$46)&lt;2,Assumptions!E$46&lt;0,Assumptions!E$46&gt;1),"",D139*(1+Assumptions!E$46)),IF(OR(E124&lt;&gt;"Build from wage",COUNT(E137:E138)&lt;2,NOT(ISNUMBER(Staffing!E69)),Staffing!E69&lt;=0),"",SUM(E137:E138)/Staffing!E69))</f>
        <v>150.365748203478</v>
      </c>
      <c r="F139" s="71" t="n">
        <f aca="false">IF(F124="Use supplied loaded rate",IF(OR(COUNT(E139,Assumptions!F$46)&lt;2,Assumptions!F$46&lt;0,Assumptions!F$46&gt;1),"",E139*(1+Assumptions!F$46)),IF(OR(F124&lt;&gt;"Build from wage",COUNT(F137:F138)&lt;2,NOT(ISNUMBER(Staffing!F69)),Staffing!F69&lt;=0),"",SUM(F137:F138)/Staffing!F69))</f>
        <v>154.876720649583</v>
      </c>
      <c r="G139" s="71" t="n">
        <f aca="false">IF(G124="Use supplied loaded rate",IF(OR(COUNT(F139,Assumptions!G$46)&lt;2,Assumptions!G$46&lt;0,Assumptions!G$46&gt;1),"",F139*(1+Assumptions!G$46)),IF(OR(G124&lt;&gt;"Build from wage",COUNT(G137:G138)&lt;2,NOT(ISNUMBER(Staffing!G69)),Staffing!G69&lt;=0),"",SUM(G137:G138)/Staffing!G69))</f>
        <v>159.52302226907</v>
      </c>
      <c r="H139" s="71" t="n">
        <f aca="false">IF(H124="Use supplied loaded rate",IF(OR(COUNT(G139,Assumptions!H$46)&lt;2,Assumptions!H$46&lt;0,Assumptions!H$46&gt;1),"",G139*(1+Assumptions!H$46)),IF(OR(H124&lt;&gt;"Build from wage",COUNT(H137:H138)&lt;2,NOT(ISNUMBER(Staffing!H69)),Staffing!H69&lt;=0),"",SUM(H137:H138)/Staffing!H69))</f>
        <v>164.308712937142</v>
      </c>
      <c r="I139" s="71" t="n">
        <f aca="false">IF(I124="Use supplied loaded rate",IF(H139="","",H139),IF(OR(I124&lt;&gt;"Build from wage",COUNT(I137:I138)&lt;2,NOT(ISNUMBER(Staffing!I69)),Staffing!I69&lt;=0),"",SUM(I137:I138)/Staffing!I69))</f>
        <v>164.308712937142</v>
      </c>
      <c r="J139" s="1"/>
    </row>
    <row r="140" customFormat="false" ht="18" hidden="false" customHeight="true" outlineLevel="0" collapsed="false">
      <c r="A140" s="1"/>
      <c r="B140" s="1"/>
      <c r="C140" s="16" t="s">
        <v>83</v>
      </c>
      <c r="D140" s="62"/>
      <c r="E140" s="62"/>
      <c r="F140" s="62"/>
      <c r="G140" s="62"/>
      <c r="H140" s="62"/>
      <c r="I140" s="62"/>
      <c r="J140" s="1"/>
    </row>
    <row r="141" customFormat="false" ht="18" hidden="false" customHeight="true" outlineLevel="0" collapsed="false">
      <c r="A141" s="1"/>
      <c r="B141" s="1"/>
      <c r="C141" s="72" t="s">
        <v>84</v>
      </c>
      <c r="D141" s="73" t="n">
        <f aca="false">IF(D140="",IF(OR(NOT(ISNUMBER(D139)),D139&lt;0),"",ROUND(D139,4)),IF(AND(ISNUMBER(D140),D140&gt;=0),ROUND(D140,4),""))</f>
        <v>145.9862</v>
      </c>
      <c r="E141" s="73" t="n">
        <f aca="false">IF(E140="",IF(OR(NOT(ISNUMBER(E139)),E139&lt;0),"",ROUND(E139,4)),IF(AND(ISNUMBER(E140),E140&gt;=0),ROUND(E140,4),""))</f>
        <v>150.3657</v>
      </c>
      <c r="F141" s="73" t="n">
        <f aca="false">IF(F140="",IF(OR(NOT(ISNUMBER(F139)),F139&lt;0),"",ROUND(F139,4)),IF(AND(ISNUMBER(F140),F140&gt;=0),ROUND(F140,4),""))</f>
        <v>154.8767</v>
      </c>
      <c r="G141" s="73" t="n">
        <f aca="false">IF(G140="",IF(OR(NOT(ISNUMBER(G139)),G139&lt;0),"",ROUND(G139,4)),IF(AND(ISNUMBER(G140),G140&gt;=0),ROUND(G140,4),""))</f>
        <v>159.523</v>
      </c>
      <c r="H141" s="73" t="n">
        <f aca="false">IF(H140="",IF(OR(NOT(ISNUMBER(H139)),H139&lt;0),"",ROUND(H139,4)),IF(AND(ISNUMBER(H140),H140&gt;=0),ROUND(H140,4),""))</f>
        <v>164.3087</v>
      </c>
      <c r="I141" s="73" t="n">
        <f aca="false">IF(I140="",IF(OR(NOT(ISNUMBER(H141)),H141&lt;0),"",ROUND(H141,4)),IF(AND(ISNUMBER(I140),I140&gt;=0),ROUND(I140,4),""))</f>
        <v>164.3087</v>
      </c>
      <c r="J141" s="1"/>
    </row>
    <row r="142" customFormat="false" ht="32" hidden="false" customHeight="true" outlineLevel="0" collapsed="false">
      <c r="A142" s="1"/>
      <c r="B142" s="1"/>
      <c r="C142" s="16" t="s">
        <v>61</v>
      </c>
      <c r="D142" s="74" t="str">
        <f aca="false">IF(Staffing!D77&lt;&gt;"Complete",Staffing!D77,IF(AND(D124&lt;&gt;"Build from wage",D124&lt;&gt;"Use supplied loaded rate"),"Invalid rate basis",IF(Staffing!D69=0,"Zero hours",IF(D141="","Missing / invalid rate",IF(AND(D124="Build from wage",COUNT(D137:D138)&lt;2),"Missing cost inputs","Complete")))))</f>
        <v>Complete</v>
      </c>
      <c r="E142" s="74" t="str">
        <f aca="false">IF(Staffing!E77&lt;&gt;"Complete",Staffing!E77,IF(AND(E124&lt;&gt;"Build from wage",E124&lt;&gt;"Use supplied loaded rate"),"Invalid rate basis",IF(Staffing!E69=0,"Zero hours",IF(E141="","Missing / invalid rate",IF(AND(E124="Build from wage",COUNT(E137:E138)&lt;2),"Missing cost inputs","Complete")))))</f>
        <v>Complete</v>
      </c>
      <c r="F142" s="74" t="str">
        <f aca="false">IF(Staffing!F77&lt;&gt;"Complete",Staffing!F77,IF(AND(F124&lt;&gt;"Build from wage",F124&lt;&gt;"Use supplied loaded rate"),"Invalid rate basis",IF(Staffing!F69=0,"Zero hours",IF(F141="","Missing / invalid rate",IF(AND(F124="Build from wage",COUNT(F137:F138)&lt;2),"Missing cost inputs","Complete")))))</f>
        <v>Complete</v>
      </c>
      <c r="G142" s="74" t="str">
        <f aca="false">IF(Staffing!G77&lt;&gt;"Complete",Staffing!G77,IF(AND(G124&lt;&gt;"Build from wage",G124&lt;&gt;"Use supplied loaded rate"),"Invalid rate basis",IF(Staffing!G69=0,"Zero hours",IF(G141="","Missing / invalid rate",IF(AND(G124="Build from wage",COUNT(G137:G138)&lt;2),"Missing cost inputs","Complete")))))</f>
        <v>Complete</v>
      </c>
      <c r="H142" s="74" t="str">
        <f aca="false">IF(Staffing!H77&lt;&gt;"Complete",Staffing!H77,IF(AND(H124&lt;&gt;"Build from wage",H124&lt;&gt;"Use supplied loaded rate"),"Invalid rate basis",IF(Staffing!H69=0,"Zero hours",IF(H141="","Missing / invalid rate",IF(AND(H124="Build from wage",COUNT(H137:H138)&lt;2),"Missing cost inputs","Complete")))))</f>
        <v>Complete</v>
      </c>
      <c r="I142" s="74" t="str">
        <f aca="false">IF(Staffing!I77&lt;&gt;"Complete",Staffing!I77,IF(AND(I124&lt;&gt;"Build from wage",I124&lt;&gt;"Use supplied loaded rate"),"Invalid rate basis",IF(Staffing!I69=0,"Zero hours",IF(I141="","Missing / invalid rate",IF(AND(I124="Build from wage",COUNT(I137:I138)&lt;2),"Missing cost inputs","Complete")))))</f>
        <v>Complete</v>
      </c>
      <c r="J142" s="1"/>
    </row>
    <row r="143" customFormat="false" ht="18" hidden="false" customHeight="true" outlineLevel="0" collapsed="false">
      <c r="A143" s="1"/>
      <c r="B143" s="1"/>
      <c r="C143" s="2"/>
      <c r="D143" s="3"/>
      <c r="E143" s="3"/>
      <c r="F143" s="3"/>
      <c r="G143" s="3"/>
      <c r="H143" s="3"/>
      <c r="I143" s="3"/>
      <c r="J143" s="1"/>
    </row>
    <row r="144" customFormat="false" ht="18" hidden="false" customHeight="true" outlineLevel="0" collapsed="false">
      <c r="A144" s="1"/>
      <c r="B144" s="1"/>
      <c r="C144" s="2"/>
      <c r="D144" s="3"/>
      <c r="E144" s="3"/>
      <c r="F144" s="3"/>
      <c r="G144" s="3"/>
      <c r="H144" s="3"/>
      <c r="I144" s="3"/>
      <c r="J144" s="1"/>
    </row>
    <row r="145" customFormat="false" ht="18" hidden="false" customHeight="true" outlineLevel="0" collapsed="false">
      <c r="A145" s="1"/>
      <c r="B145" s="1"/>
      <c r="C145" s="2"/>
      <c r="D145" s="3"/>
      <c r="E145" s="3"/>
      <c r="F145" s="3"/>
      <c r="G145" s="3"/>
      <c r="H145" s="3"/>
      <c r="I145" s="3"/>
      <c r="J145" s="1"/>
    </row>
    <row r="146" customFormat="false" ht="18" hidden="false" customHeight="true" outlineLevel="0" collapsed="false">
      <c r="A146" s="1"/>
      <c r="B146" s="1"/>
      <c r="C146" s="2"/>
      <c r="D146" s="3"/>
      <c r="E146" s="3"/>
      <c r="F146" s="3"/>
      <c r="G146" s="3"/>
      <c r="H146" s="3"/>
      <c r="I146" s="3"/>
      <c r="J146" s="1"/>
    </row>
  </sheetData>
  <mergeCells count="6">
    <mergeCell ref="D8:I8"/>
    <mergeCell ref="D31:I31"/>
    <mergeCell ref="D54:I54"/>
    <mergeCell ref="D77:I77"/>
    <mergeCell ref="D100:I100"/>
    <mergeCell ref="D123:I123"/>
  </mergeCells>
  <conditionalFormatting sqref="D27:I27">
    <cfRule type="notContainsText" priority="2" operator="notContains" aboveAverage="0" equalAverage="0" bottom="0" percent="0" rank="0" text="Complete" dxfId="12">
      <formula>ISERROR(SEARCH("Complete",D27))</formula>
    </cfRule>
  </conditionalFormatting>
  <conditionalFormatting sqref="D50:I50">
    <cfRule type="notContainsText" priority="3" operator="notContains" aboveAverage="0" equalAverage="0" bottom="0" percent="0" rank="0" text="Complete" dxfId="13">
      <formula>ISERROR(SEARCH("Complete",D50))</formula>
    </cfRule>
  </conditionalFormatting>
  <conditionalFormatting sqref="D73:I73">
    <cfRule type="notContainsText" priority="4" operator="notContains" aboveAverage="0" equalAverage="0" bottom="0" percent="0" rank="0" text="Complete" dxfId="14">
      <formula>ISERROR(SEARCH("Complete",D73))</formula>
    </cfRule>
  </conditionalFormatting>
  <conditionalFormatting sqref="D96:I96">
    <cfRule type="notContainsText" priority="5" operator="notContains" aboveAverage="0" equalAverage="0" bottom="0" percent="0" rank="0" text="Complete" dxfId="15">
      <formula>ISERROR(SEARCH("Complete",D96))</formula>
    </cfRule>
  </conditionalFormatting>
  <conditionalFormatting sqref="D119:I119">
    <cfRule type="notContainsText" priority="6" operator="notContains" aboveAverage="0" equalAverage="0" bottom="0" percent="0" rank="0" text="Complete" dxfId="16">
      <formula>ISERROR(SEARCH("Complete",D119))</formula>
    </cfRule>
  </conditionalFormatting>
  <conditionalFormatting sqref="D142:I142">
    <cfRule type="notContainsText" priority="7" operator="notContains" aboveAverage="0" equalAverage="0" bottom="0" percent="0" rank="0" text="Complete" dxfId="17">
      <formula>ISERROR(SEARCH("Complete",D142))</formula>
    </cfRule>
  </conditionalFormatting>
  <printOptions headings="false" gridLines="false" gridLinesSet="true" horizontalCentered="true" verticalCentered="false"/>
  <pageMargins left="0.3" right="0.3" top="0.3" bottom="0.3" header="0.511811023622047" footer="0.1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&amp;R&amp;"Calibri"&amp;11Page &amp;P of &amp;N</oddFooter>
  </headerFooter>
  <rowBreaks count="5" manualBreakCount="5">
    <brk id="30" man="true" max="16383" min="0"/>
    <brk id="53" man="true" max="16383" min="0"/>
    <brk id="76" man="true" max="16383" min="0"/>
    <brk id="99" man="true" max="16383" min="0"/>
    <brk id="122" man="true" max="16383" min="0"/>
  </rowBreak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7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2"/>
    <col collapsed="false" customWidth="true" hidden="false" outlineLevel="0" max="3" min="3" style="0" width="12"/>
    <col collapsed="false" customWidth="true" hidden="false" outlineLevel="0" max="4" min="4" style="0" width="32"/>
    <col collapsed="false" customWidth="true" hidden="false" outlineLevel="0" max="5" min="5" style="0" width="12"/>
    <col collapsed="false" customWidth="true" hidden="false" outlineLevel="0" max="6" min="6" style="0" width="18"/>
    <col collapsed="false" customWidth="true" hidden="false" outlineLevel="0" max="8" min="7" style="0" width="21"/>
    <col collapsed="false" customWidth="true" hidden="false" outlineLevel="0" max="9" min="9" style="0" width="18"/>
    <col collapsed="false" customWidth="true" hidden="false" outlineLevel="0" max="10" min="10" style="0" width="2"/>
  </cols>
  <sheetData>
    <row r="1" customFormat="false" ht="18" hidden="false" customHeight="true" outlineLevel="0" collapsed="false">
      <c r="A1" s="1"/>
      <c r="B1" s="1"/>
      <c r="C1" s="2"/>
      <c r="D1" s="3"/>
      <c r="E1" s="3"/>
      <c r="F1" s="3"/>
      <c r="G1" s="3"/>
      <c r="H1" s="3"/>
      <c r="I1" s="3"/>
      <c r="J1" s="1"/>
    </row>
    <row r="2" customFormat="false" ht="28" hidden="false" customHeight="true" outlineLevel="0" collapsed="false">
      <c r="A2" s="1"/>
      <c r="B2" s="1"/>
      <c r="C2" s="4" t="s">
        <v>85</v>
      </c>
      <c r="D2" s="3"/>
      <c r="E2" s="3"/>
      <c r="F2" s="3"/>
      <c r="G2" s="3"/>
      <c r="H2" s="3"/>
      <c r="I2" s="3"/>
      <c r="J2" s="1"/>
    </row>
    <row r="3" customFormat="false" ht="6" hidden="false" customHeight="true" outlineLevel="0" collapsed="false">
      <c r="A3" s="1"/>
      <c r="B3" s="1"/>
      <c r="C3" s="5"/>
      <c r="D3" s="6"/>
      <c r="E3" s="6"/>
      <c r="F3" s="6"/>
      <c r="G3" s="6"/>
      <c r="H3" s="6"/>
      <c r="I3" s="6"/>
      <c r="J3" s="1"/>
    </row>
    <row r="4" customFormat="false" ht="18" hidden="false" customHeight="true" outlineLevel="0" collapsed="false">
      <c r="A4" s="1"/>
      <c r="B4" s="1"/>
      <c r="C4" s="2" t="s">
        <v>1</v>
      </c>
      <c r="D4" s="7" t="str">
        <f aca="false">Assumptions!$D$4</f>
        <v>Base</v>
      </c>
      <c r="E4" s="3"/>
      <c r="F4" s="3"/>
      <c r="G4" s="3"/>
      <c r="H4" s="3"/>
      <c r="I4" s="3"/>
      <c r="J4" s="1"/>
    </row>
    <row r="5" customFormat="false" ht="18" hidden="false" customHeight="true" outlineLevel="0" collapsed="false">
      <c r="A5" s="1"/>
      <c r="B5" s="1"/>
      <c r="C5" s="2"/>
      <c r="D5" s="3"/>
      <c r="E5" s="3"/>
      <c r="F5" s="3"/>
      <c r="G5" s="3"/>
      <c r="H5" s="3"/>
      <c r="I5" s="3"/>
      <c r="J5" s="1"/>
    </row>
    <row r="6" customFormat="false" ht="18" hidden="false" customHeight="true" outlineLevel="0" collapsed="false">
      <c r="A6" s="1"/>
      <c r="B6" s="1"/>
      <c r="C6" s="2"/>
      <c r="D6" s="3"/>
      <c r="E6" s="3"/>
      <c r="F6" s="3"/>
      <c r="G6" s="3"/>
      <c r="H6" s="3"/>
      <c r="I6" s="3"/>
      <c r="J6" s="1"/>
    </row>
    <row r="7" customFormat="false" ht="18" hidden="false" customHeight="true" outlineLevel="0" collapsed="false">
      <c r="A7" s="1"/>
      <c r="B7" s="1"/>
      <c r="C7" s="2"/>
      <c r="D7" s="3"/>
      <c r="E7" s="3"/>
      <c r="F7" s="3"/>
      <c r="G7" s="3"/>
      <c r="H7" s="3"/>
      <c r="I7" s="3"/>
      <c r="J7" s="1"/>
    </row>
    <row r="8" customFormat="false" ht="22" hidden="false" customHeight="true" outlineLevel="0" collapsed="false">
      <c r="A8" s="1"/>
      <c r="B8" s="1"/>
      <c r="C8" s="43" t="s">
        <v>16</v>
      </c>
      <c r="D8" s="43"/>
      <c r="E8" s="43"/>
      <c r="F8" s="43"/>
      <c r="G8" s="43"/>
      <c r="H8" s="43"/>
      <c r="I8" s="43"/>
      <c r="J8" s="1"/>
    </row>
    <row r="9" customFormat="false" ht="18" hidden="false" customHeight="true" outlineLevel="0" collapsed="false">
      <c r="A9" s="1"/>
      <c r="B9" s="1"/>
      <c r="C9" s="75" t="s">
        <v>86</v>
      </c>
      <c r="D9" s="75" t="s">
        <v>87</v>
      </c>
      <c r="E9" s="75" t="s">
        <v>88</v>
      </c>
      <c r="F9" s="75" t="s">
        <v>89</v>
      </c>
      <c r="G9" s="75" t="s">
        <v>13</v>
      </c>
      <c r="H9" s="75" t="s">
        <v>14</v>
      </c>
      <c r="I9" s="75" t="s">
        <v>15</v>
      </c>
      <c r="J9" s="1"/>
    </row>
    <row r="10" customFormat="false" ht="22" hidden="false" customHeight="true" outlineLevel="0" collapsed="false">
      <c r="A10" s="1"/>
      <c r="B10" s="1"/>
      <c r="C10" s="2" t="s">
        <v>52</v>
      </c>
      <c r="D10" s="76" t="str">
        <f aca="false">IF(COUNTIFS('Source Data'!$C$21:$C$26,$C10)&lt;&gt;1,"",IF(INDEX('Source Data'!$D$21:$D$26,MATCH($C10,'Source Data'!$C$21:$C$26,0))="","",INDEX('Source Data'!$D$21:$D$26,MATCH($C10,'Source Data'!$C$21:$C$26,0))))</f>
        <v>On-Site Supervisor</v>
      </c>
      <c r="E10" s="45" t="n">
        <f aca="false">IF(Staffing!D9="","",Staffing!D9)</f>
        <v>2080</v>
      </c>
      <c r="F10" s="71" t="n">
        <f aca="false">IF('Labor Rates'!D26="","",'Labor Rates'!D26)</f>
        <v>89.5173</v>
      </c>
      <c r="G10" s="57" t="n">
        <f aca="false">IF(E10="","",IF(E10=0,0,IF(COUNT(E10:F10)&lt;2,"",ROUND(E10*F10,2))))</f>
        <v>186195.98</v>
      </c>
      <c r="H10" s="59" t="n">
        <f aca="false">IF(E10="","",IF('Labor Rates'!D22="","n.a.",ROUND('Labor Rates'!D22,2)))</f>
        <v>169269</v>
      </c>
      <c r="I10" s="57" t="n">
        <f aca="false">IF(G10="","",IF(ISNUMBER(H10),G10-H10,"n.a."))</f>
        <v>16926.98</v>
      </c>
      <c r="J10" s="1"/>
    </row>
    <row r="11" customFormat="false" ht="22" hidden="false" customHeight="true" outlineLevel="0" collapsed="false">
      <c r="A11" s="1"/>
      <c r="B11" s="1"/>
      <c r="C11" s="16" t="s">
        <v>62</v>
      </c>
      <c r="D11" s="77" t="str">
        <f aca="false">IF(COUNTIFS('Source Data'!$C$21:$C$26,$C11)&lt;&gt;1,"",IF(INDEX('Source Data'!$D$21:$D$26,MATCH($C11,'Source Data'!$C$21:$C$26,0))="","",INDEX('Source Data'!$D$21:$D$26,MATCH($C11,'Source Data'!$C$21:$C$26,0))))</f>
        <v>Financial Analyst</v>
      </c>
      <c r="E11" s="46" t="n">
        <f aca="false">IF(Staffing!D21="","",Staffing!D21)</f>
        <v>4160</v>
      </c>
      <c r="F11" s="61" t="n">
        <f aca="false">IF('Labor Rates'!D49="","",'Labor Rates'!D49)</f>
        <v>117.8195</v>
      </c>
      <c r="G11" s="60" t="n">
        <f aca="false">IF(E11="","",IF(E11=0,0,IF(COUNT(E11:F11)&lt;2,"",ROUND(E11*F11,2))))</f>
        <v>490129.12</v>
      </c>
      <c r="H11" s="58" t="n">
        <f aca="false">IF(E11="","",IF('Labor Rates'!D45="","n.a.",ROUND('Labor Rates'!D45,2)))</f>
        <v>445571.97</v>
      </c>
      <c r="I11" s="60" t="n">
        <f aca="false">IF(G11="","",IF(ISNUMBER(H11),G11-H11,"n.a."))</f>
        <v>44557.15</v>
      </c>
      <c r="J11" s="1"/>
    </row>
    <row r="12" customFormat="false" ht="22" hidden="false" customHeight="true" outlineLevel="0" collapsed="false">
      <c r="A12" s="1"/>
      <c r="B12" s="1"/>
      <c r="C12" s="2" t="s">
        <v>63</v>
      </c>
      <c r="D12" s="76" t="str">
        <f aca="false">IF(COUNTIFS('Source Data'!$C$21:$C$26,$C12)&lt;&gt;1,"",IF(INDEX('Source Data'!$D$21:$D$26,MATCH($C12,'Source Data'!$C$21:$C$26,0))="","",INDEX('Source Data'!$D$21:$D$26,MATCH($C12,'Source Data'!$C$21:$C$26,0))))</f>
        <v>Administrative Assistant</v>
      </c>
      <c r="E12" s="45" t="n">
        <f aca="false">IF(Staffing!D33="","",Staffing!D33)</f>
        <v>2080</v>
      </c>
      <c r="F12" s="71" t="n">
        <f aca="false">IF('Labor Rates'!D72="","",'Labor Rates'!D72)</f>
        <v>49.9793</v>
      </c>
      <c r="G12" s="57" t="n">
        <f aca="false">IF(E12="","",IF(E12=0,0,IF(COUNT(E12:F12)&lt;2,"",ROUND(E12*F12,2))))</f>
        <v>103956.94</v>
      </c>
      <c r="H12" s="59" t="n">
        <f aca="false">IF(E12="","",IF('Labor Rates'!D68="","n.a.",ROUND('Labor Rates'!D68,2)))</f>
        <v>94506.39</v>
      </c>
      <c r="I12" s="57" t="n">
        <f aca="false">IF(G12="","",IF(ISNUMBER(H12),G12-H12,"n.a."))</f>
        <v>9450.55</v>
      </c>
      <c r="J12" s="1"/>
    </row>
    <row r="13" customFormat="false" ht="22" hidden="false" customHeight="true" outlineLevel="0" collapsed="false">
      <c r="A13" s="1"/>
      <c r="B13" s="1"/>
      <c r="C13" s="16" t="s">
        <v>64</v>
      </c>
      <c r="D13" s="77" t="str">
        <f aca="false">IF(COUNTIFS('Source Data'!$C$21:$C$26,$C13)&lt;&gt;1,"",IF(INDEX('Source Data'!$D$21:$D$26,MATCH($C13,'Source Data'!$C$21:$C$26,0))="","",INDEX('Source Data'!$D$21:$D$26,MATCH($C13,'Source Data'!$C$21:$C$26,0))))</f>
        <v>Program Analyst I</v>
      </c>
      <c r="E13" s="46" t="n">
        <f aca="false">IF(Staffing!D45="","",Staffing!D45)</f>
        <v>2080</v>
      </c>
      <c r="F13" s="61" t="n">
        <f aca="false">IF('Labor Rates'!D95="","",'Labor Rates'!D95)</f>
        <v>94.4377</v>
      </c>
      <c r="G13" s="60" t="n">
        <f aca="false">IF(E13="","",IF(E13=0,0,IF(COUNT(E13:F13)&lt;2,"",ROUND(E13*F13,2))))</f>
        <v>196430.42</v>
      </c>
      <c r="H13" s="58" t="n">
        <f aca="false">IF(E13="","",IF('Labor Rates'!D91="","n.a.",ROUND('Labor Rates'!D91,2)))</f>
        <v>178573.12</v>
      </c>
      <c r="I13" s="60" t="n">
        <f aca="false">IF(G13="","",IF(ISNUMBER(H13),G13-H13,"n.a."))</f>
        <v>17857.3</v>
      </c>
      <c r="J13" s="1"/>
    </row>
    <row r="14" customFormat="false" ht="22" hidden="false" customHeight="true" outlineLevel="0" collapsed="false">
      <c r="A14" s="1"/>
      <c r="B14" s="1"/>
      <c r="C14" s="2" t="s">
        <v>65</v>
      </c>
      <c r="D14" s="76" t="str">
        <f aca="false">IF(COUNTIFS('Source Data'!$C$21:$C$26,$C14)&lt;&gt;1,"",IF(INDEX('Source Data'!$D$21:$D$26,MATCH($C14,'Source Data'!$C$21:$C$26,0))="","",INDEX('Source Data'!$D$21:$D$26,MATCH($C14,'Source Data'!$C$21:$C$26,0))))</f>
        <v>Program Analyst II</v>
      </c>
      <c r="E14" s="45" t="n">
        <f aca="false">IF(Staffing!D57="","",Staffing!D57)</f>
        <v>4160</v>
      </c>
      <c r="F14" s="71" t="n">
        <f aca="false">IF('Labor Rates'!D118="","",'Labor Rates'!D118)</f>
        <v>118.1101</v>
      </c>
      <c r="G14" s="57" t="n">
        <f aca="false">IF(E14="","",IF(E14=0,0,IF(COUNT(E14:F14)&lt;2,"",ROUND(E14*F14,2))))</f>
        <v>491338.02</v>
      </c>
      <c r="H14" s="59" t="n">
        <f aca="false">IF(E14="","",IF('Labor Rates'!D114="","n.a.",ROUND('Labor Rates'!D114,2)))</f>
        <v>446670.89</v>
      </c>
      <c r="I14" s="57" t="n">
        <f aca="false">IF(G14="","",IF(ISNUMBER(H14),G14-H14,"n.a."))</f>
        <v>44667.13</v>
      </c>
      <c r="J14" s="1"/>
    </row>
    <row r="15" customFormat="false" ht="22" hidden="false" customHeight="true" outlineLevel="0" collapsed="false">
      <c r="A15" s="1"/>
      <c r="B15" s="1"/>
      <c r="C15" s="16" t="s">
        <v>66</v>
      </c>
      <c r="D15" s="77" t="str">
        <f aca="false">IF(COUNTIFS('Source Data'!$C$21:$C$26,$C15)&lt;&gt;1,"",IF(INDEX('Source Data'!$D$21:$D$26,MATCH($C15,'Source Data'!$C$21:$C$26,0))="","",INDEX('Source Data'!$D$21:$D$26,MATCH($C15,'Source Data'!$C$21:$C$26,0))))</f>
        <v>Program Analyst III</v>
      </c>
      <c r="E15" s="46" t="n">
        <f aca="false">IF(Staffing!D69="","",Staffing!D69)</f>
        <v>2080</v>
      </c>
      <c r="F15" s="61" t="n">
        <f aca="false">IF('Labor Rates'!D141="","",'Labor Rates'!D141)</f>
        <v>145.9862</v>
      </c>
      <c r="G15" s="60" t="n">
        <f aca="false">IF(E15="","",IF(E15=0,0,IF(COUNT(E15:F15)&lt;2,"",ROUND(E15*F15,2))))</f>
        <v>303651.3</v>
      </c>
      <c r="H15" s="58" t="n">
        <f aca="false">IF(E15="","",IF('Labor Rates'!D137="","n.a.",ROUND('Labor Rates'!D137,2)))</f>
        <v>276046.56</v>
      </c>
      <c r="I15" s="60" t="n">
        <f aca="false">IF(G15="","",IF(ISNUMBER(H15),G15-H15,"n.a."))</f>
        <v>27604.74</v>
      </c>
      <c r="J15" s="1"/>
    </row>
    <row r="16" customFormat="false" ht="18" hidden="false" customHeight="true" outlineLevel="0" collapsed="false">
      <c r="A16" s="1"/>
      <c r="B16" s="1"/>
      <c r="C16" s="2"/>
      <c r="D16" s="22" t="s">
        <v>90</v>
      </c>
      <c r="E16" s="78" t="n">
        <f aca="false">IF(COUNT(E10:E15)&lt;6,"",SUM(E10:E15))</f>
        <v>16640</v>
      </c>
      <c r="F16" s="22"/>
      <c r="G16" s="79" t="n">
        <f aca="false">IF(COUNT(G10:G15)&lt;6,"",SUM(G10:G15))</f>
        <v>1771701.78</v>
      </c>
      <c r="H16" s="79" t="n">
        <f aca="false">IF(COUNT(H10:H15)&lt;6,"n.a.",SUM(H10:H15))</f>
        <v>1610637.93</v>
      </c>
      <c r="I16" s="79" t="n">
        <f aca="false">IF(COUNT(I10:I15)&lt;6,"n.a.",SUM(I10:I15))</f>
        <v>161063.85</v>
      </c>
      <c r="J16" s="1"/>
    </row>
    <row r="17" customFormat="false" ht="18" hidden="false" customHeight="true" outlineLevel="0" collapsed="false">
      <c r="A17" s="1"/>
      <c r="B17" s="1"/>
      <c r="C17" s="2"/>
      <c r="D17" s="3"/>
      <c r="E17" s="3"/>
      <c r="F17" s="3"/>
      <c r="G17" s="3"/>
      <c r="H17" s="3"/>
      <c r="I17" s="3"/>
      <c r="J17" s="1"/>
    </row>
    <row r="18" customFormat="false" ht="18" hidden="false" customHeight="true" outlineLevel="0" collapsed="false">
      <c r="A18" s="1"/>
      <c r="B18" s="1"/>
      <c r="C18" s="2"/>
      <c r="D18" s="3"/>
      <c r="E18" s="3"/>
      <c r="F18" s="3"/>
      <c r="G18" s="3"/>
      <c r="H18" s="3"/>
      <c r="I18" s="3"/>
      <c r="J18" s="1"/>
    </row>
    <row r="19" customFormat="false" ht="22" hidden="false" customHeight="true" outlineLevel="0" collapsed="false">
      <c r="A19" s="1"/>
      <c r="B19" s="1"/>
      <c r="C19" s="43" t="s">
        <v>17</v>
      </c>
      <c r="D19" s="43"/>
      <c r="E19" s="43"/>
      <c r="F19" s="43"/>
      <c r="G19" s="43"/>
      <c r="H19" s="43"/>
      <c r="I19" s="43"/>
      <c r="J19" s="1"/>
    </row>
    <row r="20" customFormat="false" ht="18" hidden="false" customHeight="true" outlineLevel="0" collapsed="false">
      <c r="A20" s="1"/>
      <c r="B20" s="1"/>
      <c r="C20" s="75" t="s">
        <v>86</v>
      </c>
      <c r="D20" s="75" t="s">
        <v>87</v>
      </c>
      <c r="E20" s="75" t="s">
        <v>88</v>
      </c>
      <c r="F20" s="75" t="s">
        <v>89</v>
      </c>
      <c r="G20" s="75" t="s">
        <v>13</v>
      </c>
      <c r="H20" s="75" t="s">
        <v>14</v>
      </c>
      <c r="I20" s="75" t="s">
        <v>15</v>
      </c>
      <c r="J20" s="1"/>
    </row>
    <row r="21" customFormat="false" ht="22" hidden="false" customHeight="true" outlineLevel="0" collapsed="false">
      <c r="A21" s="1"/>
      <c r="B21" s="1"/>
      <c r="C21" s="2" t="s">
        <v>52</v>
      </c>
      <c r="D21" s="76" t="str">
        <f aca="false">IF(COUNTIFS('Source Data'!$C$21:$C$26,$C21)&lt;&gt;1,"",IF(INDEX('Source Data'!$D$21:$D$26,MATCH($C21,'Source Data'!$C$21:$C$26,0))="","",INDEX('Source Data'!$D$21:$D$26,MATCH($C21,'Source Data'!$C$21:$C$26,0))))</f>
        <v>On-Site Supervisor</v>
      </c>
      <c r="E21" s="45" t="n">
        <f aca="false">IF(Staffing!E9="","",Staffing!E9)</f>
        <v>2080</v>
      </c>
      <c r="F21" s="71" t="n">
        <f aca="false">IF('Labor Rates'!E26="","",'Labor Rates'!E26)</f>
        <v>92.2028</v>
      </c>
      <c r="G21" s="57" t="n">
        <f aca="false">IF(E21="","",IF(E21=0,0,IF(COUNT(E21:F21)&lt;2,"",ROUND(E21*F21,2))))</f>
        <v>191781.82</v>
      </c>
      <c r="H21" s="59" t="n">
        <f aca="false">IF(E21="","",IF('Labor Rates'!E22="","n.a.",ROUND('Labor Rates'!E22,2)))</f>
        <v>174347.07</v>
      </c>
      <c r="I21" s="57" t="n">
        <f aca="false">IF(G21="","",IF(ISNUMBER(H21),G21-H21,"n.a."))</f>
        <v>17434.75</v>
      </c>
      <c r="J21" s="1"/>
    </row>
    <row r="22" customFormat="false" ht="22" hidden="false" customHeight="true" outlineLevel="0" collapsed="false">
      <c r="A22" s="1"/>
      <c r="B22" s="1"/>
      <c r="C22" s="16" t="s">
        <v>62</v>
      </c>
      <c r="D22" s="77" t="str">
        <f aca="false">IF(COUNTIFS('Source Data'!$C$21:$C$26,$C22)&lt;&gt;1,"",IF(INDEX('Source Data'!$D$21:$D$26,MATCH($C22,'Source Data'!$C$21:$C$26,0))="","",INDEX('Source Data'!$D$21:$D$26,MATCH($C22,'Source Data'!$C$21:$C$26,0))))</f>
        <v>Financial Analyst</v>
      </c>
      <c r="E22" s="46" t="n">
        <f aca="false">IF(Staffing!E21="","",Staffing!E21)</f>
        <v>4160</v>
      </c>
      <c r="F22" s="61" t="n">
        <f aca="false">IF('Labor Rates'!E49="","",'Labor Rates'!E49)</f>
        <v>121.3541</v>
      </c>
      <c r="G22" s="60" t="n">
        <f aca="false">IF(E22="","",IF(E22=0,0,IF(COUNT(E22:F22)&lt;2,"",ROUND(E22*F22,2))))</f>
        <v>504833.06</v>
      </c>
      <c r="H22" s="58" t="n">
        <f aca="false">IF(E22="","",IF('Labor Rates'!E45="","n.a.",ROUND('Labor Rates'!E45,2)))</f>
        <v>458939.13</v>
      </c>
      <c r="I22" s="60" t="n">
        <f aca="false">IF(G22="","",IF(ISNUMBER(H22),G22-H22,"n.a."))</f>
        <v>45893.93</v>
      </c>
      <c r="J22" s="1"/>
    </row>
    <row r="23" customFormat="false" ht="22" hidden="false" customHeight="true" outlineLevel="0" collapsed="false">
      <c r="A23" s="1"/>
      <c r="B23" s="1"/>
      <c r="C23" s="2" t="s">
        <v>63</v>
      </c>
      <c r="D23" s="76" t="str">
        <f aca="false">IF(COUNTIFS('Source Data'!$C$21:$C$26,$C23)&lt;&gt;1,"",IF(INDEX('Source Data'!$D$21:$D$26,MATCH($C23,'Source Data'!$C$21:$C$26,0))="","",INDEX('Source Data'!$D$21:$D$26,MATCH($C23,'Source Data'!$C$21:$C$26,0))))</f>
        <v>Administrative Assistant</v>
      </c>
      <c r="E23" s="45" t="n">
        <f aca="false">IF(Staffing!E33="","",Staffing!E33)</f>
        <v>2080</v>
      </c>
      <c r="F23" s="71" t="n">
        <f aca="false">IF('Labor Rates'!E72="","",'Labor Rates'!E72)</f>
        <v>51.4787</v>
      </c>
      <c r="G23" s="57" t="n">
        <f aca="false">IF(E23="","",IF(E23=0,0,IF(COUNT(E23:F23)&lt;2,"",ROUND(E23*F23,2))))</f>
        <v>107075.7</v>
      </c>
      <c r="H23" s="59" t="n">
        <f aca="false">IF(E23="","",IF('Labor Rates'!E68="","n.a.",ROUND('Labor Rates'!E68,2)))</f>
        <v>97341.58</v>
      </c>
      <c r="I23" s="57" t="n">
        <f aca="false">IF(G23="","",IF(ISNUMBER(H23),G23-H23,"n.a."))</f>
        <v>9734.12</v>
      </c>
      <c r="J23" s="1"/>
    </row>
    <row r="24" customFormat="false" ht="22" hidden="false" customHeight="true" outlineLevel="0" collapsed="false">
      <c r="A24" s="1"/>
      <c r="B24" s="1"/>
      <c r="C24" s="16" t="s">
        <v>64</v>
      </c>
      <c r="D24" s="77" t="str">
        <f aca="false">IF(COUNTIFS('Source Data'!$C$21:$C$26,$C24)&lt;&gt;1,"",IF(INDEX('Source Data'!$D$21:$D$26,MATCH($C24,'Source Data'!$C$21:$C$26,0))="","",INDEX('Source Data'!$D$21:$D$26,MATCH($C24,'Source Data'!$C$21:$C$26,0))))</f>
        <v>Program Analyst I</v>
      </c>
      <c r="E24" s="46" t="n">
        <f aca="false">IF(Staffing!E45="","",Staffing!E45)</f>
        <v>2080</v>
      </c>
      <c r="F24" s="61" t="n">
        <f aca="false">IF('Labor Rates'!E95="","",'Labor Rates'!E95)</f>
        <v>97.2708</v>
      </c>
      <c r="G24" s="60" t="n">
        <f aca="false">IF(E24="","",IF(E24=0,0,IF(COUNT(E24:F24)&lt;2,"",ROUND(E24*F24,2))))</f>
        <v>202323.26</v>
      </c>
      <c r="H24" s="58" t="n">
        <f aca="false">IF(E24="","",IF('Labor Rates'!E91="","n.a.",ROUND('Labor Rates'!E91,2)))</f>
        <v>183930.31</v>
      </c>
      <c r="I24" s="60" t="n">
        <f aca="false">IF(G24="","",IF(ISNUMBER(H24),G24-H24,"n.a."))</f>
        <v>18392.95</v>
      </c>
      <c r="J24" s="1"/>
    </row>
    <row r="25" customFormat="false" ht="22" hidden="false" customHeight="true" outlineLevel="0" collapsed="false">
      <c r="A25" s="1"/>
      <c r="B25" s="1"/>
      <c r="C25" s="2" t="s">
        <v>65</v>
      </c>
      <c r="D25" s="76" t="str">
        <f aca="false">IF(COUNTIFS('Source Data'!$C$21:$C$26,$C25)&lt;&gt;1,"",IF(INDEX('Source Data'!$D$21:$D$26,MATCH($C25,'Source Data'!$C$21:$C$26,0))="","",INDEX('Source Data'!$D$21:$D$26,MATCH($C25,'Source Data'!$C$21:$C$26,0))))</f>
        <v>Program Analyst II</v>
      </c>
      <c r="E25" s="45" t="n">
        <f aca="false">IF(Staffing!E57="","",Staffing!E57)</f>
        <v>4160</v>
      </c>
      <c r="F25" s="71" t="n">
        <f aca="false">IF('Labor Rates'!E118="","",'Labor Rates'!E118)</f>
        <v>121.6534</v>
      </c>
      <c r="G25" s="57" t="n">
        <f aca="false">IF(E25="","",IF(E25=0,0,IF(COUNT(E25:F25)&lt;2,"",ROUND(E25*F25,2))))</f>
        <v>506078.14</v>
      </c>
      <c r="H25" s="59" t="n">
        <f aca="false">IF(E25="","",IF('Labor Rates'!E114="","n.a.",ROUND('Labor Rates'!E114,2)))</f>
        <v>460071.01</v>
      </c>
      <c r="I25" s="57" t="n">
        <f aca="false">IF(G25="","",IF(ISNUMBER(H25),G25-H25,"n.a."))</f>
        <v>46007.13</v>
      </c>
      <c r="J25" s="1"/>
    </row>
    <row r="26" customFormat="false" ht="22" hidden="false" customHeight="true" outlineLevel="0" collapsed="false">
      <c r="A26" s="1"/>
      <c r="B26" s="1"/>
      <c r="C26" s="16" t="s">
        <v>66</v>
      </c>
      <c r="D26" s="77" t="str">
        <f aca="false">IF(COUNTIFS('Source Data'!$C$21:$C$26,$C26)&lt;&gt;1,"",IF(INDEX('Source Data'!$D$21:$D$26,MATCH($C26,'Source Data'!$C$21:$C$26,0))="","",INDEX('Source Data'!$D$21:$D$26,MATCH($C26,'Source Data'!$C$21:$C$26,0))))</f>
        <v>Program Analyst III</v>
      </c>
      <c r="E26" s="46" t="n">
        <f aca="false">IF(Staffing!E69="","",Staffing!E69)</f>
        <v>2080</v>
      </c>
      <c r="F26" s="61" t="n">
        <f aca="false">IF('Labor Rates'!E141="","",'Labor Rates'!E141)</f>
        <v>150.3657</v>
      </c>
      <c r="G26" s="60" t="n">
        <f aca="false">IF(E26="","",IF(E26=0,0,IF(COUNT(E26:F26)&lt;2,"",ROUND(E26*F26,2))))</f>
        <v>312760.66</v>
      </c>
      <c r="H26" s="58" t="n">
        <f aca="false">IF(E26="","",IF('Labor Rates'!E137="","n.a.",ROUND('Labor Rates'!E137,2)))</f>
        <v>284327.96</v>
      </c>
      <c r="I26" s="60" t="n">
        <f aca="false">IF(G26="","",IF(ISNUMBER(H26),G26-H26,"n.a."))</f>
        <v>28432.7</v>
      </c>
      <c r="J26" s="1"/>
    </row>
    <row r="27" customFormat="false" ht="18" hidden="false" customHeight="true" outlineLevel="0" collapsed="false">
      <c r="A27" s="1"/>
      <c r="B27" s="1"/>
      <c r="C27" s="2"/>
      <c r="D27" s="22" t="s">
        <v>90</v>
      </c>
      <c r="E27" s="78" t="n">
        <f aca="false">IF(COUNT(E21:E26)&lt;6,"",SUM(E21:E26))</f>
        <v>16640</v>
      </c>
      <c r="F27" s="22"/>
      <c r="G27" s="79" t="n">
        <f aca="false">IF(COUNT(G21:G26)&lt;6,"",SUM(G21:G26))</f>
        <v>1824852.64</v>
      </c>
      <c r="H27" s="79" t="n">
        <f aca="false">IF(COUNT(H21:H26)&lt;6,"n.a.",SUM(H21:H26))</f>
        <v>1658957.06</v>
      </c>
      <c r="I27" s="79" t="n">
        <f aca="false">IF(COUNT(I21:I26)&lt;6,"n.a.",SUM(I21:I26))</f>
        <v>165895.58</v>
      </c>
      <c r="J27" s="1"/>
    </row>
    <row r="28" customFormat="false" ht="18" hidden="false" customHeight="true" outlineLevel="0" collapsed="false">
      <c r="A28" s="1"/>
      <c r="B28" s="1"/>
      <c r="C28" s="2"/>
      <c r="D28" s="3"/>
      <c r="E28" s="3"/>
      <c r="F28" s="3"/>
      <c r="G28" s="3"/>
      <c r="H28" s="3"/>
      <c r="I28" s="3"/>
      <c r="J28" s="1"/>
    </row>
    <row r="29" customFormat="false" ht="18" hidden="false" customHeight="true" outlineLevel="0" collapsed="false">
      <c r="A29" s="1"/>
      <c r="B29" s="1"/>
      <c r="C29" s="2"/>
      <c r="D29" s="3"/>
      <c r="E29" s="3"/>
      <c r="F29" s="3"/>
      <c r="G29" s="3"/>
      <c r="H29" s="3"/>
      <c r="I29" s="3"/>
      <c r="J29" s="1"/>
    </row>
    <row r="30" customFormat="false" ht="22" hidden="false" customHeight="true" outlineLevel="0" collapsed="false">
      <c r="A30" s="1"/>
      <c r="B30" s="1"/>
      <c r="C30" s="43" t="s">
        <v>18</v>
      </c>
      <c r="D30" s="43"/>
      <c r="E30" s="43"/>
      <c r="F30" s="43"/>
      <c r="G30" s="43"/>
      <c r="H30" s="43"/>
      <c r="I30" s="43"/>
      <c r="J30" s="1"/>
    </row>
    <row r="31" customFormat="false" ht="18" hidden="false" customHeight="true" outlineLevel="0" collapsed="false">
      <c r="A31" s="1"/>
      <c r="B31" s="1"/>
      <c r="C31" s="75" t="s">
        <v>86</v>
      </c>
      <c r="D31" s="75" t="s">
        <v>87</v>
      </c>
      <c r="E31" s="75" t="s">
        <v>88</v>
      </c>
      <c r="F31" s="75" t="s">
        <v>89</v>
      </c>
      <c r="G31" s="75" t="s">
        <v>13</v>
      </c>
      <c r="H31" s="75" t="s">
        <v>14</v>
      </c>
      <c r="I31" s="75" t="s">
        <v>15</v>
      </c>
      <c r="J31" s="1"/>
    </row>
    <row r="32" customFormat="false" ht="22" hidden="false" customHeight="true" outlineLevel="0" collapsed="false">
      <c r="A32" s="1"/>
      <c r="B32" s="1"/>
      <c r="C32" s="2" t="s">
        <v>52</v>
      </c>
      <c r="D32" s="76" t="str">
        <f aca="false">IF(COUNTIFS('Source Data'!$C$21:$C$26,$C32)&lt;&gt;1,"",IF(INDEX('Source Data'!$D$21:$D$26,MATCH($C32,'Source Data'!$C$21:$C$26,0))="","",INDEX('Source Data'!$D$21:$D$26,MATCH($C32,'Source Data'!$C$21:$C$26,0))))</f>
        <v>On-Site Supervisor</v>
      </c>
      <c r="E32" s="45" t="n">
        <f aca="false">IF(Staffing!F9="","",Staffing!F9)</f>
        <v>2080</v>
      </c>
      <c r="F32" s="71" t="n">
        <f aca="false">IF('Labor Rates'!F26="","",'Labor Rates'!F26)</f>
        <v>94.9689</v>
      </c>
      <c r="G32" s="57" t="n">
        <f aca="false">IF(E32="","",IF(E32=0,0,IF(COUNT(E32:F32)&lt;2,"",ROUND(E32*F32,2))))</f>
        <v>197535.31</v>
      </c>
      <c r="H32" s="59" t="n">
        <f aca="false">IF(E32="","",IF('Labor Rates'!F22="","n.a.",ROUND('Labor Rates'!F22,2)))</f>
        <v>179577.48</v>
      </c>
      <c r="I32" s="57" t="n">
        <f aca="false">IF(G32="","",IF(ISNUMBER(H32),G32-H32,"n.a."))</f>
        <v>17957.83</v>
      </c>
      <c r="J32" s="1"/>
    </row>
    <row r="33" customFormat="false" ht="22" hidden="false" customHeight="true" outlineLevel="0" collapsed="false">
      <c r="A33" s="1"/>
      <c r="B33" s="1"/>
      <c r="C33" s="16" t="s">
        <v>62</v>
      </c>
      <c r="D33" s="77" t="str">
        <f aca="false">IF(COUNTIFS('Source Data'!$C$21:$C$26,$C33)&lt;&gt;1,"",IF(INDEX('Source Data'!$D$21:$D$26,MATCH($C33,'Source Data'!$C$21:$C$26,0))="","",INDEX('Source Data'!$D$21:$D$26,MATCH($C33,'Source Data'!$C$21:$C$26,0))))</f>
        <v>Financial Analyst</v>
      </c>
      <c r="E33" s="46" t="n">
        <f aca="false">IF(Staffing!F21="","",Staffing!F21)</f>
        <v>4160</v>
      </c>
      <c r="F33" s="61" t="n">
        <f aca="false">IF('Labor Rates'!F49="","",'Labor Rates'!F49)</f>
        <v>124.9947</v>
      </c>
      <c r="G33" s="60" t="n">
        <f aca="false">IF(E33="","",IF(E33=0,0,IF(COUNT(E33:F33)&lt;2,"",ROUND(E33*F33,2))))</f>
        <v>519977.95</v>
      </c>
      <c r="H33" s="58" t="n">
        <f aca="false">IF(E33="","",IF('Labor Rates'!F45="","n.a.",ROUND('Labor Rates'!F45,2)))</f>
        <v>472707.31</v>
      </c>
      <c r="I33" s="60" t="n">
        <f aca="false">IF(G33="","",IF(ISNUMBER(H33),G33-H33,"n.a."))</f>
        <v>47270.64</v>
      </c>
      <c r="J33" s="1"/>
    </row>
    <row r="34" customFormat="false" ht="22" hidden="false" customHeight="true" outlineLevel="0" collapsed="false">
      <c r="A34" s="1"/>
      <c r="B34" s="1"/>
      <c r="C34" s="2" t="s">
        <v>63</v>
      </c>
      <c r="D34" s="76" t="str">
        <f aca="false">IF(COUNTIFS('Source Data'!$C$21:$C$26,$C34)&lt;&gt;1,"",IF(INDEX('Source Data'!$D$21:$D$26,MATCH($C34,'Source Data'!$C$21:$C$26,0))="","",INDEX('Source Data'!$D$21:$D$26,MATCH($C34,'Source Data'!$C$21:$C$26,0))))</f>
        <v>Administrative Assistant</v>
      </c>
      <c r="E34" s="45" t="n">
        <f aca="false">IF(Staffing!F33="","",Staffing!F33)</f>
        <v>2080</v>
      </c>
      <c r="F34" s="71" t="n">
        <f aca="false">IF('Labor Rates'!F72="","",'Labor Rates'!F72)</f>
        <v>53.0231</v>
      </c>
      <c r="G34" s="57" t="n">
        <f aca="false">IF(E34="","",IF(E34=0,0,IF(COUNT(E34:F34)&lt;2,"",ROUND(E34*F34,2))))</f>
        <v>110288.05</v>
      </c>
      <c r="H34" s="59" t="n">
        <f aca="false">IF(E34="","",IF('Labor Rates'!F68="","n.a.",ROUND('Labor Rates'!F68,2)))</f>
        <v>100261.83</v>
      </c>
      <c r="I34" s="57" t="n">
        <f aca="false">IF(G34="","",IF(ISNUMBER(H34),G34-H34,"n.a."))</f>
        <v>10026.22</v>
      </c>
      <c r="J34" s="1"/>
    </row>
    <row r="35" customFormat="false" ht="22" hidden="false" customHeight="true" outlineLevel="0" collapsed="false">
      <c r="A35" s="1"/>
      <c r="B35" s="1"/>
      <c r="C35" s="16" t="s">
        <v>64</v>
      </c>
      <c r="D35" s="77" t="str">
        <f aca="false">IF(COUNTIFS('Source Data'!$C$21:$C$26,$C35)&lt;&gt;1,"",IF(INDEX('Source Data'!$D$21:$D$26,MATCH($C35,'Source Data'!$C$21:$C$26,0))="","",INDEX('Source Data'!$D$21:$D$26,MATCH($C35,'Source Data'!$C$21:$C$26,0))))</f>
        <v>Program Analyst I</v>
      </c>
      <c r="E35" s="46" t="n">
        <f aca="false">IF(Staffing!F45="","",Staffing!F45)</f>
        <v>2080</v>
      </c>
      <c r="F35" s="61" t="n">
        <f aca="false">IF('Labor Rates'!F95="","",'Labor Rates'!F95)</f>
        <v>100.189</v>
      </c>
      <c r="G35" s="60" t="n">
        <f aca="false">IF(E35="","",IF(E35=0,0,IF(COUNT(E35:F35)&lt;2,"",ROUND(E35*F35,2))))</f>
        <v>208393.12</v>
      </c>
      <c r="H35" s="58" t="n">
        <f aca="false">IF(E35="","",IF('Labor Rates'!F91="","n.a.",ROUND('Labor Rates'!F91,2)))</f>
        <v>189448.22</v>
      </c>
      <c r="I35" s="60" t="n">
        <f aca="false">IF(G35="","",IF(ISNUMBER(H35),G35-H35,"n.a."))</f>
        <v>18944.9</v>
      </c>
      <c r="J35" s="1"/>
    </row>
    <row r="36" customFormat="false" ht="22" hidden="false" customHeight="true" outlineLevel="0" collapsed="false">
      <c r="A36" s="1"/>
      <c r="B36" s="1"/>
      <c r="C36" s="2" t="s">
        <v>65</v>
      </c>
      <c r="D36" s="76" t="str">
        <f aca="false">IF(COUNTIFS('Source Data'!$C$21:$C$26,$C36)&lt;&gt;1,"",IF(INDEX('Source Data'!$D$21:$D$26,MATCH($C36,'Source Data'!$C$21:$C$26,0))="","",INDEX('Source Data'!$D$21:$D$26,MATCH($C36,'Source Data'!$C$21:$C$26,0))))</f>
        <v>Program Analyst II</v>
      </c>
      <c r="E36" s="45" t="n">
        <f aca="false">IF(Staffing!F57="","",Staffing!F57)</f>
        <v>4160</v>
      </c>
      <c r="F36" s="71" t="n">
        <f aca="false">IF('Labor Rates'!F118="","",'Labor Rates'!F118)</f>
        <v>125.303</v>
      </c>
      <c r="G36" s="57" t="n">
        <f aca="false">IF(E36="","",IF(E36=0,0,IF(COUNT(E36:F36)&lt;2,"",ROUND(E36*F36,2))))</f>
        <v>521260.48</v>
      </c>
      <c r="H36" s="59" t="n">
        <f aca="false">IF(E36="","",IF('Labor Rates'!F114="","n.a.",ROUND('Labor Rates'!F114,2)))</f>
        <v>473873.14</v>
      </c>
      <c r="I36" s="57" t="n">
        <f aca="false">IF(G36="","",IF(ISNUMBER(H36),G36-H36,"n.a."))</f>
        <v>47387.34</v>
      </c>
      <c r="J36" s="1"/>
    </row>
    <row r="37" customFormat="false" ht="22" hidden="false" customHeight="true" outlineLevel="0" collapsed="false">
      <c r="A37" s="1"/>
      <c r="B37" s="1"/>
      <c r="C37" s="16" t="s">
        <v>66</v>
      </c>
      <c r="D37" s="77" t="str">
        <f aca="false">IF(COUNTIFS('Source Data'!$C$21:$C$26,$C37)&lt;&gt;1,"",IF(INDEX('Source Data'!$D$21:$D$26,MATCH($C37,'Source Data'!$C$21:$C$26,0))="","",INDEX('Source Data'!$D$21:$D$26,MATCH($C37,'Source Data'!$C$21:$C$26,0))))</f>
        <v>Program Analyst III</v>
      </c>
      <c r="E37" s="46" t="n">
        <f aca="false">IF(Staffing!F69="","",Staffing!F69)</f>
        <v>2080</v>
      </c>
      <c r="F37" s="61" t="n">
        <f aca="false">IF('Labor Rates'!F141="","",'Labor Rates'!F141)</f>
        <v>154.8767</v>
      </c>
      <c r="G37" s="60" t="n">
        <f aca="false">IF(E37="","",IF(E37=0,0,IF(COUNT(E37:F37)&lt;2,"",ROUND(E37*F37,2))))</f>
        <v>322143.54</v>
      </c>
      <c r="H37" s="58" t="n">
        <f aca="false">IF(E37="","",IF('Labor Rates'!F137="","n.a.",ROUND('Labor Rates'!F137,2)))</f>
        <v>292857.8</v>
      </c>
      <c r="I37" s="60" t="n">
        <f aca="false">IF(G37="","",IF(ISNUMBER(H37),G37-H37,"n.a."))</f>
        <v>29285.74</v>
      </c>
      <c r="J37" s="1"/>
    </row>
    <row r="38" customFormat="false" ht="18" hidden="false" customHeight="true" outlineLevel="0" collapsed="false">
      <c r="A38" s="1"/>
      <c r="B38" s="1"/>
      <c r="C38" s="2"/>
      <c r="D38" s="22" t="s">
        <v>90</v>
      </c>
      <c r="E38" s="78" t="n">
        <f aca="false">IF(COUNT(E32:E37)&lt;6,"",SUM(E32:E37))</f>
        <v>16640</v>
      </c>
      <c r="F38" s="22"/>
      <c r="G38" s="79" t="n">
        <f aca="false">IF(COUNT(G32:G37)&lt;6,"",SUM(G32:G37))</f>
        <v>1879598.45</v>
      </c>
      <c r="H38" s="79" t="n">
        <f aca="false">IF(COUNT(H32:H37)&lt;6,"n.a.",SUM(H32:H37))</f>
        <v>1708725.78</v>
      </c>
      <c r="I38" s="79" t="n">
        <f aca="false">IF(COUNT(I32:I37)&lt;6,"n.a.",SUM(I32:I37))</f>
        <v>170872.67</v>
      </c>
      <c r="J38" s="1"/>
    </row>
    <row r="39" customFormat="false" ht="18" hidden="false" customHeight="true" outlineLevel="0" collapsed="false">
      <c r="A39" s="1"/>
      <c r="B39" s="1"/>
      <c r="C39" s="2"/>
      <c r="D39" s="3"/>
      <c r="E39" s="3"/>
      <c r="F39" s="3"/>
      <c r="G39" s="3"/>
      <c r="H39" s="3"/>
      <c r="I39" s="3"/>
      <c r="J39" s="1"/>
    </row>
    <row r="40" customFormat="false" ht="18" hidden="false" customHeight="true" outlineLevel="0" collapsed="false">
      <c r="A40" s="1"/>
      <c r="B40" s="1"/>
      <c r="C40" s="2"/>
      <c r="D40" s="3"/>
      <c r="E40" s="3"/>
      <c r="F40" s="3"/>
      <c r="G40" s="3"/>
      <c r="H40" s="3"/>
      <c r="I40" s="3"/>
      <c r="J40" s="1"/>
    </row>
    <row r="41" customFormat="false" ht="22" hidden="false" customHeight="true" outlineLevel="0" collapsed="false">
      <c r="A41" s="1"/>
      <c r="B41" s="1"/>
      <c r="C41" s="43" t="s">
        <v>19</v>
      </c>
      <c r="D41" s="43"/>
      <c r="E41" s="43"/>
      <c r="F41" s="43"/>
      <c r="G41" s="43"/>
      <c r="H41" s="43"/>
      <c r="I41" s="43"/>
      <c r="J41" s="1"/>
    </row>
    <row r="42" customFormat="false" ht="18" hidden="false" customHeight="true" outlineLevel="0" collapsed="false">
      <c r="A42" s="1"/>
      <c r="B42" s="1"/>
      <c r="C42" s="75" t="s">
        <v>86</v>
      </c>
      <c r="D42" s="75" t="s">
        <v>87</v>
      </c>
      <c r="E42" s="75" t="s">
        <v>88</v>
      </c>
      <c r="F42" s="75" t="s">
        <v>89</v>
      </c>
      <c r="G42" s="75" t="s">
        <v>13</v>
      </c>
      <c r="H42" s="75" t="s">
        <v>14</v>
      </c>
      <c r="I42" s="75" t="s">
        <v>15</v>
      </c>
      <c r="J42" s="1"/>
    </row>
    <row r="43" customFormat="false" ht="22" hidden="false" customHeight="true" outlineLevel="0" collapsed="false">
      <c r="A43" s="1"/>
      <c r="B43" s="1"/>
      <c r="C43" s="2" t="s">
        <v>52</v>
      </c>
      <c r="D43" s="76" t="str">
        <f aca="false">IF(COUNTIFS('Source Data'!$C$21:$C$26,$C43)&lt;&gt;1,"",IF(INDEX('Source Data'!$D$21:$D$26,MATCH($C43,'Source Data'!$C$21:$C$26,0))="","",INDEX('Source Data'!$D$21:$D$26,MATCH($C43,'Source Data'!$C$21:$C$26,0))))</f>
        <v>On-Site Supervisor</v>
      </c>
      <c r="E43" s="45" t="n">
        <f aca="false">IF(Staffing!G9="","",Staffing!G9)</f>
        <v>2080</v>
      </c>
      <c r="F43" s="71" t="n">
        <f aca="false">IF('Labor Rates'!G26="","",'Labor Rates'!G26)</f>
        <v>97.8179</v>
      </c>
      <c r="G43" s="57" t="n">
        <f aca="false">IF(E43="","",IF(E43=0,0,IF(COUNT(E43:F43)&lt;2,"",ROUND(E43*F43,2))))</f>
        <v>203461.23</v>
      </c>
      <c r="H43" s="59" t="n">
        <f aca="false">IF(E43="","",IF('Labor Rates'!G22="","n.a.",ROUND('Labor Rates'!G22,2)))</f>
        <v>184964.8</v>
      </c>
      <c r="I43" s="57" t="n">
        <f aca="false">IF(G43="","",IF(ISNUMBER(H43),G43-H43,"n.a."))</f>
        <v>18496.43</v>
      </c>
      <c r="J43" s="1"/>
    </row>
    <row r="44" customFormat="false" ht="22" hidden="false" customHeight="true" outlineLevel="0" collapsed="false">
      <c r="A44" s="1"/>
      <c r="B44" s="1"/>
      <c r="C44" s="16" t="s">
        <v>62</v>
      </c>
      <c r="D44" s="77" t="str">
        <f aca="false">IF(COUNTIFS('Source Data'!$C$21:$C$26,$C44)&lt;&gt;1,"",IF(INDEX('Source Data'!$D$21:$D$26,MATCH($C44,'Source Data'!$C$21:$C$26,0))="","",INDEX('Source Data'!$D$21:$D$26,MATCH($C44,'Source Data'!$C$21:$C$26,0))))</f>
        <v>Financial Analyst</v>
      </c>
      <c r="E44" s="46" t="n">
        <f aca="false">IF(Staffing!G21="","",Staffing!G21)</f>
        <v>4160</v>
      </c>
      <c r="F44" s="61" t="n">
        <f aca="false">IF('Labor Rates'!G49="","",'Labor Rates'!G49)</f>
        <v>128.7446</v>
      </c>
      <c r="G44" s="60" t="n">
        <f aca="false">IF(E44="","",IF(E44=0,0,IF(COUNT(E44:F44)&lt;2,"",ROUND(E44*F44,2))))</f>
        <v>535577.54</v>
      </c>
      <c r="H44" s="58" t="n">
        <f aca="false">IF(E44="","",IF('Labor Rates'!G45="","n.a.",ROUND('Labor Rates'!G45,2)))</f>
        <v>486888.53</v>
      </c>
      <c r="I44" s="60" t="n">
        <f aca="false">IF(G44="","",IF(ISNUMBER(H44),G44-H44,"n.a."))</f>
        <v>48689.01</v>
      </c>
      <c r="J44" s="1"/>
    </row>
    <row r="45" customFormat="false" ht="22" hidden="false" customHeight="true" outlineLevel="0" collapsed="false">
      <c r="A45" s="1"/>
      <c r="B45" s="1"/>
      <c r="C45" s="2" t="s">
        <v>63</v>
      </c>
      <c r="D45" s="76" t="str">
        <f aca="false">IF(COUNTIFS('Source Data'!$C$21:$C$26,$C45)&lt;&gt;1,"",IF(INDEX('Source Data'!$D$21:$D$26,MATCH($C45,'Source Data'!$C$21:$C$26,0))="","",INDEX('Source Data'!$D$21:$D$26,MATCH($C45,'Source Data'!$C$21:$C$26,0))))</f>
        <v>Administrative Assistant</v>
      </c>
      <c r="E45" s="45" t="n">
        <f aca="false">IF(Staffing!G33="","",Staffing!G33)</f>
        <v>2080</v>
      </c>
      <c r="F45" s="71" t="n">
        <f aca="false">IF('Labor Rates'!G72="","",'Labor Rates'!G72)</f>
        <v>54.6138</v>
      </c>
      <c r="G45" s="57" t="n">
        <f aca="false">IF(E45="","",IF(E45=0,0,IF(COUNT(E45:F45)&lt;2,"",ROUND(E45*F45,2))))</f>
        <v>113596.7</v>
      </c>
      <c r="H45" s="59" t="n">
        <f aca="false">IF(E45="","",IF('Labor Rates'!G68="","n.a.",ROUND('Labor Rates'!G68,2)))</f>
        <v>103269.68</v>
      </c>
      <c r="I45" s="57" t="n">
        <f aca="false">IF(G45="","",IF(ISNUMBER(H45),G45-H45,"n.a."))</f>
        <v>10327.02</v>
      </c>
      <c r="J45" s="1"/>
    </row>
    <row r="46" customFormat="false" ht="22" hidden="false" customHeight="true" outlineLevel="0" collapsed="false">
      <c r="A46" s="1"/>
      <c r="B46" s="1"/>
      <c r="C46" s="16" t="s">
        <v>64</v>
      </c>
      <c r="D46" s="77" t="str">
        <f aca="false">IF(COUNTIFS('Source Data'!$C$21:$C$26,$C46)&lt;&gt;1,"",IF(INDEX('Source Data'!$D$21:$D$26,MATCH($C46,'Source Data'!$C$21:$C$26,0))="","",INDEX('Source Data'!$D$21:$D$26,MATCH($C46,'Source Data'!$C$21:$C$26,0))))</f>
        <v>Program Analyst I</v>
      </c>
      <c r="E46" s="46" t="n">
        <f aca="false">IF(Staffing!G45="","",Staffing!G45)</f>
        <v>2080</v>
      </c>
      <c r="F46" s="61" t="n">
        <f aca="false">IF('Labor Rates'!G95="","",'Labor Rates'!G95)</f>
        <v>103.1946</v>
      </c>
      <c r="G46" s="60" t="n">
        <f aca="false">IF(E46="","",IF(E46=0,0,IF(COUNT(E46:F46)&lt;2,"",ROUND(E46*F46,2))))</f>
        <v>214644.77</v>
      </c>
      <c r="H46" s="58" t="n">
        <f aca="false">IF(E46="","",IF('Labor Rates'!G91="","n.a.",ROUND('Labor Rates'!G91,2)))</f>
        <v>195131.66</v>
      </c>
      <c r="I46" s="60" t="n">
        <f aca="false">IF(G46="","",IF(ISNUMBER(H46),G46-H46,"n.a."))</f>
        <v>19513.11</v>
      </c>
      <c r="J46" s="1"/>
    </row>
    <row r="47" customFormat="false" ht="22" hidden="false" customHeight="true" outlineLevel="0" collapsed="false">
      <c r="A47" s="1"/>
      <c r="B47" s="1"/>
      <c r="C47" s="2" t="s">
        <v>65</v>
      </c>
      <c r="D47" s="76" t="str">
        <f aca="false">IF(COUNTIFS('Source Data'!$C$21:$C$26,$C47)&lt;&gt;1,"",IF(INDEX('Source Data'!$D$21:$D$26,MATCH($C47,'Source Data'!$C$21:$C$26,0))="","",INDEX('Source Data'!$D$21:$D$26,MATCH($C47,'Source Data'!$C$21:$C$26,0))))</f>
        <v>Program Analyst II</v>
      </c>
      <c r="E47" s="45" t="n">
        <f aca="false">IF(Staffing!G57="","",Staffing!G57)</f>
        <v>4160</v>
      </c>
      <c r="F47" s="71" t="n">
        <f aca="false">IF('Labor Rates'!G118="","",'Labor Rates'!G118)</f>
        <v>129.0621</v>
      </c>
      <c r="G47" s="57" t="n">
        <f aca="false">IF(E47="","",IF(E47=0,0,IF(COUNT(E47:F47)&lt;2,"",ROUND(E47*F47,2))))</f>
        <v>536898.34</v>
      </c>
      <c r="H47" s="59" t="n">
        <f aca="false">IF(E47="","",IF('Labor Rates'!G114="","n.a.",ROUND('Labor Rates'!G114,2)))</f>
        <v>488089.34</v>
      </c>
      <c r="I47" s="57" t="n">
        <f aca="false">IF(G47="","",IF(ISNUMBER(H47),G47-H47,"n.a."))</f>
        <v>48808.9999999999</v>
      </c>
      <c r="J47" s="1"/>
    </row>
    <row r="48" customFormat="false" ht="22" hidden="false" customHeight="true" outlineLevel="0" collapsed="false">
      <c r="A48" s="1"/>
      <c r="B48" s="1"/>
      <c r="C48" s="16" t="s">
        <v>66</v>
      </c>
      <c r="D48" s="77" t="str">
        <f aca="false">IF(COUNTIFS('Source Data'!$C$21:$C$26,$C48)&lt;&gt;1,"",IF(INDEX('Source Data'!$D$21:$D$26,MATCH($C48,'Source Data'!$C$21:$C$26,0))="","",INDEX('Source Data'!$D$21:$D$26,MATCH($C48,'Source Data'!$C$21:$C$26,0))))</f>
        <v>Program Analyst III</v>
      </c>
      <c r="E48" s="46" t="n">
        <f aca="false">IF(Staffing!G69="","",Staffing!G69)</f>
        <v>2080</v>
      </c>
      <c r="F48" s="61" t="n">
        <f aca="false">IF('Labor Rates'!G141="","",'Labor Rates'!G141)</f>
        <v>159.523</v>
      </c>
      <c r="G48" s="60" t="n">
        <f aca="false">IF(E48="","",IF(E48=0,0,IF(COUNT(E48:F48)&lt;2,"",ROUND(E48*F48,2))))</f>
        <v>331807.84</v>
      </c>
      <c r="H48" s="58" t="n">
        <f aca="false">IF(E48="","",IF('Labor Rates'!G137="","n.a.",ROUND('Labor Rates'!G137,2)))</f>
        <v>301643.53</v>
      </c>
      <c r="I48" s="60" t="n">
        <f aca="false">IF(G48="","",IF(ISNUMBER(H48),G48-H48,"n.a."))</f>
        <v>30164.31</v>
      </c>
      <c r="J48" s="1"/>
    </row>
    <row r="49" customFormat="false" ht="18" hidden="false" customHeight="true" outlineLevel="0" collapsed="false">
      <c r="A49" s="1"/>
      <c r="B49" s="1"/>
      <c r="C49" s="2"/>
      <c r="D49" s="22" t="s">
        <v>90</v>
      </c>
      <c r="E49" s="78" t="n">
        <f aca="false">IF(COUNT(E43:E48)&lt;6,"",SUM(E43:E48))</f>
        <v>16640</v>
      </c>
      <c r="F49" s="22"/>
      <c r="G49" s="79" t="n">
        <f aca="false">IF(COUNT(G43:G48)&lt;6,"",SUM(G43:G48))</f>
        <v>1935986.42</v>
      </c>
      <c r="H49" s="79" t="n">
        <f aca="false">IF(COUNT(H43:H48)&lt;6,"n.a.",SUM(H43:H48))</f>
        <v>1759987.54</v>
      </c>
      <c r="I49" s="79" t="n">
        <f aca="false">IF(COUNT(I43:I48)&lt;6,"n.a.",SUM(I43:I48))</f>
        <v>175998.88</v>
      </c>
      <c r="J49" s="1"/>
    </row>
    <row r="50" customFormat="false" ht="18" hidden="false" customHeight="true" outlineLevel="0" collapsed="false">
      <c r="A50" s="1"/>
      <c r="B50" s="1"/>
      <c r="C50" s="2"/>
      <c r="D50" s="3"/>
      <c r="E50" s="3"/>
      <c r="F50" s="3"/>
      <c r="G50" s="3"/>
      <c r="H50" s="3"/>
      <c r="I50" s="3"/>
      <c r="J50" s="1"/>
    </row>
    <row r="51" customFormat="false" ht="18" hidden="false" customHeight="true" outlineLevel="0" collapsed="false">
      <c r="A51" s="1"/>
      <c r="B51" s="1"/>
      <c r="C51" s="2"/>
      <c r="D51" s="3"/>
      <c r="E51" s="3"/>
      <c r="F51" s="3"/>
      <c r="G51" s="3"/>
      <c r="H51" s="3"/>
      <c r="I51" s="3"/>
      <c r="J51" s="1"/>
    </row>
    <row r="52" customFormat="false" ht="22" hidden="false" customHeight="true" outlineLevel="0" collapsed="false">
      <c r="A52" s="1"/>
      <c r="B52" s="1"/>
      <c r="C52" s="43" t="s">
        <v>20</v>
      </c>
      <c r="D52" s="43"/>
      <c r="E52" s="43"/>
      <c r="F52" s="43"/>
      <c r="G52" s="43"/>
      <c r="H52" s="43"/>
      <c r="I52" s="43"/>
      <c r="J52" s="1"/>
    </row>
    <row r="53" customFormat="false" ht="18" hidden="false" customHeight="true" outlineLevel="0" collapsed="false">
      <c r="A53" s="1"/>
      <c r="B53" s="1"/>
      <c r="C53" s="75" t="s">
        <v>86</v>
      </c>
      <c r="D53" s="75" t="s">
        <v>87</v>
      </c>
      <c r="E53" s="75" t="s">
        <v>88</v>
      </c>
      <c r="F53" s="75" t="s">
        <v>89</v>
      </c>
      <c r="G53" s="75" t="s">
        <v>13</v>
      </c>
      <c r="H53" s="75" t="s">
        <v>14</v>
      </c>
      <c r="I53" s="75" t="s">
        <v>15</v>
      </c>
      <c r="J53" s="1"/>
    </row>
    <row r="54" customFormat="false" ht="22" hidden="false" customHeight="true" outlineLevel="0" collapsed="false">
      <c r="A54" s="1"/>
      <c r="B54" s="1"/>
      <c r="C54" s="2" t="s">
        <v>52</v>
      </c>
      <c r="D54" s="76" t="str">
        <f aca="false">IF(COUNTIFS('Source Data'!$C$21:$C$26,$C54)&lt;&gt;1,"",IF(INDEX('Source Data'!$D$21:$D$26,MATCH($C54,'Source Data'!$C$21:$C$26,0))="","",INDEX('Source Data'!$D$21:$D$26,MATCH($C54,'Source Data'!$C$21:$C$26,0))))</f>
        <v>On-Site Supervisor</v>
      </c>
      <c r="E54" s="45" t="n">
        <f aca="false">IF(Staffing!H9="","",Staffing!H9)</f>
        <v>2080</v>
      </c>
      <c r="F54" s="71" t="n">
        <f aca="false">IF('Labor Rates'!H26="","",'Labor Rates'!H26)</f>
        <v>100.7525</v>
      </c>
      <c r="G54" s="57" t="n">
        <f aca="false">IF(E54="","",IF(E54=0,0,IF(COUNT(E54:F54)&lt;2,"",ROUND(E54*F54,2))))</f>
        <v>209565.2</v>
      </c>
      <c r="H54" s="59" t="n">
        <f aca="false">IF(E54="","",IF('Labor Rates'!H22="","n.a.",ROUND('Labor Rates'!H22,2)))</f>
        <v>190513.75</v>
      </c>
      <c r="I54" s="57" t="n">
        <f aca="false">IF(G54="","",IF(ISNUMBER(H54),G54-H54,"n.a."))</f>
        <v>19051.45</v>
      </c>
      <c r="J54" s="1"/>
    </row>
    <row r="55" customFormat="false" ht="22" hidden="false" customHeight="true" outlineLevel="0" collapsed="false">
      <c r="A55" s="1"/>
      <c r="B55" s="1"/>
      <c r="C55" s="16" t="s">
        <v>62</v>
      </c>
      <c r="D55" s="77" t="str">
        <f aca="false">IF(COUNTIFS('Source Data'!$C$21:$C$26,$C55)&lt;&gt;1,"",IF(INDEX('Source Data'!$D$21:$D$26,MATCH($C55,'Source Data'!$C$21:$C$26,0))="","",INDEX('Source Data'!$D$21:$D$26,MATCH($C55,'Source Data'!$C$21:$C$26,0))))</f>
        <v>Financial Analyst</v>
      </c>
      <c r="E55" s="46" t="n">
        <f aca="false">IF(Staffing!H21="","",Staffing!H21)</f>
        <v>4160</v>
      </c>
      <c r="F55" s="61" t="n">
        <f aca="false">IF('Labor Rates'!H49="","",'Labor Rates'!H49)</f>
        <v>132.6069</v>
      </c>
      <c r="G55" s="60" t="n">
        <f aca="false">IF(E55="","",IF(E55=0,0,IF(COUNT(E55:F55)&lt;2,"",ROUND(E55*F55,2))))</f>
        <v>551644.7</v>
      </c>
      <c r="H55" s="58" t="n">
        <f aca="false">IF(E55="","",IF('Labor Rates'!H45="","n.a.",ROUND('Labor Rates'!H45,2)))</f>
        <v>501495.18</v>
      </c>
      <c r="I55" s="60" t="n">
        <f aca="false">IF(G55="","",IF(ISNUMBER(H55),G55-H55,"n.a."))</f>
        <v>50149.52</v>
      </c>
      <c r="J55" s="1"/>
    </row>
    <row r="56" customFormat="false" ht="22" hidden="false" customHeight="true" outlineLevel="0" collapsed="false">
      <c r="A56" s="1"/>
      <c r="B56" s="1"/>
      <c r="C56" s="2" t="s">
        <v>63</v>
      </c>
      <c r="D56" s="76" t="str">
        <f aca="false">IF(COUNTIFS('Source Data'!$C$21:$C$26,$C56)&lt;&gt;1,"",IF(INDEX('Source Data'!$D$21:$D$26,MATCH($C56,'Source Data'!$C$21:$C$26,0))="","",INDEX('Source Data'!$D$21:$D$26,MATCH($C56,'Source Data'!$C$21:$C$26,0))))</f>
        <v>Administrative Assistant</v>
      </c>
      <c r="E56" s="45" t="n">
        <f aca="false">IF(Staffing!H33="","",Staffing!H33)</f>
        <v>2080</v>
      </c>
      <c r="F56" s="71" t="n">
        <f aca="false">IF('Labor Rates'!H72="","",'Labor Rates'!H72)</f>
        <v>56.2522</v>
      </c>
      <c r="G56" s="57" t="n">
        <f aca="false">IF(E56="","",IF(E56=0,0,IF(COUNT(E56:F56)&lt;2,"",ROUND(E56*F56,2))))</f>
        <v>117004.58</v>
      </c>
      <c r="H56" s="59" t="n">
        <f aca="false">IF(E56="","",IF('Labor Rates'!H68="","n.a.",ROUND('Labor Rates'!H68,2)))</f>
        <v>106367.77</v>
      </c>
      <c r="I56" s="57" t="n">
        <f aca="false">IF(G56="","",IF(ISNUMBER(H56),G56-H56,"n.a."))</f>
        <v>10636.81</v>
      </c>
      <c r="J56" s="1"/>
    </row>
    <row r="57" customFormat="false" ht="22" hidden="false" customHeight="true" outlineLevel="0" collapsed="false">
      <c r="A57" s="1"/>
      <c r="B57" s="1"/>
      <c r="C57" s="16" t="s">
        <v>64</v>
      </c>
      <c r="D57" s="77" t="str">
        <f aca="false">IF(COUNTIFS('Source Data'!$C$21:$C$26,$C57)&lt;&gt;1,"",IF(INDEX('Source Data'!$D$21:$D$26,MATCH($C57,'Source Data'!$C$21:$C$26,0))="","",INDEX('Source Data'!$D$21:$D$26,MATCH($C57,'Source Data'!$C$21:$C$26,0))))</f>
        <v>Program Analyst I</v>
      </c>
      <c r="E57" s="46" t="n">
        <f aca="false">IF(Staffing!H45="","",Staffing!H45)</f>
        <v>2080</v>
      </c>
      <c r="F57" s="61" t="n">
        <f aca="false">IF('Labor Rates'!H95="","",'Labor Rates'!H95)</f>
        <v>106.2905</v>
      </c>
      <c r="G57" s="60" t="n">
        <f aca="false">IF(E57="","",IF(E57=0,0,IF(COUNT(E57:F57)&lt;2,"",ROUND(E57*F57,2))))</f>
        <v>221084.24</v>
      </c>
      <c r="H57" s="58" t="n">
        <f aca="false">IF(E57="","",IF('Labor Rates'!H91="","n.a.",ROUND('Labor Rates'!H91,2)))</f>
        <v>200985.61</v>
      </c>
      <c r="I57" s="60" t="n">
        <f aca="false">IF(G57="","",IF(ISNUMBER(H57),G57-H57,"n.a."))</f>
        <v>20098.63</v>
      </c>
      <c r="J57" s="1"/>
    </row>
    <row r="58" customFormat="false" ht="22" hidden="false" customHeight="true" outlineLevel="0" collapsed="false">
      <c r="A58" s="1"/>
      <c r="B58" s="1"/>
      <c r="C58" s="2" t="s">
        <v>65</v>
      </c>
      <c r="D58" s="76" t="str">
        <f aca="false">IF(COUNTIFS('Source Data'!$C$21:$C$26,$C58)&lt;&gt;1,"",IF(INDEX('Source Data'!$D$21:$D$26,MATCH($C58,'Source Data'!$C$21:$C$26,0))="","",INDEX('Source Data'!$D$21:$D$26,MATCH($C58,'Source Data'!$C$21:$C$26,0))))</f>
        <v>Program Analyst II</v>
      </c>
      <c r="E58" s="45" t="n">
        <f aca="false">IF(Staffing!H57="","",Staffing!H57)</f>
        <v>4160</v>
      </c>
      <c r="F58" s="71" t="n">
        <f aca="false">IF('Labor Rates'!H118="","",'Labor Rates'!H118)</f>
        <v>132.9339</v>
      </c>
      <c r="G58" s="57" t="n">
        <f aca="false">IF(E58="","",IF(E58=0,0,IF(COUNT(E58:F58)&lt;2,"",ROUND(E58*F58,2))))</f>
        <v>553005.02</v>
      </c>
      <c r="H58" s="59" t="n">
        <f aca="false">IF(E58="","",IF('Labor Rates'!H114="","n.a.",ROUND('Labor Rates'!H114,2)))</f>
        <v>502732.02</v>
      </c>
      <c r="I58" s="57" t="n">
        <f aca="false">IF(G58="","",IF(ISNUMBER(H58),G58-H58,"n.a."))</f>
        <v>50273</v>
      </c>
      <c r="J58" s="1"/>
    </row>
    <row r="59" customFormat="false" ht="22" hidden="false" customHeight="true" outlineLevel="0" collapsed="false">
      <c r="A59" s="1"/>
      <c r="B59" s="1"/>
      <c r="C59" s="16" t="s">
        <v>66</v>
      </c>
      <c r="D59" s="77" t="str">
        <f aca="false">IF(COUNTIFS('Source Data'!$C$21:$C$26,$C59)&lt;&gt;1,"",IF(INDEX('Source Data'!$D$21:$D$26,MATCH($C59,'Source Data'!$C$21:$C$26,0))="","",INDEX('Source Data'!$D$21:$D$26,MATCH($C59,'Source Data'!$C$21:$C$26,0))))</f>
        <v>Program Analyst III</v>
      </c>
      <c r="E59" s="46" t="n">
        <f aca="false">IF(Staffing!H69="","",Staffing!H69)</f>
        <v>2080</v>
      </c>
      <c r="F59" s="61" t="n">
        <f aca="false">IF('Labor Rates'!H141="","",'Labor Rates'!H141)</f>
        <v>164.3087</v>
      </c>
      <c r="G59" s="60" t="n">
        <f aca="false">IF(E59="","",IF(E59=0,0,IF(COUNT(E59:F59)&lt;2,"",ROUND(E59*F59,2))))</f>
        <v>341762.1</v>
      </c>
      <c r="H59" s="58" t="n">
        <f aca="false">IF(E59="","",IF('Labor Rates'!H137="","n.a.",ROUND('Labor Rates'!H137,2)))</f>
        <v>310692.84</v>
      </c>
      <c r="I59" s="60" t="n">
        <f aca="false">IF(G59="","",IF(ISNUMBER(H59),G59-H59,"n.a."))</f>
        <v>31069.26</v>
      </c>
      <c r="J59" s="1"/>
    </row>
    <row r="60" customFormat="false" ht="18" hidden="false" customHeight="true" outlineLevel="0" collapsed="false">
      <c r="A60" s="1"/>
      <c r="B60" s="1"/>
      <c r="C60" s="2"/>
      <c r="D60" s="22" t="s">
        <v>90</v>
      </c>
      <c r="E60" s="78" t="n">
        <f aca="false">IF(COUNT(E54:E59)&lt;6,"",SUM(E54:E59))</f>
        <v>16640</v>
      </c>
      <c r="F60" s="22"/>
      <c r="G60" s="79" t="n">
        <f aca="false">IF(COUNT(G54:G59)&lt;6,"",SUM(G54:G59))</f>
        <v>1994065.84</v>
      </c>
      <c r="H60" s="79" t="n">
        <f aca="false">IF(COUNT(H54:H59)&lt;6,"n.a.",SUM(H54:H59))</f>
        <v>1812787.17</v>
      </c>
      <c r="I60" s="79" t="n">
        <f aca="false">IF(COUNT(I54:I59)&lt;6,"n.a.",SUM(I54:I59))</f>
        <v>181278.67</v>
      </c>
      <c r="J60" s="1"/>
    </row>
    <row r="61" customFormat="false" ht="18" hidden="false" customHeight="true" outlineLevel="0" collapsed="false">
      <c r="A61" s="1"/>
      <c r="B61" s="1"/>
      <c r="C61" s="2"/>
      <c r="D61" s="3"/>
      <c r="E61" s="3"/>
      <c r="F61" s="3"/>
      <c r="G61" s="3"/>
      <c r="H61" s="3"/>
      <c r="I61" s="3"/>
      <c r="J61" s="1"/>
    </row>
    <row r="62" customFormat="false" ht="18" hidden="false" customHeight="true" outlineLevel="0" collapsed="false">
      <c r="A62" s="1"/>
      <c r="B62" s="1"/>
      <c r="C62" s="2"/>
      <c r="D62" s="3"/>
      <c r="E62" s="3"/>
      <c r="F62" s="3"/>
      <c r="G62" s="3"/>
      <c r="H62" s="3"/>
      <c r="I62" s="3"/>
      <c r="J62" s="1"/>
    </row>
    <row r="63" customFormat="false" ht="22" hidden="false" customHeight="true" outlineLevel="0" collapsed="false">
      <c r="A63" s="1"/>
      <c r="B63" s="1"/>
      <c r="C63" s="43" t="s">
        <v>21</v>
      </c>
      <c r="D63" s="43"/>
      <c r="E63" s="43"/>
      <c r="F63" s="43"/>
      <c r="G63" s="43"/>
      <c r="H63" s="43"/>
      <c r="I63" s="43"/>
      <c r="J63" s="1"/>
    </row>
    <row r="64" customFormat="false" ht="18" hidden="false" customHeight="true" outlineLevel="0" collapsed="false">
      <c r="A64" s="1"/>
      <c r="B64" s="1"/>
      <c r="C64" s="75" t="s">
        <v>86</v>
      </c>
      <c r="D64" s="75" t="s">
        <v>87</v>
      </c>
      <c r="E64" s="75" t="s">
        <v>88</v>
      </c>
      <c r="F64" s="75" t="s">
        <v>89</v>
      </c>
      <c r="G64" s="75" t="s">
        <v>13</v>
      </c>
      <c r="H64" s="75" t="s">
        <v>14</v>
      </c>
      <c r="I64" s="75" t="s">
        <v>15</v>
      </c>
      <c r="J64" s="1"/>
    </row>
    <row r="65" customFormat="false" ht="22" hidden="false" customHeight="true" outlineLevel="0" collapsed="false">
      <c r="A65" s="1"/>
      <c r="B65" s="1"/>
      <c r="C65" s="2" t="s">
        <v>52</v>
      </c>
      <c r="D65" s="76" t="str">
        <f aca="false">IF(COUNTIFS('Source Data'!$C$21:$C$26,$C65)&lt;&gt;1,"",IF(INDEX('Source Data'!$D$21:$D$26,MATCH($C65,'Source Data'!$C$21:$C$26,0))="","",INDEX('Source Data'!$D$21:$D$26,MATCH($C65,'Source Data'!$C$21:$C$26,0))))</f>
        <v>On-Site Supervisor</v>
      </c>
      <c r="E65" s="45" t="n">
        <f aca="false">IF(Staffing!I9="","",Staffing!I9)</f>
        <v>1040</v>
      </c>
      <c r="F65" s="71" t="n">
        <f aca="false">IF('Labor Rates'!I26="","",'Labor Rates'!I26)</f>
        <v>100.7525</v>
      </c>
      <c r="G65" s="57" t="n">
        <f aca="false">IF(E65="","",IF(E65=0,0,IF(COUNT(E65:F65)&lt;2,"",ROUND(E65*F65,2))))</f>
        <v>104782.6</v>
      </c>
      <c r="H65" s="59" t="n">
        <f aca="false">IF(E65="","",IF('Labor Rates'!I22="","n.a.",ROUND('Labor Rates'!I22,2)))</f>
        <v>95256.87</v>
      </c>
      <c r="I65" s="57" t="n">
        <f aca="false">IF(G65="","",IF(ISNUMBER(H65),G65-H65,"n.a."))</f>
        <v>9525.73000000001</v>
      </c>
      <c r="J65" s="1"/>
    </row>
    <row r="66" customFormat="false" ht="22" hidden="false" customHeight="true" outlineLevel="0" collapsed="false">
      <c r="A66" s="1"/>
      <c r="B66" s="1"/>
      <c r="C66" s="16" t="s">
        <v>62</v>
      </c>
      <c r="D66" s="77" t="str">
        <f aca="false">IF(COUNTIFS('Source Data'!$C$21:$C$26,$C66)&lt;&gt;1,"",IF(INDEX('Source Data'!$D$21:$D$26,MATCH($C66,'Source Data'!$C$21:$C$26,0))="","",INDEX('Source Data'!$D$21:$D$26,MATCH($C66,'Source Data'!$C$21:$C$26,0))))</f>
        <v>Financial Analyst</v>
      </c>
      <c r="E66" s="46" t="n">
        <f aca="false">IF(Staffing!I21="","",Staffing!I21)</f>
        <v>2080</v>
      </c>
      <c r="F66" s="61" t="n">
        <f aca="false">IF('Labor Rates'!I49="","",'Labor Rates'!I49)</f>
        <v>132.6069</v>
      </c>
      <c r="G66" s="60" t="n">
        <f aca="false">IF(E66="","",IF(E66=0,0,IF(COUNT(E66:F66)&lt;2,"",ROUND(E66*F66,2))))</f>
        <v>275822.35</v>
      </c>
      <c r="H66" s="58" t="n">
        <f aca="false">IF(E66="","",IF('Labor Rates'!I45="","n.a.",ROUND('Labor Rates'!I45,2)))</f>
        <v>250747.59</v>
      </c>
      <c r="I66" s="60" t="n">
        <f aca="false">IF(G66="","",IF(ISNUMBER(H66),G66-H66,"n.a."))</f>
        <v>25074.76</v>
      </c>
      <c r="J66" s="1"/>
    </row>
    <row r="67" customFormat="false" ht="22" hidden="false" customHeight="true" outlineLevel="0" collapsed="false">
      <c r="A67" s="1"/>
      <c r="B67" s="1"/>
      <c r="C67" s="2" t="s">
        <v>63</v>
      </c>
      <c r="D67" s="76" t="str">
        <f aca="false">IF(COUNTIFS('Source Data'!$C$21:$C$26,$C67)&lt;&gt;1,"",IF(INDEX('Source Data'!$D$21:$D$26,MATCH($C67,'Source Data'!$C$21:$C$26,0))="","",INDEX('Source Data'!$D$21:$D$26,MATCH($C67,'Source Data'!$C$21:$C$26,0))))</f>
        <v>Administrative Assistant</v>
      </c>
      <c r="E67" s="45" t="n">
        <f aca="false">IF(Staffing!I33="","",Staffing!I33)</f>
        <v>1040</v>
      </c>
      <c r="F67" s="71" t="n">
        <f aca="false">IF('Labor Rates'!I72="","",'Labor Rates'!I72)</f>
        <v>56.2522</v>
      </c>
      <c r="G67" s="57" t="n">
        <f aca="false">IF(E67="","",IF(E67=0,0,IF(COUNT(E67:F67)&lt;2,"",ROUND(E67*F67,2))))</f>
        <v>58502.29</v>
      </c>
      <c r="H67" s="59" t="n">
        <f aca="false">IF(E67="","",IF('Labor Rates'!I68="","n.a.",ROUND('Labor Rates'!I68,2)))</f>
        <v>53183.89</v>
      </c>
      <c r="I67" s="57" t="n">
        <f aca="false">IF(G67="","",IF(ISNUMBER(H67),G67-H67,"n.a."))</f>
        <v>5318.4</v>
      </c>
      <c r="J67" s="1"/>
    </row>
    <row r="68" customFormat="false" ht="22" hidden="false" customHeight="true" outlineLevel="0" collapsed="false">
      <c r="A68" s="1"/>
      <c r="B68" s="1"/>
      <c r="C68" s="16" t="s">
        <v>64</v>
      </c>
      <c r="D68" s="77" t="str">
        <f aca="false">IF(COUNTIFS('Source Data'!$C$21:$C$26,$C68)&lt;&gt;1,"",IF(INDEX('Source Data'!$D$21:$D$26,MATCH($C68,'Source Data'!$C$21:$C$26,0))="","",INDEX('Source Data'!$D$21:$D$26,MATCH($C68,'Source Data'!$C$21:$C$26,0))))</f>
        <v>Program Analyst I</v>
      </c>
      <c r="E68" s="46" t="n">
        <f aca="false">IF(Staffing!I45="","",Staffing!I45)</f>
        <v>1040</v>
      </c>
      <c r="F68" s="61" t="n">
        <f aca="false">IF('Labor Rates'!I95="","",'Labor Rates'!I95)</f>
        <v>106.2905</v>
      </c>
      <c r="G68" s="60" t="n">
        <f aca="false">IF(E68="","",IF(E68=0,0,IF(COUNT(E68:F68)&lt;2,"",ROUND(E68*F68,2))))</f>
        <v>110542.12</v>
      </c>
      <c r="H68" s="58" t="n">
        <f aca="false">IF(E68="","",IF('Labor Rates'!I91="","n.a.",ROUND('Labor Rates'!I91,2)))</f>
        <v>100492.81</v>
      </c>
      <c r="I68" s="60" t="n">
        <f aca="false">IF(G68="","",IF(ISNUMBER(H68),G68-H68,"n.a."))</f>
        <v>10049.31</v>
      </c>
      <c r="J68" s="1"/>
    </row>
    <row r="69" customFormat="false" ht="22" hidden="false" customHeight="true" outlineLevel="0" collapsed="false">
      <c r="A69" s="1"/>
      <c r="B69" s="1"/>
      <c r="C69" s="2" t="s">
        <v>65</v>
      </c>
      <c r="D69" s="76" t="str">
        <f aca="false">IF(COUNTIFS('Source Data'!$C$21:$C$26,$C69)&lt;&gt;1,"",IF(INDEX('Source Data'!$D$21:$D$26,MATCH($C69,'Source Data'!$C$21:$C$26,0))="","",INDEX('Source Data'!$D$21:$D$26,MATCH($C69,'Source Data'!$C$21:$C$26,0))))</f>
        <v>Program Analyst II</v>
      </c>
      <c r="E69" s="45" t="n">
        <f aca="false">IF(Staffing!I57="","",Staffing!I57)</f>
        <v>2080</v>
      </c>
      <c r="F69" s="71" t="n">
        <f aca="false">IF('Labor Rates'!I118="","",'Labor Rates'!I118)</f>
        <v>132.9339</v>
      </c>
      <c r="G69" s="57" t="n">
        <f aca="false">IF(E69="","",IF(E69=0,0,IF(COUNT(E69:F69)&lt;2,"",ROUND(E69*F69,2))))</f>
        <v>276502.51</v>
      </c>
      <c r="H69" s="59" t="n">
        <f aca="false">IF(E69="","",IF('Labor Rates'!I114="","n.a.",ROUND('Labor Rates'!I114,2)))</f>
        <v>251366.01</v>
      </c>
      <c r="I69" s="57" t="n">
        <f aca="false">IF(G69="","",IF(ISNUMBER(H69),G69-H69,"n.a."))</f>
        <v>25136.5</v>
      </c>
      <c r="J69" s="1"/>
    </row>
    <row r="70" customFormat="false" ht="22" hidden="false" customHeight="true" outlineLevel="0" collapsed="false">
      <c r="A70" s="1"/>
      <c r="B70" s="1"/>
      <c r="C70" s="16" t="s">
        <v>66</v>
      </c>
      <c r="D70" s="77" t="str">
        <f aca="false">IF(COUNTIFS('Source Data'!$C$21:$C$26,$C70)&lt;&gt;1,"",IF(INDEX('Source Data'!$D$21:$D$26,MATCH($C70,'Source Data'!$C$21:$C$26,0))="","",INDEX('Source Data'!$D$21:$D$26,MATCH($C70,'Source Data'!$C$21:$C$26,0))))</f>
        <v>Program Analyst III</v>
      </c>
      <c r="E70" s="46" t="n">
        <f aca="false">IF(Staffing!I69="","",Staffing!I69)</f>
        <v>1040</v>
      </c>
      <c r="F70" s="61" t="n">
        <f aca="false">IF('Labor Rates'!I141="","",'Labor Rates'!I141)</f>
        <v>164.3087</v>
      </c>
      <c r="G70" s="60" t="n">
        <f aca="false">IF(E70="","",IF(E70=0,0,IF(COUNT(E70:F70)&lt;2,"",ROUND(E70*F70,2))))</f>
        <v>170881.05</v>
      </c>
      <c r="H70" s="58" t="n">
        <f aca="false">IF(E70="","",IF('Labor Rates'!I137="","n.a.",ROUND('Labor Rates'!I137,2)))</f>
        <v>155346.42</v>
      </c>
      <c r="I70" s="60" t="n">
        <f aca="false">IF(G70="","",IF(ISNUMBER(H70),G70-H70,"n.a."))</f>
        <v>15534.63</v>
      </c>
      <c r="J70" s="1"/>
    </row>
    <row r="71" customFormat="false" ht="18" hidden="false" customHeight="true" outlineLevel="0" collapsed="false">
      <c r="A71" s="1"/>
      <c r="B71" s="1"/>
      <c r="C71" s="2"/>
      <c r="D71" s="22" t="s">
        <v>90</v>
      </c>
      <c r="E71" s="78" t="n">
        <f aca="false">IF(COUNT(E65:E70)&lt;6,"",SUM(E65:E70))</f>
        <v>8320</v>
      </c>
      <c r="F71" s="22"/>
      <c r="G71" s="79" t="n">
        <f aca="false">IF(COUNT(G65:G70)&lt;6,"",SUM(G65:G70))</f>
        <v>997032.92</v>
      </c>
      <c r="H71" s="79" t="n">
        <f aca="false">IF(COUNT(H65:H70)&lt;6,"n.a.",SUM(H65:H70))</f>
        <v>906393.59</v>
      </c>
      <c r="I71" s="79" t="n">
        <f aca="false">IF(COUNT(I65:I70)&lt;6,"n.a.",SUM(I65:I70))</f>
        <v>90639.33</v>
      </c>
      <c r="J71" s="1"/>
    </row>
    <row r="72" customFormat="false" ht="18" hidden="false" customHeight="true" outlineLevel="0" collapsed="false">
      <c r="A72" s="1"/>
      <c r="B72" s="1"/>
      <c r="C72" s="2"/>
      <c r="D72" s="3"/>
      <c r="E72" s="3"/>
      <c r="F72" s="3"/>
      <c r="G72" s="3"/>
      <c r="H72" s="3"/>
      <c r="I72" s="3"/>
      <c r="J72" s="1"/>
    </row>
    <row r="73" customFormat="false" ht="18" hidden="false" customHeight="true" outlineLevel="0" collapsed="false">
      <c r="A73" s="1"/>
      <c r="B73" s="1"/>
      <c r="C73" s="2"/>
      <c r="D73" s="3"/>
      <c r="E73" s="3"/>
      <c r="F73" s="3"/>
      <c r="G73" s="3"/>
      <c r="H73" s="3"/>
      <c r="I73" s="3"/>
      <c r="J73" s="1"/>
    </row>
    <row r="74" customFormat="false" ht="18" hidden="false" customHeight="true" outlineLevel="0" collapsed="false">
      <c r="A74" s="1"/>
      <c r="B74" s="1"/>
      <c r="C74" s="2"/>
      <c r="D74" s="3"/>
      <c r="E74" s="3"/>
      <c r="F74" s="3"/>
      <c r="G74" s="3"/>
      <c r="H74" s="3"/>
      <c r="I74" s="3"/>
      <c r="J74" s="1"/>
    </row>
    <row r="75" customFormat="false" ht="18" hidden="false" customHeight="true" outlineLevel="0" collapsed="false">
      <c r="A75" s="1"/>
      <c r="B75" s="1"/>
      <c r="C75" s="2"/>
      <c r="D75" s="3"/>
      <c r="E75" s="3"/>
      <c r="F75" s="3"/>
      <c r="G75" s="3"/>
      <c r="H75" s="3"/>
      <c r="I75" s="3"/>
      <c r="J75" s="1"/>
    </row>
    <row r="76" customFormat="false" ht="18" hidden="false" customHeight="true" outlineLevel="0" collapsed="false">
      <c r="A76" s="1"/>
      <c r="B76" s="1"/>
      <c r="C76" s="2"/>
      <c r="D76" s="3"/>
      <c r="E76" s="3"/>
      <c r="F76" s="3"/>
      <c r="G76" s="3"/>
      <c r="H76" s="3"/>
      <c r="I76" s="3"/>
      <c r="J76" s="1"/>
    </row>
  </sheetData>
  <mergeCells count="6">
    <mergeCell ref="C8:I8"/>
    <mergeCell ref="C19:I19"/>
    <mergeCell ref="C30:I30"/>
    <mergeCell ref="C41:I41"/>
    <mergeCell ref="C52:I52"/>
    <mergeCell ref="C63:I63"/>
  </mergeCells>
  <printOptions headings="false" gridLines="false" gridLinesSet="true" horizontalCentered="true" verticalCentered="false"/>
  <pageMargins left="0.3" right="0.3" top="0.3" bottom="0.3" header="0.511811023622047" footer="0.1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&amp;R&amp;"Calibri"&amp;11Page &amp;P of &amp;N</oddFooter>
  </headerFooter>
  <rowBreaks count="2" manualBreakCount="2">
    <brk id="29" man="true" max="16383" min="0"/>
    <brk id="51" man="true" max="16383" min="0"/>
  </rowBreak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8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2"/>
    <col collapsed="false" customWidth="true" hidden="false" outlineLevel="0" max="3" min="3" style="0" width="14"/>
    <col collapsed="false" customWidth="true" hidden="false" outlineLevel="0" max="4" min="4" style="0" width="36"/>
    <col collapsed="false" customWidth="true" hidden="false" outlineLevel="0" max="6" min="5" style="0" width="15"/>
    <col collapsed="false" customWidth="true" hidden="false" outlineLevel="0" max="7" min="7" style="0" width="13"/>
    <col collapsed="false" customWidth="true" hidden="false" outlineLevel="0" max="8" min="8" style="0" width="24"/>
    <col collapsed="false" customWidth="true" hidden="false" outlineLevel="0" max="9" min="9" style="0" width="18"/>
    <col collapsed="false" customWidth="true" hidden="false" outlineLevel="0" max="10" min="10" style="0" width="2"/>
  </cols>
  <sheetData>
    <row r="1" customFormat="false" ht="18" hidden="false" customHeight="true" outlineLevel="0" collapsed="false">
      <c r="A1" s="1"/>
      <c r="B1" s="1"/>
      <c r="C1" s="2"/>
      <c r="D1" s="3"/>
      <c r="E1" s="3"/>
      <c r="F1" s="3"/>
      <c r="G1" s="3"/>
      <c r="H1" s="3"/>
      <c r="I1" s="3"/>
      <c r="J1" s="1"/>
    </row>
    <row r="2" customFormat="false" ht="26" hidden="false" customHeight="true" outlineLevel="0" collapsed="false">
      <c r="A2" s="1"/>
      <c r="B2" s="1"/>
      <c r="C2" s="4" t="s">
        <v>91</v>
      </c>
      <c r="D2" s="3"/>
      <c r="E2" s="3"/>
      <c r="F2" s="3"/>
      <c r="G2" s="3"/>
      <c r="H2" s="3"/>
      <c r="I2" s="3"/>
      <c r="J2" s="1"/>
    </row>
    <row r="3" customFormat="false" ht="6" hidden="false" customHeight="true" outlineLevel="0" collapsed="false">
      <c r="A3" s="1"/>
      <c r="B3" s="1"/>
      <c r="C3" s="5"/>
      <c r="D3" s="6"/>
      <c r="E3" s="6"/>
      <c r="F3" s="6"/>
      <c r="G3" s="6"/>
      <c r="H3" s="6"/>
      <c r="I3" s="6"/>
      <c r="J3" s="1"/>
    </row>
    <row r="4" customFormat="false" ht="14" hidden="false" customHeight="true" outlineLevel="0" collapsed="false">
      <c r="A4" s="1"/>
      <c r="B4" s="1"/>
      <c r="C4" s="2" t="s">
        <v>1</v>
      </c>
      <c r="D4" s="7" t="str">
        <f aca="false">Assumptions!$D$4</f>
        <v>Base</v>
      </c>
      <c r="E4" s="3"/>
      <c r="F4" s="3"/>
      <c r="G4" s="3"/>
      <c r="H4" s="3"/>
      <c r="I4" s="3"/>
      <c r="J4" s="1"/>
    </row>
    <row r="5" customFormat="false" ht="6" hidden="false" customHeight="true" outlineLevel="0" collapsed="false">
      <c r="A5" s="1"/>
      <c r="B5" s="1"/>
      <c r="C5" s="2"/>
      <c r="D5" s="3"/>
      <c r="E5" s="3"/>
      <c r="F5" s="3"/>
      <c r="G5" s="3"/>
      <c r="H5" s="3"/>
      <c r="I5" s="3"/>
      <c r="J5" s="1"/>
    </row>
    <row r="6" customFormat="false" ht="14" hidden="false" customHeight="true" outlineLevel="0" collapsed="false">
      <c r="A6" s="1"/>
      <c r="B6" s="1"/>
      <c r="C6" s="2" t="s">
        <v>3</v>
      </c>
      <c r="D6" s="35" t="s">
        <v>92</v>
      </c>
      <c r="E6" s="35"/>
      <c r="F6" s="35"/>
      <c r="G6" s="35"/>
      <c r="H6" s="35"/>
      <c r="I6" s="35"/>
      <c r="J6" s="1"/>
    </row>
    <row r="7" customFormat="false" ht="14" hidden="false" customHeight="true" outlineLevel="0" collapsed="false">
      <c r="A7" s="1"/>
      <c r="B7" s="1"/>
      <c r="C7" s="2" t="s">
        <v>4</v>
      </c>
      <c r="D7" s="35" t="s">
        <v>93</v>
      </c>
      <c r="E7" s="35"/>
      <c r="F7" s="35"/>
      <c r="G7" s="35"/>
      <c r="H7" s="35"/>
      <c r="I7" s="35"/>
      <c r="J7" s="1"/>
    </row>
    <row r="8" customFormat="false" ht="14" hidden="false" customHeight="true" outlineLevel="0" collapsed="false">
      <c r="A8" s="1"/>
      <c r="B8" s="1"/>
      <c r="C8" s="2" t="s">
        <v>5</v>
      </c>
      <c r="D8" s="35" t="s">
        <v>94</v>
      </c>
      <c r="E8" s="35"/>
      <c r="F8" s="35"/>
      <c r="G8" s="35"/>
      <c r="H8" s="35"/>
      <c r="I8" s="35"/>
      <c r="J8" s="1"/>
    </row>
    <row r="9" customFormat="false" ht="14" hidden="false" customHeight="true" outlineLevel="0" collapsed="false">
      <c r="A9" s="1"/>
      <c r="B9" s="1"/>
      <c r="C9" s="2" t="s">
        <v>6</v>
      </c>
      <c r="D9" s="35" t="s">
        <v>95</v>
      </c>
      <c r="E9" s="35"/>
      <c r="F9" s="35"/>
      <c r="G9" s="35"/>
      <c r="H9" s="35"/>
      <c r="I9" s="35"/>
      <c r="J9" s="1"/>
    </row>
    <row r="10" customFormat="false" ht="14" hidden="false" customHeight="true" outlineLevel="0" collapsed="false">
      <c r="A10" s="1"/>
      <c r="B10" s="1"/>
      <c r="C10" s="2" t="s">
        <v>7</v>
      </c>
      <c r="D10" s="80" t="n">
        <v>46276</v>
      </c>
      <c r="E10" s="3"/>
      <c r="F10" s="3"/>
      <c r="G10" s="3"/>
      <c r="H10" s="3"/>
      <c r="I10" s="3"/>
      <c r="J10" s="1"/>
    </row>
    <row r="11" customFormat="false" ht="6" hidden="false" customHeight="true" outlineLevel="0" collapsed="false">
      <c r="A11" s="1"/>
      <c r="B11" s="1"/>
      <c r="C11" s="2"/>
      <c r="D11" s="3"/>
      <c r="E11" s="3"/>
      <c r="F11" s="3"/>
      <c r="G11" s="3"/>
      <c r="H11" s="3"/>
      <c r="I11" s="3"/>
      <c r="J11" s="1"/>
    </row>
    <row r="12" customFormat="false" ht="6" hidden="false" customHeight="true" outlineLevel="0" collapsed="false">
      <c r="A12" s="1"/>
      <c r="B12" s="1"/>
      <c r="C12" s="2"/>
      <c r="D12" s="3"/>
      <c r="E12" s="3"/>
      <c r="F12" s="3"/>
      <c r="G12" s="3"/>
      <c r="H12" s="3"/>
      <c r="I12" s="3"/>
      <c r="J12" s="1"/>
    </row>
    <row r="13" customFormat="false" ht="6" hidden="false" customHeight="true" outlineLevel="0" collapsed="false">
      <c r="A13" s="1"/>
      <c r="B13" s="1"/>
      <c r="C13" s="2"/>
      <c r="D13" s="3"/>
      <c r="E13" s="3"/>
      <c r="F13" s="3"/>
      <c r="G13" s="3"/>
      <c r="H13" s="3"/>
      <c r="I13" s="3"/>
      <c r="J13" s="1"/>
    </row>
    <row r="14" customFormat="false" ht="14" hidden="false" customHeight="true" outlineLevel="0" collapsed="false">
      <c r="A14" s="1"/>
      <c r="B14" s="1"/>
      <c r="C14" s="2"/>
      <c r="D14" s="36" t="s">
        <v>16</v>
      </c>
      <c r="E14" s="36" t="s">
        <v>17</v>
      </c>
      <c r="F14" s="36" t="s">
        <v>18</v>
      </c>
      <c r="G14" s="36" t="s">
        <v>19</v>
      </c>
      <c r="H14" s="36" t="s">
        <v>20</v>
      </c>
      <c r="I14" s="36" t="s">
        <v>21</v>
      </c>
      <c r="J14" s="1"/>
    </row>
    <row r="15" customFormat="false" ht="20" hidden="false" customHeight="true" outlineLevel="0" collapsed="false">
      <c r="A15" s="1"/>
      <c r="B15" s="1"/>
      <c r="C15" s="2" t="s">
        <v>96</v>
      </c>
      <c r="D15" s="80" t="n">
        <v>46296</v>
      </c>
      <c r="E15" s="80" t="n">
        <v>46661</v>
      </c>
      <c r="F15" s="80" t="n">
        <v>47027</v>
      </c>
      <c r="G15" s="80" t="n">
        <v>47392</v>
      </c>
      <c r="H15" s="80" t="n">
        <v>47757</v>
      </c>
      <c r="I15" s="80" t="n">
        <v>48122</v>
      </c>
      <c r="J15" s="1"/>
    </row>
    <row r="16" customFormat="false" ht="20" hidden="false" customHeight="true" outlineLevel="0" collapsed="false">
      <c r="A16" s="1"/>
      <c r="B16" s="1"/>
      <c r="C16" s="2" t="s">
        <v>97</v>
      </c>
      <c r="D16" s="80" t="n">
        <v>46660</v>
      </c>
      <c r="E16" s="80" t="n">
        <v>47026</v>
      </c>
      <c r="F16" s="80" t="n">
        <v>47391</v>
      </c>
      <c r="G16" s="80" t="n">
        <v>47756</v>
      </c>
      <c r="H16" s="80" t="n">
        <v>48121</v>
      </c>
      <c r="I16" s="80" t="n">
        <v>48304</v>
      </c>
      <c r="J16" s="1"/>
    </row>
    <row r="17" customFormat="false" ht="6" hidden="false" customHeight="true" outlineLevel="0" collapsed="false">
      <c r="A17" s="1"/>
      <c r="B17" s="1"/>
      <c r="C17" s="2"/>
      <c r="D17" s="3"/>
      <c r="E17" s="3"/>
      <c r="F17" s="3"/>
      <c r="G17" s="3"/>
      <c r="H17" s="3"/>
      <c r="I17" s="3"/>
      <c r="J17" s="1"/>
    </row>
    <row r="18" customFormat="false" ht="6" hidden="false" customHeight="true" outlineLevel="0" collapsed="false">
      <c r="A18" s="1"/>
      <c r="B18" s="1"/>
      <c r="C18" s="2"/>
      <c r="D18" s="3"/>
      <c r="E18" s="3"/>
      <c r="F18" s="3"/>
      <c r="G18" s="3"/>
      <c r="H18" s="3"/>
      <c r="I18" s="3"/>
      <c r="J18" s="1"/>
    </row>
    <row r="19" customFormat="false" ht="6" hidden="false" customHeight="true" outlineLevel="0" collapsed="false">
      <c r="A19" s="1"/>
      <c r="B19" s="1"/>
      <c r="C19" s="2"/>
      <c r="D19" s="3"/>
      <c r="E19" s="3"/>
      <c r="F19" s="3"/>
      <c r="G19" s="3"/>
      <c r="H19" s="3"/>
      <c r="I19" s="3"/>
      <c r="J19" s="1"/>
    </row>
    <row r="20" customFormat="false" ht="28" hidden="false" customHeight="true" outlineLevel="0" collapsed="false">
      <c r="A20" s="1"/>
      <c r="B20" s="1"/>
      <c r="C20" s="12" t="s">
        <v>86</v>
      </c>
      <c r="D20" s="12" t="s">
        <v>87</v>
      </c>
      <c r="E20" s="12" t="s">
        <v>98</v>
      </c>
      <c r="F20" s="12" t="s">
        <v>99</v>
      </c>
      <c r="G20" s="12" t="s">
        <v>100</v>
      </c>
      <c r="H20" s="12" t="s">
        <v>68</v>
      </c>
      <c r="I20" s="12" t="s">
        <v>101</v>
      </c>
      <c r="J20" s="1"/>
    </row>
    <row r="21" customFormat="false" ht="24" hidden="false" customHeight="true" outlineLevel="0" collapsed="false">
      <c r="A21" s="1"/>
      <c r="B21" s="1"/>
      <c r="C21" s="2" t="s">
        <v>52</v>
      </c>
      <c r="D21" s="35" t="s">
        <v>102</v>
      </c>
      <c r="E21" s="81" t="n">
        <v>1</v>
      </c>
      <c r="F21" s="82" t="n">
        <v>46.21</v>
      </c>
      <c r="G21" s="83" t="n">
        <v>2025</v>
      </c>
      <c r="H21" s="35" t="s">
        <v>103</v>
      </c>
      <c r="I21" s="84"/>
      <c r="J21" s="1"/>
    </row>
    <row r="22" customFormat="false" ht="24" hidden="false" customHeight="true" outlineLevel="0" collapsed="false">
      <c r="A22" s="1"/>
      <c r="B22" s="1"/>
      <c r="C22" s="2" t="s">
        <v>62</v>
      </c>
      <c r="D22" s="35" t="s">
        <v>104</v>
      </c>
      <c r="E22" s="81" t="n">
        <v>2</v>
      </c>
      <c r="F22" s="82" t="n">
        <v>60.82</v>
      </c>
      <c r="G22" s="83" t="n">
        <v>2025</v>
      </c>
      <c r="H22" s="35" t="s">
        <v>103</v>
      </c>
      <c r="I22" s="84"/>
      <c r="J22" s="1"/>
    </row>
    <row r="23" customFormat="false" ht="24" hidden="false" customHeight="true" outlineLevel="0" collapsed="false">
      <c r="A23" s="1"/>
      <c r="B23" s="1"/>
      <c r="C23" s="2" t="s">
        <v>63</v>
      </c>
      <c r="D23" s="35" t="s">
        <v>105</v>
      </c>
      <c r="E23" s="81" t="n">
        <v>1</v>
      </c>
      <c r="F23" s="82" t="n">
        <v>25.8</v>
      </c>
      <c r="G23" s="83" t="n">
        <v>2025</v>
      </c>
      <c r="H23" s="35" t="s">
        <v>103</v>
      </c>
      <c r="I23" s="84"/>
      <c r="J23" s="1"/>
    </row>
    <row r="24" customFormat="false" ht="24" hidden="false" customHeight="true" outlineLevel="0" collapsed="false">
      <c r="A24" s="1"/>
      <c r="B24" s="1"/>
      <c r="C24" s="2" t="s">
        <v>64</v>
      </c>
      <c r="D24" s="35" t="s">
        <v>106</v>
      </c>
      <c r="E24" s="81" t="n">
        <v>1</v>
      </c>
      <c r="F24" s="82" t="n">
        <v>48.75</v>
      </c>
      <c r="G24" s="83" t="n">
        <v>2025</v>
      </c>
      <c r="H24" s="35" t="s">
        <v>103</v>
      </c>
      <c r="I24" s="84"/>
      <c r="J24" s="1"/>
    </row>
    <row r="25" customFormat="false" ht="24" hidden="false" customHeight="true" outlineLevel="0" collapsed="false">
      <c r="A25" s="1"/>
      <c r="B25" s="1"/>
      <c r="C25" s="2" t="s">
        <v>65</v>
      </c>
      <c r="D25" s="35" t="s">
        <v>107</v>
      </c>
      <c r="E25" s="81" t="n">
        <v>2</v>
      </c>
      <c r="F25" s="82" t="n">
        <v>60.97</v>
      </c>
      <c r="G25" s="83" t="n">
        <v>2025</v>
      </c>
      <c r="H25" s="35" t="s">
        <v>103</v>
      </c>
      <c r="I25" s="84"/>
      <c r="J25" s="1"/>
    </row>
    <row r="26" customFormat="false" ht="24" hidden="false" customHeight="true" outlineLevel="0" collapsed="false">
      <c r="A26" s="1"/>
      <c r="B26" s="1"/>
      <c r="C26" s="2" t="s">
        <v>66</v>
      </c>
      <c r="D26" s="35" t="s">
        <v>108</v>
      </c>
      <c r="E26" s="81" t="n">
        <v>1</v>
      </c>
      <c r="F26" s="82" t="n">
        <v>75.36</v>
      </c>
      <c r="G26" s="83" t="n">
        <v>2025</v>
      </c>
      <c r="H26" s="35" t="s">
        <v>103</v>
      </c>
      <c r="I26" s="84"/>
      <c r="J26" s="1"/>
    </row>
    <row r="27" customFormat="false" ht="6" hidden="false" customHeight="true" outlineLevel="0" collapsed="false">
      <c r="A27" s="1"/>
      <c r="B27" s="1"/>
      <c r="C27" s="2"/>
      <c r="D27" s="3"/>
      <c r="E27" s="3"/>
      <c r="F27" s="3"/>
      <c r="G27" s="3"/>
      <c r="H27" s="3"/>
      <c r="I27" s="3"/>
      <c r="J27" s="1"/>
    </row>
    <row r="28" customFormat="false" ht="14" hidden="false" customHeight="true" outlineLevel="0" collapsed="false">
      <c r="A28" s="1"/>
      <c r="B28" s="1"/>
      <c r="C28" s="2" t="s">
        <v>109</v>
      </c>
      <c r="D28" s="3"/>
      <c r="E28" s="3"/>
      <c r="F28" s="3"/>
      <c r="G28" s="3"/>
      <c r="H28" s="3"/>
      <c r="I28" s="3"/>
      <c r="J28" s="1"/>
    </row>
    <row r="29" customFormat="false" ht="14" hidden="false" customHeight="true" outlineLevel="0" collapsed="false">
      <c r="A29" s="1"/>
      <c r="B29" s="1"/>
      <c r="C29" s="36" t="s">
        <v>86</v>
      </c>
      <c r="D29" s="36" t="s">
        <v>16</v>
      </c>
      <c r="E29" s="36" t="s">
        <v>17</v>
      </c>
      <c r="F29" s="36" t="s">
        <v>18</v>
      </c>
      <c r="G29" s="36" t="s">
        <v>19</v>
      </c>
      <c r="H29" s="36" t="s">
        <v>20</v>
      </c>
      <c r="I29" s="36" t="s">
        <v>21</v>
      </c>
      <c r="J29" s="1"/>
    </row>
    <row r="30" customFormat="false" ht="14" hidden="false" customHeight="true" outlineLevel="0" collapsed="false">
      <c r="A30" s="1"/>
      <c r="B30" s="1"/>
      <c r="C30" s="2" t="s">
        <v>52</v>
      </c>
      <c r="D30" s="32" t="n">
        <v>2080</v>
      </c>
      <c r="E30" s="32" t="n">
        <v>2080</v>
      </c>
      <c r="F30" s="32" t="n">
        <v>2080</v>
      </c>
      <c r="G30" s="32" t="n">
        <v>2080</v>
      </c>
      <c r="H30" s="32" t="n">
        <v>2080</v>
      </c>
      <c r="I30" s="32" t="n">
        <v>1040</v>
      </c>
      <c r="J30" s="1"/>
    </row>
    <row r="31" customFormat="false" ht="14" hidden="false" customHeight="true" outlineLevel="0" collapsed="false">
      <c r="A31" s="1"/>
      <c r="B31" s="1"/>
      <c r="C31" s="2" t="s">
        <v>62</v>
      </c>
      <c r="D31" s="32" t="n">
        <v>4160</v>
      </c>
      <c r="E31" s="32" t="n">
        <v>4160</v>
      </c>
      <c r="F31" s="32" t="n">
        <v>4160</v>
      </c>
      <c r="G31" s="32" t="n">
        <v>4160</v>
      </c>
      <c r="H31" s="32" t="n">
        <v>4160</v>
      </c>
      <c r="I31" s="32" t="n">
        <v>2080</v>
      </c>
      <c r="J31" s="1"/>
    </row>
    <row r="32" customFormat="false" ht="14" hidden="false" customHeight="true" outlineLevel="0" collapsed="false">
      <c r="A32" s="1"/>
      <c r="B32" s="1"/>
      <c r="C32" s="2" t="s">
        <v>63</v>
      </c>
      <c r="D32" s="32" t="n">
        <v>2080</v>
      </c>
      <c r="E32" s="32" t="n">
        <v>2080</v>
      </c>
      <c r="F32" s="32" t="n">
        <v>2080</v>
      </c>
      <c r="G32" s="32" t="n">
        <v>2080</v>
      </c>
      <c r="H32" s="32" t="n">
        <v>2080</v>
      </c>
      <c r="I32" s="32" t="n">
        <v>1040</v>
      </c>
      <c r="J32" s="1"/>
    </row>
    <row r="33" customFormat="false" ht="14" hidden="false" customHeight="true" outlineLevel="0" collapsed="false">
      <c r="A33" s="1"/>
      <c r="B33" s="1"/>
      <c r="C33" s="2" t="s">
        <v>64</v>
      </c>
      <c r="D33" s="32" t="n">
        <v>2080</v>
      </c>
      <c r="E33" s="32" t="n">
        <v>2080</v>
      </c>
      <c r="F33" s="32" t="n">
        <v>2080</v>
      </c>
      <c r="G33" s="32" t="n">
        <v>2080</v>
      </c>
      <c r="H33" s="32" t="n">
        <v>2080</v>
      </c>
      <c r="I33" s="32" t="n">
        <v>1040</v>
      </c>
      <c r="J33" s="1"/>
    </row>
    <row r="34" customFormat="false" ht="14" hidden="false" customHeight="true" outlineLevel="0" collapsed="false">
      <c r="A34" s="1"/>
      <c r="B34" s="1"/>
      <c r="C34" s="2" t="s">
        <v>65</v>
      </c>
      <c r="D34" s="32" t="n">
        <v>4160</v>
      </c>
      <c r="E34" s="32" t="n">
        <v>4160</v>
      </c>
      <c r="F34" s="32" t="n">
        <v>4160</v>
      </c>
      <c r="G34" s="32" t="n">
        <v>4160</v>
      </c>
      <c r="H34" s="32" t="n">
        <v>4160</v>
      </c>
      <c r="I34" s="32" t="n">
        <v>2080</v>
      </c>
      <c r="J34" s="1"/>
    </row>
    <row r="35" customFormat="false" ht="14" hidden="false" customHeight="true" outlineLevel="0" collapsed="false">
      <c r="A35" s="1"/>
      <c r="B35" s="1"/>
      <c r="C35" s="2" t="s">
        <v>66</v>
      </c>
      <c r="D35" s="32" t="n">
        <v>2080</v>
      </c>
      <c r="E35" s="32" t="n">
        <v>2080</v>
      </c>
      <c r="F35" s="32" t="n">
        <v>2080</v>
      </c>
      <c r="G35" s="32" t="n">
        <v>2080</v>
      </c>
      <c r="H35" s="32" t="n">
        <v>2080</v>
      </c>
      <c r="I35" s="32" t="n">
        <v>1040</v>
      </c>
      <c r="J35" s="1"/>
    </row>
    <row r="36" customFormat="false" ht="6" hidden="false" customHeight="true" outlineLevel="0" collapsed="false">
      <c r="A36" s="1"/>
      <c r="B36" s="1"/>
      <c r="C36" s="2"/>
      <c r="D36" s="3"/>
      <c r="E36" s="3"/>
      <c r="F36" s="3"/>
      <c r="G36" s="3"/>
      <c r="H36" s="3"/>
      <c r="I36" s="3"/>
      <c r="J36" s="1"/>
    </row>
    <row r="37" customFormat="false" ht="6" hidden="false" customHeight="true" outlineLevel="0" collapsed="false">
      <c r="A37" s="1"/>
      <c r="B37" s="1"/>
      <c r="C37" s="2"/>
      <c r="D37" s="3"/>
      <c r="E37" s="3"/>
      <c r="F37" s="3"/>
      <c r="G37" s="3"/>
      <c r="H37" s="3"/>
      <c r="I37" s="3"/>
      <c r="J37" s="1"/>
    </row>
    <row r="38" customFormat="false" ht="6" hidden="false" customHeight="true" outlineLevel="0" collapsed="false">
      <c r="A38" s="1"/>
      <c r="B38" s="1"/>
      <c r="C38" s="2"/>
      <c r="D38" s="3"/>
      <c r="E38" s="3"/>
      <c r="F38" s="3"/>
      <c r="G38" s="3"/>
      <c r="H38" s="3"/>
      <c r="I38" s="3"/>
      <c r="J38" s="1"/>
    </row>
    <row r="39" customFormat="false" ht="22" hidden="false" customHeight="true" outlineLevel="0" collapsed="false">
      <c r="A39" s="1"/>
      <c r="B39" s="1"/>
      <c r="C39" s="43" t="s">
        <v>110</v>
      </c>
      <c r="D39" s="43"/>
      <c r="E39" s="43"/>
      <c r="F39" s="43"/>
      <c r="G39" s="43"/>
      <c r="H39" s="43"/>
      <c r="I39" s="43"/>
      <c r="J39" s="1"/>
    </row>
    <row r="40" customFormat="false" ht="16" hidden="false" customHeight="true" outlineLevel="0" collapsed="false">
      <c r="A40" s="1"/>
      <c r="B40" s="1"/>
      <c r="C40" s="2" t="s">
        <v>52</v>
      </c>
      <c r="D40" s="85" t="str">
        <f aca="false">IF(COUNTIF($C$21:$C$26,C40)&lt;&gt;1,"",IF(INDEX($D$21:$D$26,MATCH(C40,$C$21:$C$26,0))="","",INDEX($D$21:$D$26,MATCH(C40,$C$21:$C$26,0))))</f>
        <v>On-Site Supervisor</v>
      </c>
      <c r="E40" s="85"/>
      <c r="F40" s="85"/>
      <c r="G40" s="85"/>
      <c r="H40" s="85"/>
      <c r="I40" s="85"/>
      <c r="J40" s="1"/>
    </row>
    <row r="41" customFormat="false" ht="24" hidden="false" customHeight="true" outlineLevel="0" collapsed="false">
      <c r="A41" s="1"/>
      <c r="B41" s="1"/>
      <c r="C41" s="2" t="s">
        <v>111</v>
      </c>
      <c r="D41" s="35" t="s">
        <v>112</v>
      </c>
      <c r="E41" s="35"/>
      <c r="F41" s="35"/>
      <c r="G41" s="35"/>
      <c r="H41" s="35"/>
      <c r="I41" s="35"/>
      <c r="J41" s="1"/>
    </row>
    <row r="42" customFormat="false" ht="26" hidden="false" customHeight="true" outlineLevel="0" collapsed="false">
      <c r="A42" s="1"/>
      <c r="B42" s="1"/>
      <c r="C42" s="2" t="s">
        <v>113</v>
      </c>
      <c r="D42" s="35" t="s">
        <v>114</v>
      </c>
      <c r="E42" s="35"/>
      <c r="F42" s="35"/>
      <c r="G42" s="35"/>
      <c r="H42" s="35"/>
      <c r="I42" s="35"/>
      <c r="J42" s="1"/>
    </row>
    <row r="43" customFormat="false" ht="20" hidden="false" customHeight="true" outlineLevel="0" collapsed="false">
      <c r="A43" s="1"/>
      <c r="B43" s="1"/>
      <c r="C43" s="2" t="s">
        <v>115</v>
      </c>
      <c r="D43" s="35" t="s">
        <v>116</v>
      </c>
      <c r="E43" s="35"/>
      <c r="F43" s="35"/>
      <c r="G43" s="35"/>
      <c r="H43" s="35"/>
      <c r="I43" s="35"/>
      <c r="J43" s="1"/>
    </row>
    <row r="44" customFormat="false" ht="6" hidden="false" customHeight="true" outlineLevel="0" collapsed="false">
      <c r="A44" s="1"/>
      <c r="B44" s="1"/>
      <c r="C44" s="2"/>
      <c r="D44" s="9"/>
      <c r="E44" s="9"/>
      <c r="F44" s="9"/>
      <c r="G44" s="9"/>
      <c r="H44" s="9"/>
      <c r="I44" s="9"/>
      <c r="J44" s="1"/>
    </row>
    <row r="45" customFormat="false" ht="16" hidden="false" customHeight="true" outlineLevel="0" collapsed="false">
      <c r="A45" s="1"/>
      <c r="B45" s="1"/>
      <c r="C45" s="2" t="s">
        <v>62</v>
      </c>
      <c r="D45" s="85" t="str">
        <f aca="false">IF(COUNTIF($C$21:$C$26,C45)&lt;&gt;1,"",IF(INDEX($D$21:$D$26,MATCH(C45,$C$21:$C$26,0))="","",INDEX($D$21:$D$26,MATCH(C45,$C$21:$C$26,0))))</f>
        <v>Financial Analyst</v>
      </c>
      <c r="E45" s="85"/>
      <c r="F45" s="85"/>
      <c r="G45" s="85"/>
      <c r="H45" s="85"/>
      <c r="I45" s="85"/>
      <c r="J45" s="1"/>
    </row>
    <row r="46" customFormat="false" ht="24" hidden="false" customHeight="true" outlineLevel="0" collapsed="false">
      <c r="A46" s="1"/>
      <c r="B46" s="1"/>
      <c r="C46" s="2" t="s">
        <v>111</v>
      </c>
      <c r="D46" s="35" t="s">
        <v>117</v>
      </c>
      <c r="E46" s="35"/>
      <c r="F46" s="35"/>
      <c r="G46" s="35"/>
      <c r="H46" s="35"/>
      <c r="I46" s="35"/>
      <c r="J46" s="1"/>
    </row>
    <row r="47" customFormat="false" ht="26" hidden="false" customHeight="true" outlineLevel="0" collapsed="false">
      <c r="A47" s="1"/>
      <c r="B47" s="1"/>
      <c r="C47" s="2" t="s">
        <v>113</v>
      </c>
      <c r="D47" s="35" t="s">
        <v>118</v>
      </c>
      <c r="E47" s="35"/>
      <c r="F47" s="35"/>
      <c r="G47" s="35"/>
      <c r="H47" s="35"/>
      <c r="I47" s="35"/>
      <c r="J47" s="1"/>
    </row>
    <row r="48" customFormat="false" ht="20" hidden="false" customHeight="true" outlineLevel="0" collapsed="false">
      <c r="A48" s="1"/>
      <c r="B48" s="1"/>
      <c r="C48" s="2" t="s">
        <v>115</v>
      </c>
      <c r="D48" s="35" t="s">
        <v>119</v>
      </c>
      <c r="E48" s="35"/>
      <c r="F48" s="35"/>
      <c r="G48" s="35"/>
      <c r="H48" s="35"/>
      <c r="I48" s="35"/>
      <c r="J48" s="1"/>
    </row>
    <row r="49" customFormat="false" ht="6" hidden="false" customHeight="true" outlineLevel="0" collapsed="false">
      <c r="A49" s="1"/>
      <c r="B49" s="1"/>
      <c r="C49" s="2"/>
      <c r="D49" s="9"/>
      <c r="E49" s="9"/>
      <c r="F49" s="9"/>
      <c r="G49" s="9"/>
      <c r="H49" s="9"/>
      <c r="I49" s="9"/>
      <c r="J49" s="1"/>
    </row>
    <row r="50" customFormat="false" ht="16" hidden="false" customHeight="true" outlineLevel="0" collapsed="false">
      <c r="A50" s="1"/>
      <c r="B50" s="1"/>
      <c r="C50" s="2" t="s">
        <v>63</v>
      </c>
      <c r="D50" s="85" t="str">
        <f aca="false">IF(COUNTIF($C$21:$C$26,C50)&lt;&gt;1,"",IF(INDEX($D$21:$D$26,MATCH(C50,$C$21:$C$26,0))="","",INDEX($D$21:$D$26,MATCH(C50,$C$21:$C$26,0))))</f>
        <v>Administrative Assistant</v>
      </c>
      <c r="E50" s="85"/>
      <c r="F50" s="85"/>
      <c r="G50" s="85"/>
      <c r="H50" s="85"/>
      <c r="I50" s="85"/>
      <c r="J50" s="1"/>
    </row>
    <row r="51" customFormat="false" ht="24" hidden="false" customHeight="true" outlineLevel="0" collapsed="false">
      <c r="A51" s="1"/>
      <c r="B51" s="1"/>
      <c r="C51" s="2" t="s">
        <v>111</v>
      </c>
      <c r="D51" s="35" t="s">
        <v>120</v>
      </c>
      <c r="E51" s="35"/>
      <c r="F51" s="35"/>
      <c r="G51" s="35"/>
      <c r="H51" s="35"/>
      <c r="I51" s="35"/>
      <c r="J51" s="1"/>
    </row>
    <row r="52" customFormat="false" ht="26" hidden="false" customHeight="true" outlineLevel="0" collapsed="false">
      <c r="A52" s="1"/>
      <c r="B52" s="1"/>
      <c r="C52" s="2" t="s">
        <v>113</v>
      </c>
      <c r="D52" s="35" t="s">
        <v>121</v>
      </c>
      <c r="E52" s="35"/>
      <c r="F52" s="35"/>
      <c r="G52" s="35"/>
      <c r="H52" s="35"/>
      <c r="I52" s="35"/>
      <c r="J52" s="1"/>
    </row>
    <row r="53" customFormat="false" ht="20" hidden="false" customHeight="true" outlineLevel="0" collapsed="false">
      <c r="A53" s="1"/>
      <c r="B53" s="1"/>
      <c r="C53" s="2" t="s">
        <v>115</v>
      </c>
      <c r="D53" s="35" t="s">
        <v>122</v>
      </c>
      <c r="E53" s="35"/>
      <c r="F53" s="35"/>
      <c r="G53" s="35"/>
      <c r="H53" s="35"/>
      <c r="I53" s="35"/>
      <c r="J53" s="1"/>
    </row>
    <row r="54" customFormat="false" ht="6" hidden="false" customHeight="true" outlineLevel="0" collapsed="false">
      <c r="A54" s="1"/>
      <c r="B54" s="1"/>
      <c r="C54" s="2"/>
      <c r="D54" s="9"/>
      <c r="E54" s="9"/>
      <c r="F54" s="9"/>
      <c r="G54" s="9"/>
      <c r="H54" s="9"/>
      <c r="I54" s="9"/>
      <c r="J54" s="1"/>
    </row>
    <row r="55" customFormat="false" ht="16" hidden="false" customHeight="true" outlineLevel="0" collapsed="false">
      <c r="A55" s="1"/>
      <c r="B55" s="1"/>
      <c r="C55" s="2" t="s">
        <v>64</v>
      </c>
      <c r="D55" s="85" t="str">
        <f aca="false">IF(COUNTIF($C$21:$C$26,C55)&lt;&gt;1,"",IF(INDEX($D$21:$D$26,MATCH(C55,$C$21:$C$26,0))="","",INDEX($D$21:$D$26,MATCH(C55,$C$21:$C$26,0))))</f>
        <v>Program Analyst I</v>
      </c>
      <c r="E55" s="85"/>
      <c r="F55" s="85"/>
      <c r="G55" s="85"/>
      <c r="H55" s="85"/>
      <c r="I55" s="85"/>
      <c r="J55" s="1"/>
    </row>
    <row r="56" customFormat="false" ht="24" hidden="false" customHeight="true" outlineLevel="0" collapsed="false">
      <c r="A56" s="1"/>
      <c r="B56" s="1"/>
      <c r="C56" s="2" t="s">
        <v>111</v>
      </c>
      <c r="D56" s="35" t="s">
        <v>123</v>
      </c>
      <c r="E56" s="35"/>
      <c r="F56" s="35"/>
      <c r="G56" s="35"/>
      <c r="H56" s="35"/>
      <c r="I56" s="35"/>
      <c r="J56" s="1"/>
    </row>
    <row r="57" customFormat="false" ht="26" hidden="false" customHeight="true" outlineLevel="0" collapsed="false">
      <c r="A57" s="1"/>
      <c r="B57" s="1"/>
      <c r="C57" s="2" t="s">
        <v>113</v>
      </c>
      <c r="D57" s="35" t="s">
        <v>124</v>
      </c>
      <c r="E57" s="35"/>
      <c r="F57" s="35"/>
      <c r="G57" s="35"/>
      <c r="H57" s="35"/>
      <c r="I57" s="35"/>
      <c r="J57" s="1"/>
    </row>
    <row r="58" customFormat="false" ht="20" hidden="false" customHeight="true" outlineLevel="0" collapsed="false">
      <c r="A58" s="1"/>
      <c r="B58" s="1"/>
      <c r="C58" s="2" t="s">
        <v>115</v>
      </c>
      <c r="D58" s="35" t="s">
        <v>125</v>
      </c>
      <c r="E58" s="35"/>
      <c r="F58" s="35"/>
      <c r="G58" s="35"/>
      <c r="H58" s="35"/>
      <c r="I58" s="35"/>
      <c r="J58" s="1"/>
    </row>
    <row r="59" customFormat="false" ht="6" hidden="false" customHeight="true" outlineLevel="0" collapsed="false">
      <c r="A59" s="1"/>
      <c r="B59" s="1"/>
      <c r="C59" s="2"/>
      <c r="D59" s="9"/>
      <c r="E59" s="9"/>
      <c r="F59" s="9"/>
      <c r="G59" s="9"/>
      <c r="H59" s="9"/>
      <c r="I59" s="9"/>
      <c r="J59" s="1"/>
    </row>
    <row r="60" customFormat="false" ht="16" hidden="false" customHeight="true" outlineLevel="0" collapsed="false">
      <c r="A60" s="1"/>
      <c r="B60" s="1"/>
      <c r="C60" s="2" t="s">
        <v>65</v>
      </c>
      <c r="D60" s="85" t="str">
        <f aca="false">IF(COUNTIF($C$21:$C$26,C60)&lt;&gt;1,"",IF(INDEX($D$21:$D$26,MATCH(C60,$C$21:$C$26,0))="","",INDEX($D$21:$D$26,MATCH(C60,$C$21:$C$26,0))))</f>
        <v>Program Analyst II</v>
      </c>
      <c r="E60" s="85"/>
      <c r="F60" s="85"/>
      <c r="G60" s="85"/>
      <c r="H60" s="85"/>
      <c r="I60" s="85"/>
      <c r="J60" s="1"/>
    </row>
    <row r="61" customFormat="false" ht="24" hidden="false" customHeight="true" outlineLevel="0" collapsed="false">
      <c r="A61" s="1"/>
      <c r="B61" s="1"/>
      <c r="C61" s="2" t="s">
        <v>111</v>
      </c>
      <c r="D61" s="35" t="s">
        <v>126</v>
      </c>
      <c r="E61" s="35"/>
      <c r="F61" s="35"/>
      <c r="G61" s="35"/>
      <c r="H61" s="35"/>
      <c r="I61" s="35"/>
      <c r="J61" s="1"/>
    </row>
    <row r="62" customFormat="false" ht="26" hidden="false" customHeight="true" outlineLevel="0" collapsed="false">
      <c r="A62" s="1"/>
      <c r="B62" s="1"/>
      <c r="C62" s="2" t="s">
        <v>113</v>
      </c>
      <c r="D62" s="35" t="s">
        <v>127</v>
      </c>
      <c r="E62" s="35"/>
      <c r="F62" s="35"/>
      <c r="G62" s="35"/>
      <c r="H62" s="35"/>
      <c r="I62" s="35"/>
      <c r="J62" s="1"/>
    </row>
    <row r="63" customFormat="false" ht="20" hidden="false" customHeight="true" outlineLevel="0" collapsed="false">
      <c r="A63" s="1"/>
      <c r="B63" s="1"/>
      <c r="C63" s="2" t="s">
        <v>115</v>
      </c>
      <c r="D63" s="35" t="s">
        <v>128</v>
      </c>
      <c r="E63" s="35"/>
      <c r="F63" s="35"/>
      <c r="G63" s="35"/>
      <c r="H63" s="35"/>
      <c r="I63" s="35"/>
      <c r="J63" s="1"/>
    </row>
    <row r="64" customFormat="false" ht="6" hidden="false" customHeight="true" outlineLevel="0" collapsed="false">
      <c r="A64" s="1"/>
      <c r="B64" s="1"/>
      <c r="C64" s="2"/>
      <c r="D64" s="9"/>
      <c r="E64" s="9"/>
      <c r="F64" s="9"/>
      <c r="G64" s="9"/>
      <c r="H64" s="9"/>
      <c r="I64" s="9"/>
      <c r="J64" s="1"/>
    </row>
    <row r="65" customFormat="false" ht="16" hidden="false" customHeight="true" outlineLevel="0" collapsed="false">
      <c r="A65" s="1"/>
      <c r="B65" s="1"/>
      <c r="C65" s="2" t="s">
        <v>66</v>
      </c>
      <c r="D65" s="85" t="str">
        <f aca="false">IF(COUNTIF($C$21:$C$26,C65)&lt;&gt;1,"",IF(INDEX($D$21:$D$26,MATCH(C65,$C$21:$C$26,0))="","",INDEX($D$21:$D$26,MATCH(C65,$C$21:$C$26,0))))</f>
        <v>Program Analyst III</v>
      </c>
      <c r="E65" s="85"/>
      <c r="F65" s="85"/>
      <c r="G65" s="85"/>
      <c r="H65" s="85"/>
      <c r="I65" s="85"/>
      <c r="J65" s="1"/>
    </row>
    <row r="66" customFormat="false" ht="24" hidden="false" customHeight="true" outlineLevel="0" collapsed="false">
      <c r="A66" s="1"/>
      <c r="B66" s="1"/>
      <c r="C66" s="2" t="s">
        <v>111</v>
      </c>
      <c r="D66" s="35" t="s">
        <v>129</v>
      </c>
      <c r="E66" s="35"/>
      <c r="F66" s="35"/>
      <c r="G66" s="35"/>
      <c r="H66" s="35"/>
      <c r="I66" s="35"/>
      <c r="J66" s="1"/>
    </row>
    <row r="67" customFormat="false" ht="26" hidden="false" customHeight="true" outlineLevel="0" collapsed="false">
      <c r="A67" s="1"/>
      <c r="B67" s="1"/>
      <c r="C67" s="2" t="s">
        <v>113</v>
      </c>
      <c r="D67" s="35" t="s">
        <v>130</v>
      </c>
      <c r="E67" s="35"/>
      <c r="F67" s="35"/>
      <c r="G67" s="35"/>
      <c r="H67" s="35"/>
      <c r="I67" s="35"/>
      <c r="J67" s="1"/>
    </row>
    <row r="68" customFormat="false" ht="20" hidden="false" customHeight="true" outlineLevel="0" collapsed="false">
      <c r="A68" s="1"/>
      <c r="B68" s="1"/>
      <c r="C68" s="2" t="s">
        <v>115</v>
      </c>
      <c r="D68" s="35" t="s">
        <v>131</v>
      </c>
      <c r="E68" s="35"/>
      <c r="F68" s="35"/>
      <c r="G68" s="35"/>
      <c r="H68" s="35"/>
      <c r="I68" s="35"/>
      <c r="J68" s="1"/>
    </row>
    <row r="69" customFormat="false" ht="6" hidden="false" customHeight="true" outlineLevel="0" collapsed="false">
      <c r="A69" s="1"/>
      <c r="B69" s="1"/>
      <c r="C69" s="2"/>
      <c r="D69" s="9"/>
      <c r="E69" s="9"/>
      <c r="F69" s="9"/>
      <c r="G69" s="9"/>
      <c r="H69" s="9"/>
      <c r="I69" s="9"/>
      <c r="J69" s="1"/>
    </row>
    <row r="70" customFormat="false" ht="18" hidden="false" customHeight="true" outlineLevel="0" collapsed="false">
      <c r="A70" s="1"/>
      <c r="B70" s="1"/>
      <c r="C70" s="2"/>
      <c r="D70" s="3"/>
      <c r="E70" s="3"/>
      <c r="F70" s="3"/>
      <c r="G70" s="3"/>
      <c r="H70" s="3"/>
      <c r="I70" s="3"/>
      <c r="J70" s="1"/>
    </row>
    <row r="71" customFormat="false" ht="22" hidden="false" customHeight="true" outlineLevel="0" collapsed="false">
      <c r="A71" s="1"/>
      <c r="B71" s="1"/>
      <c r="C71" s="43" t="s">
        <v>132</v>
      </c>
      <c r="D71" s="43"/>
      <c r="E71" s="43"/>
      <c r="F71" s="43"/>
      <c r="G71" s="43"/>
      <c r="H71" s="43"/>
      <c r="I71" s="43"/>
      <c r="J71" s="1"/>
    </row>
    <row r="72" customFormat="false" ht="35" hidden="false" customHeight="true" outlineLevel="0" collapsed="false">
      <c r="A72" s="1"/>
      <c r="B72" s="1"/>
      <c r="C72" s="30" t="s">
        <v>133</v>
      </c>
      <c r="D72" s="30"/>
      <c r="E72" s="30"/>
      <c r="F72" s="30"/>
      <c r="G72" s="30"/>
      <c r="H72" s="30"/>
      <c r="I72" s="30"/>
      <c r="J72" s="1"/>
    </row>
    <row r="73" customFormat="false" ht="18" hidden="false" customHeight="true" outlineLevel="0" collapsed="false">
      <c r="A73" s="1"/>
      <c r="B73" s="1"/>
      <c r="C73" s="2" t="s">
        <v>134</v>
      </c>
      <c r="D73" s="86" t="str">
        <f aca="false">HYPERLINK("https://buy.gsa.gov/pricing/qr/bls","GSA CALC+ BLS wage data")</f>
        <v>GSA CALC+ BLS wage data</v>
      </c>
      <c r="E73" s="86"/>
      <c r="F73" s="86"/>
      <c r="G73" s="86"/>
      <c r="H73" s="86"/>
      <c r="I73" s="86"/>
      <c r="J73" s="1"/>
    </row>
    <row r="74" customFormat="false" ht="35" hidden="false" customHeight="true" outlineLevel="0" collapsed="false">
      <c r="A74" s="1"/>
      <c r="B74" s="1"/>
      <c r="C74" s="30" t="s">
        <v>135</v>
      </c>
      <c r="D74" s="30"/>
      <c r="E74" s="30"/>
      <c r="F74" s="30"/>
      <c r="G74" s="30"/>
      <c r="H74" s="30"/>
      <c r="I74" s="30"/>
      <c r="J74" s="1"/>
    </row>
    <row r="75" customFormat="false" ht="18" hidden="false" customHeight="true" outlineLevel="0" collapsed="false">
      <c r="A75" s="1"/>
      <c r="B75" s="1"/>
      <c r="C75" s="2" t="s">
        <v>51</v>
      </c>
      <c r="D75" s="86" t="str">
        <f aca="false">HYPERLINK("https://govtribe.com/file/government-file/attachment-b-pricing-sheet-for-risk-management-2026-09-10-dot-xlsx","Source pricing worksheet — structural inspiration")</f>
        <v>Source pricing worksheet — structural inspiration</v>
      </c>
      <c r="E75" s="86"/>
      <c r="F75" s="86"/>
      <c r="G75" s="86"/>
      <c r="H75" s="86"/>
      <c r="I75" s="86"/>
      <c r="J75" s="1"/>
    </row>
    <row r="76" customFormat="false" ht="32" hidden="false" customHeight="true" outlineLevel="0" collapsed="false">
      <c r="A76" s="1"/>
      <c r="B76" s="1"/>
      <c r="C76" s="30" t="s">
        <v>136</v>
      </c>
      <c r="D76" s="30"/>
      <c r="E76" s="30"/>
      <c r="F76" s="30"/>
      <c r="G76" s="30"/>
      <c r="H76" s="30"/>
      <c r="I76" s="30"/>
      <c r="J76" s="1"/>
    </row>
    <row r="77" customFormat="false" ht="18" hidden="false" customHeight="true" outlineLevel="0" collapsed="false">
      <c r="A77" s="1"/>
      <c r="B77" s="1"/>
      <c r="C77" s="2" t="s">
        <v>137</v>
      </c>
      <c r="D77" s="86" t="str">
        <f aca="false">HYPERLINK("https://coe.gsa.gov/docs/CloudMigration/SampleIGCE.xlsx","GSA cost-estimate sample")</f>
        <v>GSA cost-estimate sample</v>
      </c>
      <c r="E77" s="86"/>
      <c r="F77" s="86"/>
      <c r="G77" s="86"/>
      <c r="H77" s="86"/>
      <c r="I77" s="86"/>
      <c r="J77" s="1"/>
    </row>
    <row r="78" customFormat="false" ht="18" hidden="false" customHeight="true" outlineLevel="0" collapsed="false">
      <c r="A78" s="1"/>
      <c r="B78" s="1"/>
      <c r="C78" s="2" t="s">
        <v>138</v>
      </c>
      <c r="D78" s="86" t="str">
        <f aca="false">HYPERLINK("https://www.gsa.gov/system/files/FCP_Services_Plus_File_Refresh_32_TDR_EDIT_060126.xlsx","GSA Services Plus template")</f>
        <v>GSA Services Plus template</v>
      </c>
      <c r="E78" s="86"/>
      <c r="F78" s="86"/>
      <c r="G78" s="86"/>
      <c r="H78" s="86"/>
      <c r="I78" s="86"/>
      <c r="J78" s="1"/>
    </row>
    <row r="79" customFormat="false" ht="18" hidden="false" customHeight="true" outlineLevel="0" collapsed="false">
      <c r="A79" s="1"/>
      <c r="B79" s="1"/>
      <c r="C79" s="2"/>
      <c r="D79" s="3"/>
      <c r="E79" s="3"/>
      <c r="F79" s="3"/>
      <c r="G79" s="3"/>
      <c r="H79" s="3"/>
      <c r="I79" s="3"/>
      <c r="J79" s="1"/>
    </row>
    <row r="80" customFormat="false" ht="18" hidden="false" customHeight="true" outlineLevel="0" collapsed="false">
      <c r="A80" s="1"/>
      <c r="B80" s="1"/>
      <c r="C80" s="2"/>
      <c r="D80" s="3"/>
      <c r="E80" s="3"/>
      <c r="F80" s="3"/>
      <c r="G80" s="3"/>
      <c r="H80" s="3"/>
      <c r="I80" s="3"/>
      <c r="J80" s="1"/>
    </row>
    <row r="81" customFormat="false" ht="18" hidden="false" customHeight="true" outlineLevel="0" collapsed="false">
      <c r="A81" s="1"/>
      <c r="B81" s="1"/>
      <c r="C81" s="2"/>
      <c r="D81" s="3"/>
      <c r="E81" s="3"/>
      <c r="F81" s="3"/>
      <c r="G81" s="3"/>
      <c r="H81" s="3"/>
      <c r="I81" s="3"/>
      <c r="J81" s="1"/>
    </row>
    <row r="82" customFormat="false" ht="18" hidden="false" customHeight="true" outlineLevel="0" collapsed="false">
      <c r="A82" s="1"/>
      <c r="B82" s="1"/>
      <c r="C82" s="2"/>
      <c r="D82" s="3"/>
      <c r="E82" s="3"/>
      <c r="F82" s="3"/>
      <c r="G82" s="3"/>
      <c r="H82" s="3"/>
      <c r="I82" s="3"/>
      <c r="J82" s="1"/>
    </row>
    <row r="83" customFormat="false" ht="18" hidden="false" customHeight="true" outlineLevel="0" collapsed="false">
      <c r="A83" s="1"/>
      <c r="B83" s="1"/>
      <c r="C83" s="2"/>
      <c r="D83" s="3"/>
      <c r="E83" s="3"/>
      <c r="F83" s="3"/>
      <c r="G83" s="3"/>
      <c r="H83" s="3"/>
      <c r="I83" s="3"/>
      <c r="J83" s="1"/>
    </row>
    <row r="84" customFormat="false" ht="18" hidden="false" customHeight="true" outlineLevel="0" collapsed="false">
      <c r="A84" s="1"/>
      <c r="B84" s="1"/>
      <c r="C84" s="2"/>
      <c r="D84" s="3"/>
      <c r="E84" s="3"/>
      <c r="F84" s="3"/>
      <c r="G84" s="3"/>
      <c r="H84" s="3"/>
      <c r="I84" s="3"/>
      <c r="J84" s="1"/>
    </row>
    <row r="85" customFormat="false" ht="18" hidden="false" customHeight="true" outlineLevel="0" collapsed="false">
      <c r="A85" s="1"/>
      <c r="B85" s="1"/>
      <c r="C85" s="2"/>
      <c r="D85" s="3"/>
      <c r="E85" s="3"/>
      <c r="F85" s="3"/>
      <c r="G85" s="3"/>
      <c r="H85" s="3"/>
      <c r="I85" s="3"/>
      <c r="J85" s="1"/>
    </row>
    <row r="86" customFormat="false" ht="18" hidden="false" customHeight="true" outlineLevel="0" collapsed="false">
      <c r="A86" s="1"/>
      <c r="B86" s="1"/>
      <c r="C86" s="2"/>
      <c r="D86" s="3"/>
      <c r="E86" s="3"/>
      <c r="F86" s="3"/>
      <c r="G86" s="3"/>
      <c r="H86" s="3"/>
      <c r="I86" s="3"/>
      <c r="J86" s="1"/>
    </row>
  </sheetData>
  <mergeCells count="37">
    <mergeCell ref="D6:I6"/>
    <mergeCell ref="D7:I7"/>
    <mergeCell ref="D8:I8"/>
    <mergeCell ref="D9:I9"/>
    <mergeCell ref="C39:I39"/>
    <mergeCell ref="D40:I40"/>
    <mergeCell ref="D41:I41"/>
    <mergeCell ref="D42:I42"/>
    <mergeCell ref="D43:I43"/>
    <mergeCell ref="D45:I45"/>
    <mergeCell ref="D46:I46"/>
    <mergeCell ref="D47:I47"/>
    <mergeCell ref="D48:I48"/>
    <mergeCell ref="D50:I50"/>
    <mergeCell ref="D51:I51"/>
    <mergeCell ref="D52:I52"/>
    <mergeCell ref="D53:I53"/>
    <mergeCell ref="D55:I55"/>
    <mergeCell ref="D56:I56"/>
    <mergeCell ref="D57:I57"/>
    <mergeCell ref="D58:I58"/>
    <mergeCell ref="D60:I60"/>
    <mergeCell ref="D61:I61"/>
    <mergeCell ref="D62:I62"/>
    <mergeCell ref="D63:I63"/>
    <mergeCell ref="D65:I65"/>
    <mergeCell ref="D66:I66"/>
    <mergeCell ref="D67:I67"/>
    <mergeCell ref="D68:I68"/>
    <mergeCell ref="C71:I71"/>
    <mergeCell ref="C72:I72"/>
    <mergeCell ref="D73:I73"/>
    <mergeCell ref="C74:I74"/>
    <mergeCell ref="D75:I75"/>
    <mergeCell ref="C76:I76"/>
    <mergeCell ref="D77:I77"/>
    <mergeCell ref="D78:I78"/>
  </mergeCells>
  <dataValidations count="6">
    <dataValidation allowBlank="false" errorStyle="stop" operator="between" showDropDown="false" showErrorMessage="false" showInputMessage="false" sqref="H21" type="list">
      <formula1>"Build from wage,Use supplied loaded rate"</formula1>
      <formula2>0</formula2>
    </dataValidation>
    <dataValidation allowBlank="false" errorStyle="stop" operator="between" showDropDown="false" showErrorMessage="false" showInputMessage="false" sqref="H22" type="list">
      <formula1>"Build from wage,Use supplied loaded rate"</formula1>
      <formula2>0</formula2>
    </dataValidation>
    <dataValidation allowBlank="false" errorStyle="stop" operator="between" showDropDown="false" showErrorMessage="false" showInputMessage="false" sqref="H23" type="list">
      <formula1>"Build from wage,Use supplied loaded rate"</formula1>
      <formula2>0</formula2>
    </dataValidation>
    <dataValidation allowBlank="false" errorStyle="stop" operator="between" showDropDown="false" showErrorMessage="false" showInputMessage="false" sqref="H24" type="list">
      <formula1>"Build from wage,Use supplied loaded rate"</formula1>
      <formula2>0</formula2>
    </dataValidation>
    <dataValidation allowBlank="false" errorStyle="stop" operator="between" showDropDown="false" showErrorMessage="false" showInputMessage="false" sqref="H25" type="list">
      <formula1>"Build from wage,Use supplied loaded rate"</formula1>
      <formula2>0</formula2>
    </dataValidation>
    <dataValidation allowBlank="false" errorStyle="stop" operator="between" showDropDown="false" showErrorMessage="false" showInputMessage="false" sqref="H26" type="list">
      <formula1>"Build from wage,Use supplied loaded rate"</formula1>
      <formula2>0</formula2>
    </dataValidation>
  </dataValidations>
  <printOptions headings="false" gridLines="false" gridLinesSet="true" horizontalCentered="true" verticalCentered="false"/>
  <pageMargins left="0.3" right="0.3" top="0.3" bottom="0.3" header="0.511811023622047" footer="0.1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&amp;R&amp;"Calibri"&amp;11Page &amp;P of &amp;N</oddFooter>
  </headerFooter>
  <rowBreaks count="2" manualBreakCount="2">
    <brk id="38" man="true" max="16383" min="0"/>
    <brk id="54" man="true" max="16383" min="0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GovTribe</Application>
  <AppVersion>GovTribe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GovTribe</dc:creator>
  <dc:description/>
  <dc:language>en-US</dc:language>
  <cp:lastModifiedBy>GovTribe</cp:lastModifiedBy>
  <cp:revision>0</cp:revision>
  <dc:subject/>
  <dc:title/>
</cp:coreProperties>
</file>